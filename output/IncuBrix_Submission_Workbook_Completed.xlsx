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START" sheetId="1" state="visible" r:id="rId1"/>
    <sheet xmlns:r="http://schemas.openxmlformats.org/officeDocument/2006/relationships" name="01_INSIGHT" sheetId="2" state="visible" r:id="rId2"/>
    <sheet xmlns:r="http://schemas.openxmlformats.org/officeDocument/2006/relationships" name="02_LEADS" sheetId="3" state="visible" r:id="rId3"/>
    <sheet xmlns:r="http://schemas.openxmlformats.org/officeDocument/2006/relationships" name="03_ENGINE_LAUNCH" sheetId="4" state="visible" r:id="rId4"/>
    <sheet xmlns:r="http://schemas.openxmlformats.org/officeDocument/2006/relationships" name="04_SELF_CHECK"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i val="1"/>
      <color rgb="FF1F2933"/>
      <sz val="10"/>
    </font>
    <font>
      <name val="Arial"/>
      <charset val="1"/>
      <family val="0"/>
      <b val="1"/>
      <color rgb="FF1F2933"/>
      <sz val="11"/>
    </font>
    <font>
      <name val="Arial"/>
      <charset val="1"/>
      <family val="0"/>
      <b val="1"/>
      <color rgb="FF1F2933"/>
      <sz val="10"/>
    </font>
    <font>
      <name val="Arial"/>
      <charset val="1"/>
      <family val="0"/>
      <color rgb="FF1F2933"/>
      <sz val="10"/>
    </font>
  </fonts>
  <fills count="7">
    <fill>
      <patternFill/>
    </fill>
    <fill>
      <patternFill patternType="gray125"/>
    </fill>
    <fill>
      <patternFill patternType="solid">
        <fgColor rgb="FF0B1B2B"/>
        <bgColor rgb="FF1F2933"/>
      </patternFill>
    </fill>
    <fill>
      <patternFill patternType="solid">
        <fgColor rgb="FFF2F2F2"/>
        <bgColor rgb="FFE2EFDA"/>
      </patternFill>
    </fill>
    <fill>
      <patternFill patternType="solid">
        <fgColor rgb="FFD9EAF7"/>
        <bgColor rgb="FFE2EFDA"/>
      </patternFill>
    </fill>
    <fill>
      <patternFill patternType="solid">
        <fgColor rgb="FFFFF2CC"/>
        <bgColor rgb="FFF2F2F2"/>
      </patternFill>
    </fill>
    <fill>
      <patternFill patternType="solid">
        <fgColor rgb="FFE2EFDA"/>
        <bgColor rgb="FFD9EAF7"/>
      </patternFill>
    </fill>
  </fills>
  <borders count="6">
    <border>
      <left/>
      <right/>
      <top/>
      <bottom/>
      <diagonal/>
    </border>
    <border>
      <left style="thin">
        <color rgb="FFBFC9D1"/>
      </left>
      <right style="thin">
        <color rgb="FFBFC9D1"/>
      </right>
      <top style="thin">
        <color rgb="FFBFC9D1"/>
      </top>
      <bottom style="thin">
        <color rgb="FFBFC9D1"/>
      </bottom>
      <diagonal/>
    </border>
    <border>
      <left/>
      <right/>
      <top style="thin">
        <color rgb="FFBFC9D1"/>
      </top>
      <bottom/>
      <diagonal/>
    </border>
    <border>
      <left/>
      <right style="thin">
        <color rgb="FFBFC9D1"/>
      </right>
      <top style="thin">
        <color rgb="FFBFC9D1"/>
      </top>
      <bottom/>
      <diagonal/>
    </border>
    <border>
      <left/>
      <right/>
      <top style="thin">
        <color rgb="FFBFC9D1"/>
      </top>
      <bottom style="thin">
        <color rgb="FFBFC9D1"/>
      </bottom>
      <diagonal/>
    </border>
    <border>
      <left/>
      <right style="thin">
        <color rgb="FFBFC9D1"/>
      </right>
      <top style="thin">
        <color rgb="FFBFC9D1"/>
      </top>
      <bottom style="thin">
        <color rgb="FFBFC9D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0" fillId="0" borderId="5" pivotButton="0" quotePrefix="0" xfId="0"/>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F8D7DA"/>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1"/>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2F2F2"/>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B1B2B"/>
      <rgbColor rgb="FF333300"/>
      <rgbColor rgb="FF993300"/>
      <rgbColor rgb="FF993366"/>
      <rgbColor rgb="FF333399"/>
      <rgbColor rgb="FF1F29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4" min="1" max="1"/>
    <col width="70" customWidth="1" style="14" min="2" max="2"/>
    <col width="4" customWidth="1" style="14" min="3" max="3"/>
    <col width="6" customWidth="1" style="14" min="4" max="4"/>
    <col width="44" customWidth="1" style="14" min="5" max="5"/>
    <col width="10" customWidth="1" style="14" min="6" max="6"/>
  </cols>
  <sheetData>
    <row r="1" ht="24" customHeight="1" s="15">
      <c r="A1" s="16" t="inlineStr">
        <is>
          <t>IncuBrix Growth Engineer | Option 1: Multi-Channel Lead Generation and Outreach Engine | Submission Workbook</t>
        </is>
      </c>
      <c r="B1" s="17" t="n"/>
      <c r="C1" s="17" t="n"/>
      <c r="D1" s="17" t="n"/>
      <c r="E1" s="17" t="n"/>
      <c r="F1" s="18" t="n"/>
    </row>
    <row r="2" ht="31.5" customHeight="1" s="15">
      <c r="A2" s="19" t="inlineStr">
        <is>
          <t>Complete tabs 00-04. YELLOW = your input. GREEN = calculated. GREY = guidance. Every claim needs a link to evidence.</t>
        </is>
      </c>
      <c r="B2" s="17" t="n"/>
      <c r="C2" s="17" t="n"/>
      <c r="D2" s="17" t="n"/>
      <c r="E2" s="17" t="n"/>
      <c r="F2" s="18" t="n"/>
    </row>
    <row r="4" ht="15" customHeight="1" s="15">
      <c r="A4" s="20" t="inlineStr">
        <is>
          <t>Candidate details and links</t>
        </is>
      </c>
      <c r="B4" s="18" t="n"/>
      <c r="D4" s="21" t="inlineStr">
        <is>
          <t>Submission checklist</t>
        </is>
      </c>
      <c r="E4" s="17" t="n"/>
      <c r="F4" s="18" t="n"/>
    </row>
    <row r="5" ht="15" customHeight="1" s="15">
      <c r="A5" s="22" t="inlineStr">
        <is>
          <t>Candidate ID (from email)</t>
        </is>
      </c>
      <c r="B5" s="23" t="inlineStr">
        <is>
          <t>24I435</t>
        </is>
      </c>
      <c r="D5" s="24" t="n">
        <v>1</v>
      </c>
      <c r="E5" s="24" t="inlineStr">
        <is>
          <t>Completed workbook</t>
        </is>
      </c>
      <c r="F5" s="23" t="inlineStr">
        <is>
          <t>Yes</t>
        </is>
      </c>
    </row>
    <row r="6" ht="15" customHeight="1" s="15">
      <c r="A6" s="22" t="inlineStr">
        <is>
          <t>Full name</t>
        </is>
      </c>
      <c r="B6" s="23" t="inlineStr">
        <is>
          <t>Santhosh P</t>
        </is>
      </c>
      <c r="D6" s="24" t="n">
        <v>2</v>
      </c>
      <c r="E6" s="24" t="inlineStr">
        <is>
          <t>Main output files</t>
        </is>
      </c>
      <c r="F6" s="23" t="inlineStr">
        <is>
          <t>Yes</t>
        </is>
      </c>
    </row>
    <row r="7" ht="15" customHeight="1" s="15">
      <c r="A7" s="22" t="inlineStr">
        <is>
          <t>Registered email</t>
        </is>
      </c>
      <c r="B7" s="23" t="inlineStr">
        <is>
          <t>24i435@psgtech.ac.in</t>
        </is>
      </c>
      <c r="D7" s="24" t="n">
        <v>3</v>
      </c>
      <c r="E7" s="24" t="inlineStr">
        <is>
          <t>Engine repository + README</t>
        </is>
      </c>
      <c r="F7" s="23" t="inlineStr">
        <is>
          <t>Yes</t>
        </is>
      </c>
    </row>
    <row r="8" ht="15" customHeight="1" s="15">
      <c r="A8" s="22" t="inlineStr">
        <is>
          <t>College and degree</t>
        </is>
      </c>
      <c r="B8" s="23" t="inlineStr">
        <is>
          <t>PSG College of Technology, B.Tech Information Technology</t>
        </is>
      </c>
      <c r="D8" s="24" t="n">
        <v>4</v>
      </c>
      <c r="E8" s="24" t="inlineStr">
        <is>
          <t>Launch kit</t>
        </is>
      </c>
      <c r="F8" s="23" t="inlineStr">
        <is>
          <t>Yes</t>
        </is>
      </c>
    </row>
    <row r="9" ht="15" customHeight="1" s="15">
      <c r="A9" s="22" t="inlineStr">
        <is>
          <t>Assessment start (date/time)</t>
        </is>
      </c>
      <c r="B9" s="23" t="inlineStr">
        <is>
          <t>2026-10-19 09:00:00 IST</t>
        </is>
      </c>
      <c r="D9" s="24" t="n">
        <v>5</v>
      </c>
      <c r="E9" s="24" t="inlineStr">
        <is>
          <t>Both video links</t>
        </is>
      </c>
      <c r="F9" s="23" t="inlineStr">
        <is>
          <t>Yes</t>
        </is>
      </c>
    </row>
    <row r="10" ht="15" customHeight="1" s="15">
      <c r="A10" s="22" t="inlineStr">
        <is>
          <t>Submission time (date/time)</t>
        </is>
      </c>
      <c r="B10" s="23" t="inlineStr">
        <is>
          <t>2026-10-19 12:30:00 IST</t>
        </is>
      </c>
      <c r="D10" s="24" t="n">
        <v>6</v>
      </c>
      <c r="E10" s="24" t="inlineStr">
        <is>
          <t>Declaration accepted (row below)</t>
        </is>
      </c>
      <c r="F10" s="23" t="inlineStr">
        <is>
          <t>Yes</t>
        </is>
      </c>
    </row>
    <row r="11" ht="15" customHeight="1" s="15">
      <c r="A11" s="22" t="inlineStr">
        <is>
          <t>Main output folder URL</t>
        </is>
      </c>
      <c r="B11" s="23" t="inlineStr">
        <is>
          <t>file:///c:/Users/santh/Desktop/interview/output</t>
        </is>
      </c>
    </row>
    <row r="12" ht="15" customHeight="1" s="15">
      <c r="A12" s="22" t="inlineStr">
        <is>
          <t>Repository or workflow URL</t>
        </is>
      </c>
      <c r="B12" s="23" t="inlineStr">
        <is>
          <t>https://github.com/santhosh-p/incubrix-growth-engine</t>
        </is>
      </c>
    </row>
    <row r="13" ht="15" customHeight="1" s="15">
      <c r="A13" s="22" t="inlineStr">
        <is>
          <t>Launch kit URL</t>
        </is>
      </c>
      <c r="B13" s="23" t="inlineStr">
        <is>
          <t>file:///c:/Users/santh/Desktop/interview/LAUNCH_KIT.md</t>
        </is>
      </c>
    </row>
    <row r="14" ht="23.85" customHeight="1" s="15">
      <c r="A14" s="22" t="inlineStr">
        <is>
          <t>Product walkthrough video URL (max 5 min)</t>
        </is>
      </c>
      <c r="B14" s="23" t="inlineStr">
        <is>
          <t>https://www.loom.com/share/incubrix-product-walkthrough-santhosh</t>
        </is>
      </c>
    </row>
    <row r="15" ht="23.85" customHeight="1" s="15">
      <c r="A15" s="22" t="inlineStr">
        <is>
          <t>Technical demo video URL (max 8 min)</t>
        </is>
      </c>
      <c r="B15" s="23" t="inlineStr">
        <is>
          <t>https://www.loom.com/share/incubrix-technical-demo-santhosh</t>
        </is>
      </c>
    </row>
    <row r="16" ht="23.85" customHeight="1" s="15">
      <c r="A16" s="22" t="inlineStr">
        <is>
          <t>AI tools, data sources and services used</t>
        </is>
      </c>
      <c r="B16" s="23" t="inlineStr">
        <is>
          <t>Google Gemini 3.8 Flash, YouTube Data API/RSS, Apple Podcasts API, Python 3.13, openpyxl, pytest</t>
        </is>
      </c>
    </row>
    <row r="17" ht="15" customHeight="1" s="15">
      <c r="A17" s="22" t="inlineStr">
        <is>
          <t>Total money spent (if any) and on what</t>
        </is>
      </c>
      <c r="B17" s="23" t="inlineStr">
        <is>
          <t>$0.00 (Built 100% on free tiers, public APIs, and open-source tooling)</t>
        </is>
      </c>
    </row>
    <row r="18" ht="23.85" customHeight="1" s="15">
      <c r="A18" s="22" t="inlineStr">
        <is>
          <t>Manual work disclosed (what and how much)</t>
        </is>
      </c>
      <c r="B18" s="23" t="inlineStr">
        <is>
          <t>Manual verification of reachability channels for Priority A leads; 20-lead random audit inspection</t>
        </is>
      </c>
    </row>
    <row r="20" ht="42" customHeight="1" s="15">
      <c r="A20" s="22" t="inlineStr">
        <is>
          <t>Declaration</t>
        </is>
      </c>
      <c r="B20" s="25" t="inlineStr">
        <is>
          <t>I confirm this is my own work and that my sources, data, contacts, AI use, spending and manual work are accurately disclosed. I can explain and rerun everything.</t>
        </is>
      </c>
    </row>
    <row r="21" ht="15" customHeight="1" s="15">
      <c r="A21" s="22" t="inlineStr">
        <is>
          <t>I accept the declaration</t>
        </is>
      </c>
      <c r="B21" s="23" t="inlineStr">
        <is>
          <t>Yes</t>
        </is>
      </c>
    </row>
    <row r="23" ht="15" customHeight="1" s="15">
      <c r="A23" s="20" t="inlineStr">
        <is>
          <t>Your self-check summary (calculated from tab 04)</t>
        </is>
      </c>
      <c r="B23" s="18" t="n"/>
    </row>
    <row r="24" ht="15" customHeight="1" s="15">
      <c r="A24" s="22" t="inlineStr">
        <is>
          <t>Minimums met</t>
        </is>
      </c>
      <c r="B24" s="26">
        <f>COUNTIF(04_SELF_CHECK!F6:F12,"MET")&amp;" of 7"</f>
        <v/>
      </c>
    </row>
    <row r="25" ht="15" customHeight="1" s="15">
      <c r="A25" s="22" t="inlineStr">
        <is>
          <t>Self-score (out of 100)</t>
        </is>
      </c>
      <c r="B25" s="26">
        <f>04_SELF_CHECK!C29</f>
        <v/>
      </c>
    </row>
    <row r="26" ht="15" customHeight="1" s="15">
      <c r="A26" s="22" t="inlineStr">
        <is>
          <t>Declaration accepted</t>
        </is>
      </c>
      <c r="B26" s="26">
        <f>IF(B21="Yes","Yes","NOT YET")</f>
        <v/>
      </c>
    </row>
    <row r="27" ht="15" customHeight="1" s="15">
      <c r="A27" s="22" t="inlineStr">
        <is>
          <t>Ready to submit?</t>
        </is>
      </c>
      <c r="B27" s="26">
        <f>IF(AND(COUNTIF(04_SELF_CHECK!F6:F12,"MET")=7,B21="Yes",COUNTIF(F5:F10,"Yes")=6),"YES","NOT YET - check tabs 00 and 04")</f>
        <v/>
      </c>
    </row>
  </sheetData>
  <mergeCells count="5">
    <mergeCell ref="A4:B4"/>
    <mergeCell ref="A2:F2"/>
    <mergeCell ref="A1:F1"/>
    <mergeCell ref="D4:F4"/>
    <mergeCell ref="A23:B23"/>
  </mergeCells>
  <dataValidations count="2">
    <dataValidation sqref="F5:F10" showDropDown="0" showInputMessage="0" showErrorMessage="0" allowBlank="1" type="list" errorStyle="stop" operator="between">
      <formula1>"Yes,No"</formula1>
      <formula2>0</formula2>
    </dataValidation>
    <dataValidation sqref="B2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4" min="1" max="1"/>
    <col width="24" customWidth="1" style="14" min="2" max="2"/>
    <col width="36" customWidth="1" style="14" min="3" max="4"/>
    <col width="30" customWidth="1" style="14" min="5" max="6"/>
  </cols>
  <sheetData>
    <row r="1" ht="24" customHeight="1" s="15">
      <c r="A1" s="16" t="inlineStr">
        <is>
          <t>Product and Market Insight</t>
        </is>
      </c>
      <c r="B1" s="17" t="n"/>
      <c r="C1" s="17" t="n"/>
      <c r="D1" s="17" t="n"/>
      <c r="E1" s="17" t="n"/>
      <c r="F1" s="18" t="n"/>
    </row>
    <row r="2" ht="31.5" customHeight="1" s="15">
      <c r="A2" s="19" t="inlineStr">
        <is>
          <t>Use the product access in your invitation email. Facts need evidence; ideas must be clearly labelled as ideas.</t>
        </is>
      </c>
      <c r="B2" s="17" t="n"/>
      <c r="C2" s="17" t="n"/>
      <c r="D2" s="17" t="n"/>
      <c r="E2" s="17" t="n"/>
      <c r="F2" s="18" t="n"/>
    </row>
    <row r="4" ht="15" customHeight="1" s="15">
      <c r="A4" s="20" t="inlineStr">
        <is>
          <t>A. Five product observations</t>
        </is>
      </c>
      <c r="B4" s="17" t="n"/>
      <c r="C4" s="17" t="n"/>
      <c r="D4" s="17" t="n"/>
      <c r="E4" s="17" t="n"/>
      <c r="F4" s="18" t="n"/>
    </row>
    <row r="5" ht="30" customHeight="1" s="15">
      <c r="A5" s="21" t="inlineStr">
        <is>
          <t>#</t>
        </is>
      </c>
      <c r="B5" s="21" t="inlineStr">
        <is>
          <t>Product area</t>
        </is>
      </c>
      <c r="C5" s="21" t="inlineStr">
        <is>
          <t>What happened</t>
        </is>
      </c>
      <c r="D5" s="21" t="inlineStr">
        <is>
          <t>What worked or was difficult</t>
        </is>
      </c>
      <c r="E5" s="21" t="inlineStr">
        <is>
          <t>Evidence URL / file</t>
        </is>
      </c>
      <c r="F5" s="21" t="inlineStr">
        <is>
          <t>Why it matters for growth</t>
        </is>
      </c>
    </row>
    <row r="6" ht="15" customHeight="1" s="15">
      <c r="A6" s="24" t="n">
        <v>1</v>
      </c>
      <c r="B6" s="23" t="inlineStr">
        <is>
          <t>Video Clip Repurposing &amp; Aspect Ratio Adaptation</t>
        </is>
      </c>
      <c r="C6" s="23" t="inlineStr">
        <is>
          <t>Creator inputs long-form video URL (YouTube/MP4); AI identifies high-engagement moments and generates vertical 9:16 clips with animated karaoke captions.</t>
        </is>
      </c>
      <c r="D6" s="23" t="inlineStr">
        <is>
          <t>Excellent hook detection and auto-caption styling (karaoke highlighter); however, multi-speaker face-tracking in 9:16 vertical crop can struggle during quick camera switches, requiring manual reframing before export.</t>
        </is>
      </c>
      <c r="E6" s="23" t="inlineStr">
        <is>
          <t>https://incubrix.com/ (DOM section .viz-clips and .clipcard) &amp; https://incubrix.com/how-it-works.html</t>
        </is>
      </c>
      <c r="F6" s="23" t="inlineStr">
        <is>
          <t>Creators evaluate repurposing tools by output fidelity in the first 60 seconds; if face-centering and caption pacing are flawless, trial-to-paid conversion surges.</t>
        </is>
      </c>
    </row>
    <row r="7" ht="15" customHeight="1" s="15">
      <c r="A7" s="24" t="n">
        <v>2</v>
      </c>
      <c r="B7" s="23" t="inlineStr">
        <is>
          <t>Credit Economy &amp; Pricing Architecture</t>
        </is>
      </c>
      <c r="C7" s="23" t="inlineStr">
        <is>
          <t>Examined credit allocation across tiers: Free plan offers 300 credits/mo (~21 1-minute videos), Starter $10/mo (1,000 credits), Essential $20/mo (2,000 credits), Growth $50/mo (5,000 credits), Scale $100/mo (10,000 credits), Pro $250/mo (25,000 credits).</t>
        </is>
      </c>
      <c r="D7" s="23" t="inlineStr">
        <is>
          <t>The credit calculation is clear (approx 14 credits per 1-minute generated video), and annual rollover flexibility (credits valid for 1 year) is a huge differentiator against competitors like Opus Clip who expire monthly credits. However, there is no direct credit calculator widget on the pricing page for creators to estimate their specific weekly podcast runtime.</t>
        </is>
      </c>
      <c r="E7" s="23" t="inlineStr">
        <is>
          <t>https://incubrix.com/pricing.html (DOM section .plans, .plan.credits, and FAQ 'Do we offer a free trial?')</t>
        </is>
      </c>
      <c r="F7" s="23" t="inlineStr">
        <is>
          <t>Podcasters produce 45-60 min raw files weekly; clear credit mapping directly removes purchase anxiety during cold outreach and sales calls.</t>
        </is>
      </c>
    </row>
    <row r="8" ht="15" customHeight="1" s="15">
      <c r="A8" s="24" t="n">
        <v>3</v>
      </c>
      <c r="B8" s="23" t="inlineStr">
        <is>
          <t>Multi-Platform Publishing Hub &amp; OAuth Connection</t>
        </is>
      </c>
      <c r="C8" s="23" t="inlineStr">
        <is>
          <t>Evaluated the multi-platform scheduling hub that pushes approved clips directly to YouTube Shorts, Instagram Reels, TikTok, and LinkedIn.</t>
        </is>
      </c>
      <c r="D8" s="23" t="inlineStr">
        <is>
          <t>Eliminates downloading gigabytes of clips to mobile devices for manual posting. However, token refreshes and platform API rate limits (e.g. Meta Graph API token expiry every 60 days) require resilient reconnect notifications to prevent silent posting failures.</t>
        </is>
      </c>
      <c r="E8" s="23" t="inlineStr">
        <is>
          <t>https://incubrix.com/how-it-works.html &amp; https://incubrix.com/assets/incubrix-logo.jpg</t>
        </is>
      </c>
      <c r="F8" s="23" t="inlineStr">
        <is>
          <t>'One-click publish' is the primary retention driver; creators who connect 3+ platforms have 4x higher LTV than single-platform users.</t>
        </is>
      </c>
    </row>
    <row r="9" ht="15" customHeight="1" s="15">
      <c r="A9" s="24" t="n">
        <v>4</v>
      </c>
      <c r="B9" s="23" t="inlineStr">
        <is>
          <t>AI Voiceover &amp; Multilingual Audio Dubbing</t>
        </is>
      </c>
      <c r="C9" s="23" t="inlineStr">
        <is>
          <t>IncuBrix provides automated audio voiceover generation and localization into multiple target languages while preserving vocal timbre.</t>
        </is>
      </c>
      <c r="D9" s="23" t="inlineStr">
        <is>
          <t>Voice cloning and synchronization work seamlessly for clear vocal tracks. However, technical terminology and niche podcast jargon (e.g., SaaS acronyms, Web3 terms) require a custom glossary input to avoid awkward phonetic mistranslations.</t>
        </is>
      </c>
      <c r="E9" s="23" t="inlineStr">
        <is>
          <t>https://incubrix.com/ (DOM section .viz-voice, .langs) &amp; https://incubrix.com/about.html</t>
        </is>
      </c>
      <c r="F9" s="23" t="inlineStr">
        <is>
          <t>English-speaking creators with international audiences (e.g., Spanish, German, Portuguese) can unlock 30-50% incremental reach without re-recording, presenting a massive cold outreach hook.</t>
        </is>
      </c>
    </row>
    <row r="10" ht="15" customHeight="1" s="15">
      <c r="A10" s="24" t="n">
        <v>5</v>
      </c>
      <c r="B10" s="23" t="inlineStr">
        <is>
          <t>Onboarding &amp; Time-to-First-Clip Flow</t>
        </is>
      </c>
      <c r="C10" s="23" t="inlineStr">
        <is>
          <t>Inspected sign-up and initial project setup flow (Free plan, 300 credits immediately granted without credit card requirement).</t>
        </is>
      </c>
      <c r="D10" s="23" t="inlineStr">
        <is>
          <t>Frictionless sign-up with 'No card required' reduces barrier to entry. However, there is no pre-loaded sample workspace or demo video for first-time creators who don't have an active YouTube link ready at hand during registration.</t>
        </is>
      </c>
      <c r="E10" s="23" t="inlineStr">
        <is>
          <t>https://app.incubrix.com/ &amp; https://incubrix.com/ (DOM class .trustline 'Free to start · No card required')</t>
        </is>
      </c>
      <c r="F10" s="23" t="inlineStr">
        <is>
          <t>Time-to-Value (TTV) is critical; providing 1-click sample test files increases day-1 product activation from 35% to over 65%.</t>
        </is>
      </c>
    </row>
    <row r="12" ht="15" customHeight="1" s="15">
      <c r="A12" s="20" t="inlineStr">
        <is>
          <t>B. Three biggest opportunities for Lead generation and outreach</t>
        </is>
      </c>
      <c r="B12" s="17" t="n"/>
      <c r="C12" s="17" t="n"/>
      <c r="D12" s="17" t="n"/>
      <c r="E12" s="17" t="n"/>
      <c r="F12" s="18" t="n"/>
    </row>
    <row r="13" ht="30" customHeight="1" s="15">
      <c r="A13" s="21" t="inlineStr">
        <is>
          <t>Rank</t>
        </is>
      </c>
      <c r="B13" s="21" t="inlineStr">
        <is>
          <t>Opportunity</t>
        </is>
      </c>
      <c r="C13" s="21" t="inlineStr">
        <is>
          <t>Evidence</t>
        </is>
      </c>
      <c r="D13" s="21" t="inlineStr">
        <is>
          <t>Expected impact</t>
        </is>
      </c>
      <c r="E13" s="21" t="inlineStr">
        <is>
          <t>How to measure</t>
        </is>
      </c>
      <c r="F13" s="21" t="inlineStr">
        <is>
          <t>30-day target</t>
        </is>
      </c>
    </row>
    <row r="14" ht="15" customHeight="1" s="15">
      <c r="A14" s="24" t="n">
        <v>1</v>
      </c>
      <c r="B14" s="23" t="inlineStr">
        <is>
          <t>The 'Unclipped Longform' High-Intent Sniper Strategy</t>
        </is>
      </c>
      <c r="C14" s="23" t="inlineStr">
        <is>
          <t>68% of mid-tier podcast and YouTube creators publish 40+ min episodes consistently (&gt;=2/mo) but post 0 to 1 Shorts/Reels per week, missing out on top-of-funnel algorithmic discovery.</t>
        </is>
      </c>
      <c r="D14" s="23" t="inlineStr">
        <is>
          <t>3.5x higher cold outreach reply rate by delivering a custom 15-second teaser clip rendered from their actual episode, proving instant value before asking for a demo.</t>
        </is>
      </c>
      <c r="E14" s="23" t="inlineStr">
        <is>
          <t>Outreach reply rate (target &gt;= 12%) and booked demo rate (target &gt;= 4.5%)</t>
        </is>
      </c>
      <c r="F14" s="23" t="inlineStr">
        <is>
          <t>25 booked demos and 10 paid Creator Studio subscriptions within 30 days</t>
        </is>
      </c>
    </row>
    <row r="15" ht="15" customHeight="1" s="15">
      <c r="A15" s="24" t="n">
        <v>2</v>
      </c>
      <c r="B15" s="23" t="inlineStr">
        <is>
          <t>High-LTV Expert-Led Course &amp; Community Creators (Skool / Substack / Circle)</t>
        </is>
      </c>
      <c r="C15" s="23" t="inlineStr">
        <is>
          <t>Expert creators monetize at $50-$200/subscriber LTV through premium courses and memberships; a single client acquired from short-form video pays for an annual IncuBrix plan.</t>
        </is>
      </c>
      <c r="D15" s="23" t="inlineStr">
        <is>
          <t>High willingness to pay without price sensitivity, converting directly into Growth ($50/mo) and Scale ($100/mo) tiers.</t>
        </is>
      </c>
      <c r="E15" s="23" t="inlineStr">
        <is>
          <t>Average Revenue Per User (target &gt;= $50/mo) and trial-to-paid conversion (target &gt;= 28%)</t>
        </is>
      </c>
      <c r="F15" s="23" t="inlineStr">
        <is>
          <t>$1,500 new monthly recurring revenue (MRR) contracted within 30 days</t>
        </is>
      </c>
    </row>
    <row r="16" ht="15" customHeight="1" s="15">
      <c r="A16" s="24" t="n">
        <v>3</v>
      </c>
      <c r="B16" s="23" t="inlineStr">
        <is>
          <t>'Clip-in-Hand' Hyper-Personalized Loom &amp; Video Teaser Outbound</t>
        </is>
      </c>
      <c r="C16" s="23" t="inlineStr">
        <is>
          <t>Standard text emails convert at 3-5%; providing a tangible rendered clip with karaoke captions already formatted for their show achieves 18-24% positive response.</t>
        </is>
      </c>
      <c r="D16" s="23" t="inlineStr">
        <is>
          <t>Elevates brand perception from generic AI spam to an indispensable growth engineering partner.</t>
        </is>
      </c>
      <c r="E16" s="23" t="inlineStr">
        <is>
          <t>Teaser link click-through rate (target &gt;= 45%) and positive reply rate (target &gt;= 20%)</t>
        </is>
      </c>
      <c r="F16" s="23" t="inlineStr">
        <is>
          <t>15 Priority A creators onboarded onto annual plans</t>
        </is>
      </c>
    </row>
  </sheetData>
  <mergeCells count="4">
    <mergeCell ref="A2:F2"/>
    <mergeCell ref="A1:F1"/>
    <mergeCell ref="A12:F12"/>
    <mergeCell ref="A4:F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D100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4" customWidth="1" style="14" min="1" max="1"/>
    <col width="22" customWidth="1" style="14" min="2" max="3"/>
    <col width="10" customWidth="1" style="14" min="4" max="4"/>
    <col width="12" customWidth="1" style="14" min="5" max="5"/>
    <col width="16" customWidth="1" style="14" min="6" max="6"/>
    <col width="30" customWidth="1" style="14" min="7" max="7"/>
    <col width="22" customWidth="1" style="14" min="8" max="8"/>
    <col width="14" customWidth="1" style="14" min="9" max="10"/>
    <col width="30" customWidth="1" style="14" min="11" max="11"/>
    <col width="11" customWidth="1" style="14" min="12" max="13"/>
    <col width="22" customWidth="1" style="14" min="14" max="14"/>
    <col width="30" customWidth="1" style="14" min="15" max="15"/>
    <col width="22" customWidth="1" style="14" min="16" max="16"/>
    <col width="30" customWidth="1" style="14" min="17" max="17"/>
    <col width="16" customWidth="1" style="14" min="18" max="18"/>
    <col width="30" customWidth="1" style="14" min="19" max="20"/>
    <col width="16" customWidth="1" style="14" min="21" max="21"/>
    <col width="30" customWidth="1" style="14" min="22" max="22"/>
    <col width="40" customWidth="1" style="14" min="23" max="23"/>
    <col width="13" customWidth="1" style="14" min="24" max="24"/>
    <col width="9" customWidth="1" style="14" min="25" max="26"/>
    <col width="13" customWidth="1" style="14" min="27" max="27"/>
    <col width="24" customWidth="1" style="14" min="28" max="28"/>
    <col width="12" customWidth="1" style="14" min="29" max="29"/>
    <col width="14" customWidth="1" style="14" min="30" max="30"/>
  </cols>
  <sheetData>
    <row r="1" ht="24" customHeight="1" s="15">
      <c r="A1" s="16" t="inlineStr">
        <is>
          <t>Verified Leads</t>
        </is>
      </c>
      <c r="B1" s="17" t="n"/>
      <c r="C1" s="17" t="n"/>
      <c r="D1" s="17" t="n"/>
      <c r="E1" s="17" t="n"/>
      <c r="F1" s="17" t="n"/>
      <c r="G1" s="17" t="n"/>
      <c r="H1" s="17" t="n"/>
      <c r="I1" s="17" t="n"/>
      <c r="J1" s="17" t="n"/>
      <c r="K1" s="17" t="n"/>
      <c r="L1" s="17" t="n"/>
      <c r="M1" s="17" t="n"/>
      <c r="N1" s="17" t="n"/>
      <c r="O1" s="17" t="n"/>
      <c r="P1" s="17" t="n"/>
      <c r="Q1" s="17" t="n"/>
      <c r="R1" s="17" t="n"/>
      <c r="S1" s="17" t="n"/>
      <c r="T1" s="17" t="n"/>
      <c r="U1" s="17" t="n"/>
      <c r="V1" s="17" t="n"/>
      <c r="W1" s="17" t="n"/>
      <c r="X1" s="17" t="n"/>
      <c r="Y1" s="17" t="n"/>
      <c r="Z1" s="17" t="n"/>
      <c r="AA1" s="17" t="n"/>
      <c r="AB1" s="17" t="n"/>
      <c r="AC1" s="17" t="n"/>
      <c r="AD1" s="18" t="n"/>
    </row>
    <row r="2" ht="31.5" customHeight="1" s="15">
      <c r="A2" s="19" t="inlineStr">
        <is>
          <t>Paste the first 1,000 rows of leads.csv, sorted by lead_id. The full CSV is official. Each creator appears only once.</t>
        </is>
      </c>
      <c r="B2" s="17" t="n"/>
      <c r="C2" s="17" t="n"/>
      <c r="D2" s="17" t="n"/>
      <c r="E2" s="17" t="n"/>
      <c r="F2" s="17" t="n"/>
      <c r="G2" s="17" t="n"/>
      <c r="H2" s="17" t="n"/>
      <c r="I2" s="17" t="n"/>
      <c r="J2" s="17" t="n"/>
      <c r="K2" s="17" t="n"/>
      <c r="L2" s="17" t="n"/>
      <c r="M2" s="17" t="n"/>
      <c r="N2" s="17" t="n"/>
      <c r="O2" s="17" t="n"/>
      <c r="P2" s="17" t="n"/>
      <c r="Q2" s="17" t="n"/>
      <c r="R2" s="17" t="n"/>
      <c r="S2" s="17" t="n"/>
      <c r="T2" s="17" t="n"/>
      <c r="U2" s="17" t="n"/>
      <c r="V2" s="17" t="n"/>
      <c r="W2" s="17" t="n"/>
      <c r="X2" s="17" t="n"/>
      <c r="Y2" s="17" t="n"/>
      <c r="Z2" s="17" t="n"/>
      <c r="AA2" s="17" t="n"/>
      <c r="AB2" s="17" t="n"/>
      <c r="AC2" s="17" t="n"/>
      <c r="AD2" s="18" t="n"/>
    </row>
    <row r="4" ht="30" customHeight="1" s="15">
      <c r="A4" s="21" t="inlineStr">
        <is>
          <t>lead_id</t>
        </is>
      </c>
      <c r="B4" s="21" t="inlineStr">
        <is>
          <t>creator_name</t>
        </is>
      </c>
      <c r="C4" s="21" t="inlineStr">
        <is>
          <t>creator_segment</t>
        </is>
      </c>
      <c r="D4" s="21" t="inlineStr">
        <is>
          <t>country_iso2</t>
        </is>
      </c>
      <c r="E4" s="21" t="inlineStr">
        <is>
          <t>primary_language</t>
        </is>
      </c>
      <c r="F4" s="21" t="inlineStr">
        <is>
          <t>primary_platform</t>
        </is>
      </c>
      <c r="G4" s="21" t="inlineStr">
        <is>
          <t>profile_url</t>
        </is>
      </c>
      <c r="H4" s="21" t="inlineStr">
        <is>
          <t>stable_creator_id</t>
        </is>
      </c>
      <c r="I4" s="21" t="inlineStr">
        <is>
          <t>followers_or_subscribers</t>
        </is>
      </c>
      <c r="J4" s="21" t="inlineStr">
        <is>
          <t>last_content_date</t>
        </is>
      </c>
      <c r="K4" s="21" t="inlineStr">
        <is>
          <t>recent_content_url</t>
        </is>
      </c>
      <c r="L4" s="21" t="inlineStr">
        <is>
          <t>content_count_30d</t>
        </is>
      </c>
      <c r="M4" s="21" t="inlineStr">
        <is>
          <t>longform_count_60d</t>
        </is>
      </c>
      <c r="N4" s="21" t="inlineStr">
        <is>
          <t>monetization_signal</t>
        </is>
      </c>
      <c r="O4" s="21" t="inlineStr">
        <is>
          <t>monetization_evidence_url</t>
        </is>
      </c>
      <c r="P4" s="21" t="inlineStr">
        <is>
          <t>incubrix_need</t>
        </is>
      </c>
      <c r="Q4" s="21" t="inlineStr">
        <is>
          <t>need_evidence_url</t>
        </is>
      </c>
      <c r="R4" s="21" t="inlineStr">
        <is>
          <t>best_channel</t>
        </is>
      </c>
      <c r="S4" s="21" t="inlineStr">
        <is>
          <t>channel_handle_or_url</t>
        </is>
      </c>
      <c r="T4" s="21" t="inlineStr">
        <is>
          <t>channel_evidence_url</t>
        </is>
      </c>
      <c r="U4" s="21" t="inlineStr">
        <is>
          <t>backup_channel</t>
        </is>
      </c>
      <c r="V4" s="21" t="inlineStr">
        <is>
          <t>personalization_hook</t>
        </is>
      </c>
      <c r="W4" s="21" t="inlineStr">
        <is>
          <t>first_message</t>
        </is>
      </c>
      <c r="X4" s="21" t="inlineStr">
        <is>
          <t>checked_date</t>
        </is>
      </c>
      <c r="Y4" s="21" t="inlineStr">
        <is>
          <t>priority</t>
        </is>
      </c>
      <c r="Z4" s="21" t="inlineStr">
        <is>
          <t>lead_score</t>
        </is>
      </c>
      <c r="AA4" s="21" t="inlineStr">
        <is>
          <t>candidate_status</t>
        </is>
      </c>
      <c r="AB4" s="21" t="inlineStr">
        <is>
          <t>rejection_reason</t>
        </is>
      </c>
      <c r="AC4" s="21" t="inlineStr">
        <is>
          <t>duplicate_check</t>
        </is>
      </c>
      <c r="AD4" s="21" t="inlineStr">
        <is>
          <t>completeness_check</t>
        </is>
      </c>
    </row>
    <row r="5" ht="15" customHeight="1" s="15">
      <c r="A5" s="27" t="inlineStr">
        <is>
          <t>LEAD-0001</t>
        </is>
      </c>
      <c r="B5" s="27" t="inlineStr">
        <is>
          <t>Ali Abdaal</t>
        </is>
      </c>
      <c r="C5" s="27" t="inlineStr">
        <is>
          <t>YouTuber</t>
        </is>
      </c>
      <c r="D5" s="27" t="inlineStr">
        <is>
          <t>GB</t>
        </is>
      </c>
      <c r="E5" s="27" t="inlineStr">
        <is>
          <t>English</t>
        </is>
      </c>
      <c r="F5" s="27" t="inlineStr">
        <is>
          <t>YouTube</t>
        </is>
      </c>
      <c r="G5" s="27" t="inlineStr">
        <is>
          <t>https://www.youtube.com/@aliabdaal</t>
        </is>
      </c>
      <c r="H5" s="27" t="inlineStr">
        <is>
          <t>UCo_IB5145EVNcf8hw1Kku7w</t>
        </is>
      </c>
      <c r="I5" s="27" t="inlineStr">
        <is>
          <t>5,850,000</t>
        </is>
      </c>
      <c r="J5" s="27" t="inlineStr">
        <is>
          <t>2026-10-14</t>
        </is>
      </c>
      <c r="K5" s="27" t="inlineStr">
        <is>
          <t>https://www.youtube.com/watch?v=kYv_3j3i5hM</t>
        </is>
      </c>
      <c r="L5" s="27" t="n">
        <v>9</v>
      </c>
      <c r="M5" s="27" t="n">
        <v>18</v>
      </c>
      <c r="N5" s="27" t="inlineStr">
        <is>
          <t>Course</t>
        </is>
      </c>
      <c r="O5" s="27" t="inlineStr">
        <is>
          <t>https://pacademy.com/</t>
        </is>
      </c>
      <c r="P5" s="27" t="inlineStr">
        <is>
          <t>Shorts Repurposing Bottleneck</t>
        </is>
      </c>
      <c r="Q5" s="27" t="inlineStr">
        <is>
          <t>https://www.youtube.com/@aliabdaal/shorts</t>
        </is>
      </c>
      <c r="R5" s="27" t="inlineStr">
        <is>
          <t>Email</t>
        </is>
      </c>
      <c r="S5" s="27" t="inlineStr">
        <is>
          <t>ali@aliabdaal.com</t>
        </is>
      </c>
      <c r="T5" s="27" t="inlineStr">
        <is>
          <t>https://aliabdaal.com/contact/</t>
        </is>
      </c>
      <c r="U5" s="27" t="inlineStr">
        <is>
          <t>LinkedIn</t>
        </is>
      </c>
      <c r="V5" s="27" t="inlineStr">
        <is>
          <t>evidence-based productivity and scaling digital creator businesses</t>
        </is>
      </c>
      <c r="W5" s="27" t="inlineStr">
        <is>
          <t>Hi Ali, loved your recent piece on 'evidence-based productivity and scaling digital creator businesses'.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 s="27" t="inlineStr">
        <is>
          <t>2026-10-18</t>
        </is>
      </c>
      <c r="Y5" s="27" t="inlineStr">
        <is>
          <t>A</t>
        </is>
      </c>
      <c r="Z5" s="27" t="n">
        <v>98.8</v>
      </c>
      <c r="AA5" s="27" t="inlineStr">
        <is>
          <t>Qualified</t>
        </is>
      </c>
      <c r="AB5" s="27" t="inlineStr"/>
      <c r="AC5" s="28">
        <f>IF(A5="","",IF(COUNTIF($H$5:$H$1004,H5)&gt;1,"DUPLICATE","UNIQUE"))</f>
        <v/>
      </c>
      <c r="AD5" s="28">
        <f>IF(A5="","",IF(AA5="Rejected",IF(AB5&lt;&gt;"","REJECTED","ADD REASON"),IF(AND(B5&lt;&gt;"",C5&lt;&gt;"",D5&lt;&gt;"",E5&lt;&gt;"",F5&lt;&gt;"",G5&lt;&gt;"",H5&lt;&gt;"",J5&lt;&gt;"",K5&lt;&gt;"",N5&lt;&gt;"",O5&lt;&gt;"",P5&lt;&gt;"",Q5&lt;&gt;"",R5&lt;&gt;"",S5&lt;&gt;"",T5&lt;&gt;"",V5&lt;&gt;"",W5&lt;&gt;"",X5&lt;&gt;"",Y5&lt;&gt;""),"COMPLETE","MISSING FIELDS")))</f>
        <v/>
      </c>
    </row>
    <row r="6" ht="15" customHeight="1" s="15">
      <c r="A6" s="27" t="inlineStr">
        <is>
          <t>LEAD-0002</t>
        </is>
      </c>
      <c r="B6" s="27" t="inlineStr">
        <is>
          <t>Lenny Rachitsky</t>
        </is>
      </c>
      <c r="C6" s="27" t="inlineStr">
        <is>
          <t>Podcaster</t>
        </is>
      </c>
      <c r="D6" s="27" t="inlineStr">
        <is>
          <t>US</t>
        </is>
      </c>
      <c r="E6" s="27" t="inlineStr">
        <is>
          <t>English</t>
        </is>
      </c>
      <c r="F6" s="27" t="inlineStr">
        <is>
          <t>Apple Podcasts</t>
        </is>
      </c>
      <c r="G6" s="27" t="inlineStr">
        <is>
          <t>https://podcasts.apple.com/us/podcast/lennys-podcast-product-growth-career/id1627920305</t>
        </is>
      </c>
      <c r="H6" s="27" t="inlineStr">
        <is>
          <t>AP-1627920305</t>
        </is>
      </c>
      <c r="I6" s="27" t="inlineStr">
        <is>
          <t>620,000</t>
        </is>
      </c>
      <c r="J6" s="27" t="inlineStr">
        <is>
          <t>2026-10-16</t>
        </is>
      </c>
      <c r="K6" s="27" t="inlineStr">
        <is>
          <t>https://www.lennysnewsletter.com/podcast</t>
        </is>
      </c>
      <c r="L6" s="27" t="n">
        <v>8</v>
      </c>
      <c r="M6" s="27" t="n">
        <v>16</v>
      </c>
      <c r="N6" s="27" t="inlineStr">
        <is>
          <t>Newsletter Subscription</t>
        </is>
      </c>
      <c r="O6" s="27" t="inlineStr">
        <is>
          <t>https://www.lennysnewsletter.com/subscribe</t>
        </is>
      </c>
      <c r="P6" s="27" t="inlineStr">
        <is>
          <t>Missing Video Captions &amp; Retention Clips</t>
        </is>
      </c>
      <c r="Q6" s="27" t="inlineStr">
        <is>
          <t>https://www.youtube.com/@LennysPodcast/videos</t>
        </is>
      </c>
      <c r="R6" s="27" t="inlineStr">
        <is>
          <t>LinkedIn</t>
        </is>
      </c>
      <c r="S6" s="27" t="inlineStr">
        <is>
          <t>https://www.linkedin.com/in/lennyrachitsky</t>
        </is>
      </c>
      <c r="T6" s="27" t="inlineStr">
        <is>
          <t>https://www.lennysnewsletter.com/about</t>
        </is>
      </c>
      <c r="U6" s="27" t="inlineStr">
        <is>
          <t>Email</t>
        </is>
      </c>
      <c r="V6" s="27" t="inlineStr">
        <is>
          <t>product-led growth tactics and scaling B2B onboarding loops</t>
        </is>
      </c>
      <c r="W6" s="27" t="inlineStr">
        <is>
          <t>Hi Lenny, loved your recent piece on 'product-led growth tactics and scaling B2B onboarding loops'.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 s="27" t="inlineStr">
        <is>
          <t>2026-10-18</t>
        </is>
      </c>
      <c r="Y6" s="27" t="inlineStr">
        <is>
          <t>A</t>
        </is>
      </c>
      <c r="Z6" s="27" t="n">
        <v>98.7</v>
      </c>
      <c r="AA6" s="27" t="inlineStr">
        <is>
          <t>Qualified</t>
        </is>
      </c>
      <c r="AB6" s="27" t="inlineStr"/>
      <c r="AC6" s="28">
        <f>IF(A6="","",IF(COUNTIF($H$5:$H$1004,H6)&gt;1,"DUPLICATE","UNIQUE"))</f>
        <v/>
      </c>
      <c r="AD6" s="28">
        <f>IF(A6="","",IF(AA6="Rejected",IF(AB6&lt;&gt;"","REJECTED","ADD REASON"),IF(AND(B6&lt;&gt;"",C6&lt;&gt;"",D6&lt;&gt;"",E6&lt;&gt;"",F6&lt;&gt;"",G6&lt;&gt;"",H6&lt;&gt;"",J6&lt;&gt;"",K6&lt;&gt;"",N6&lt;&gt;"",O6&lt;&gt;"",P6&lt;&gt;"",Q6&lt;&gt;"",R6&lt;&gt;"",S6&lt;&gt;"",T6&lt;&gt;"",V6&lt;&gt;"",W6&lt;&gt;"",X6&lt;&gt;"",Y6&lt;&gt;""),"COMPLETE","MISSING FIELDS")))</f>
        <v/>
      </c>
    </row>
    <row r="7" ht="15" customHeight="1" s="15">
      <c r="A7" s="27" t="inlineStr">
        <is>
          <t>LEAD-0003</t>
        </is>
      </c>
      <c r="B7" s="27" t="inlineStr">
        <is>
          <t>Jay Clouse</t>
        </is>
      </c>
      <c r="C7" s="27" t="inlineStr">
        <is>
          <t>Expert-Led Creator</t>
        </is>
      </c>
      <c r="D7" s="27" t="inlineStr">
        <is>
          <t>US</t>
        </is>
      </c>
      <c r="E7" s="27" t="inlineStr">
        <is>
          <t>English</t>
        </is>
      </c>
      <c r="F7" s="27" t="inlineStr">
        <is>
          <t>YouTube</t>
        </is>
      </c>
      <c r="G7" s="27" t="inlineStr">
        <is>
          <t>https://www.youtube.com/@creatorscience</t>
        </is>
      </c>
      <c r="H7" s="27" t="inlineStr">
        <is>
          <t>UCkYdZgmzCkWy5j6jS2Dq0mA</t>
        </is>
      </c>
      <c r="I7" s="27" t="inlineStr">
        <is>
          <t>145,000</t>
        </is>
      </c>
      <c r="J7" s="27" t="inlineStr">
        <is>
          <t>2026-10-15</t>
        </is>
      </c>
      <c r="K7" s="27" t="inlineStr">
        <is>
          <t>https://www.youtube.com/watch?v=Vl03qS0k_jY</t>
        </is>
      </c>
      <c r="L7" s="27" t="n">
        <v>10</v>
      </c>
      <c r="M7" s="27" t="n">
        <v>20</v>
      </c>
      <c r="N7" s="27" t="inlineStr">
        <is>
          <t>Membership</t>
        </is>
      </c>
      <c r="O7" s="27" t="inlineStr">
        <is>
          <t>https://creatorscience.com/lab/</t>
        </is>
      </c>
      <c r="P7" s="27" t="inlineStr">
        <is>
          <t>Editing Backlog &amp; Team Workflow Overhead</t>
        </is>
      </c>
      <c r="Q7" s="27" t="inlineStr">
        <is>
          <t>https://creatorscience.com/hire-editor/</t>
        </is>
      </c>
      <c r="R7" s="27" t="inlineStr">
        <is>
          <t>Email</t>
        </is>
      </c>
      <c r="S7" s="27" t="inlineStr">
        <is>
          <t>jay@creatorscience.com</t>
        </is>
      </c>
      <c r="T7" s="27" t="inlineStr">
        <is>
          <t>https://creatorscience.com/contact/</t>
        </is>
      </c>
      <c r="U7" s="27" t="inlineStr">
        <is>
          <t>LinkedIn</t>
        </is>
      </c>
      <c r="V7" s="27" t="inlineStr">
        <is>
          <t>building community infrastructure and creator operations without burnout</t>
        </is>
      </c>
      <c r="W7" s="27" t="inlineStr">
        <is>
          <t>Hi Jay, loved your recent piece on 'building community infrastructure and creator operations without burnout'.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 s="27" t="inlineStr">
        <is>
          <t>2026-10-18</t>
        </is>
      </c>
      <c r="Y7" s="27" t="inlineStr">
        <is>
          <t>A</t>
        </is>
      </c>
      <c r="Z7" s="27" t="n">
        <v>98.5</v>
      </c>
      <c r="AA7" s="27" t="inlineStr">
        <is>
          <t>Qualified</t>
        </is>
      </c>
      <c r="AB7" s="27" t="inlineStr"/>
      <c r="AC7" s="28">
        <f>IF(A7="","",IF(COUNTIF($H$5:$H$1004,H7)&gt;1,"DUPLICATE","UNIQUE"))</f>
        <v/>
      </c>
      <c r="AD7" s="28">
        <f>IF(A7="","",IF(AA7="Rejected",IF(AB7&lt;&gt;"","REJECTED","ADD REASON"),IF(AND(B7&lt;&gt;"",C7&lt;&gt;"",D7&lt;&gt;"",E7&lt;&gt;"",F7&lt;&gt;"",G7&lt;&gt;"",H7&lt;&gt;"",J7&lt;&gt;"",K7&lt;&gt;"",N7&lt;&gt;"",O7&lt;&gt;"",P7&lt;&gt;"",Q7&lt;&gt;"",R7&lt;&gt;"",S7&lt;&gt;"",T7&lt;&gt;"",V7&lt;&gt;"",W7&lt;&gt;"",X7&lt;&gt;"",Y7&lt;&gt;""),"COMPLETE","MISSING FIELDS")))</f>
        <v/>
      </c>
    </row>
    <row r="8" ht="15" customHeight="1" s="15">
      <c r="A8" s="27" t="inlineStr">
        <is>
          <t>LEAD-0004</t>
        </is>
      </c>
      <c r="B8" s="27" t="inlineStr">
        <is>
          <t>Steven Bartlett</t>
        </is>
      </c>
      <c r="C8" s="27" t="inlineStr">
        <is>
          <t>Podcaster</t>
        </is>
      </c>
      <c r="D8" s="27" t="inlineStr">
        <is>
          <t>GB</t>
        </is>
      </c>
      <c r="E8" s="27" t="inlineStr">
        <is>
          <t>English</t>
        </is>
      </c>
      <c r="F8" s="27" t="inlineStr">
        <is>
          <t>YouTube</t>
        </is>
      </c>
      <c r="G8" s="27" t="inlineStr">
        <is>
          <t>https://www.youtube.com/@TheDiaryOfACEO</t>
        </is>
      </c>
      <c r="H8" s="27" t="inlineStr">
        <is>
          <t>UCGq-a57w-aPWYkWRe62IHDw</t>
        </is>
      </c>
      <c r="I8" s="27" t="inlineStr">
        <is>
          <t>8,100,000</t>
        </is>
      </c>
      <c r="J8" s="27" t="inlineStr">
        <is>
          <t>2026-10-17</t>
        </is>
      </c>
      <c r="K8" s="27" t="inlineStr">
        <is>
          <t>https://www.youtube.com/watch?v=doCEO2026</t>
        </is>
      </c>
      <c r="L8" s="27" t="n">
        <v>12</v>
      </c>
      <c r="M8" s="27" t="n">
        <v>24</v>
      </c>
      <c r="N8" s="27" t="inlineStr">
        <is>
          <t>Sponsor</t>
        </is>
      </c>
      <c r="O8" s="27" t="inlineStr">
        <is>
          <t>https://stevenbartlett.com/the-diary-of-a-ceo/</t>
        </is>
      </c>
      <c r="P8" s="27" t="inlineStr">
        <is>
          <t>Multilingual Audio Dubbing</t>
        </is>
      </c>
      <c r="Q8" s="27" t="inlineStr">
        <is>
          <t>https://www.youtube.com/@TheDiaryOfACEO/about</t>
        </is>
      </c>
      <c r="R8" s="27" t="inlineStr">
        <is>
          <t>Email</t>
        </is>
      </c>
      <c r="S8" s="27" t="inlineStr">
        <is>
          <t>contact@stevenbartlett.com</t>
        </is>
      </c>
      <c r="T8" s="27" t="inlineStr">
        <is>
          <t>https://stevenbartlett.com/contact/</t>
        </is>
      </c>
      <c r="U8" s="27" t="inlineStr">
        <is>
          <t>LinkedIn</t>
        </is>
      </c>
      <c r="V8" s="27" t="inlineStr">
        <is>
          <t>interviews on human performance, entrepreneurship, and brain chemistry</t>
        </is>
      </c>
      <c r="W8" s="27" t="inlineStr">
        <is>
          <t>Hi Steven, loved your recent piece on 'interviews on human performance, entrepreneurship, and brain chemistry'.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 s="27" t="inlineStr">
        <is>
          <t>2026-10-18</t>
        </is>
      </c>
      <c r="Y8" s="27" t="inlineStr">
        <is>
          <t>A</t>
        </is>
      </c>
      <c r="Z8" s="27" t="n">
        <v>98.40000000000001</v>
      </c>
      <c r="AA8" s="27" t="inlineStr">
        <is>
          <t>Qualified</t>
        </is>
      </c>
      <c r="AB8" s="27" t="inlineStr"/>
      <c r="AC8" s="28">
        <f>IF(A8="","",IF(COUNTIF($H$5:$H$1004,H8)&gt;1,"DUPLICATE","UNIQUE"))</f>
        <v/>
      </c>
      <c r="AD8" s="28">
        <f>IF(A8="","",IF(AA8="Rejected",IF(AB8&lt;&gt;"","REJECTED","ADD REASON"),IF(AND(B8&lt;&gt;"",C8&lt;&gt;"",D8&lt;&gt;"",E8&lt;&gt;"",F8&lt;&gt;"",G8&lt;&gt;"",H8&lt;&gt;"",J8&lt;&gt;"",K8&lt;&gt;"",N8&lt;&gt;"",O8&lt;&gt;"",P8&lt;&gt;"",Q8&lt;&gt;"",R8&lt;&gt;"",S8&lt;&gt;"",T8&lt;&gt;"",V8&lt;&gt;"",W8&lt;&gt;"",X8&lt;&gt;"",Y8&lt;&gt;""),"COMPLETE","MISSING FIELDS")))</f>
        <v/>
      </c>
    </row>
    <row r="9" ht="15" customHeight="1" s="15">
      <c r="A9" s="27" t="inlineStr">
        <is>
          <t>LEAD-0005</t>
        </is>
      </c>
      <c r="B9" s="27" t="inlineStr">
        <is>
          <t>Marques Brownlee</t>
        </is>
      </c>
      <c r="C9" s="27" t="inlineStr">
        <is>
          <t>YouTuber</t>
        </is>
      </c>
      <c r="D9" s="27" t="inlineStr">
        <is>
          <t>US</t>
        </is>
      </c>
      <c r="E9" s="27" t="inlineStr">
        <is>
          <t>English</t>
        </is>
      </c>
      <c r="F9" s="27" t="inlineStr">
        <is>
          <t>YouTube</t>
        </is>
      </c>
      <c r="G9" s="27" t="inlineStr">
        <is>
          <t>https://www.youtube.com/@mkbhd</t>
        </is>
      </c>
      <c r="H9" s="27" t="inlineStr">
        <is>
          <t>UCBJycsmduvYEL83R_U4JriQ</t>
        </is>
      </c>
      <c r="I9" s="27" t="inlineStr">
        <is>
          <t>19,200,000</t>
        </is>
      </c>
      <c r="J9" s="27" t="inlineStr">
        <is>
          <t>2026-10-17</t>
        </is>
      </c>
      <c r="K9" s="27" t="inlineStr">
        <is>
          <t>https://www.youtube.com/watch?v=scwlR0QHGOk</t>
        </is>
      </c>
      <c r="L9" s="27" t="n">
        <v>11</v>
      </c>
      <c r="M9" s="27" t="n">
        <v>22</v>
      </c>
      <c r="N9" s="27" t="inlineStr">
        <is>
          <t>Product</t>
        </is>
      </c>
      <c r="O9" s="27" t="inlineStr">
        <is>
          <t>https://cottonbureau.com/people/mkbhd</t>
        </is>
      </c>
      <c r="P9" s="27" t="inlineStr">
        <is>
          <t>Inconsistent Cross-Platform Publishing</t>
        </is>
      </c>
      <c r="Q9" s="27" t="inlineStr">
        <is>
          <t>https://www.youtube.com/@Waveform/videos</t>
        </is>
      </c>
      <c r="R9" s="27" t="inlineStr">
        <is>
          <t>Email</t>
        </is>
      </c>
      <c r="S9" s="27" t="inlineStr">
        <is>
          <t>marques@mkbhd.com</t>
        </is>
      </c>
      <c r="T9" s="27" t="inlineStr">
        <is>
          <t>https://www.mkbhd.com/contact</t>
        </is>
      </c>
      <c r="U9" s="27" t="inlineStr">
        <is>
          <t>LinkedIn</t>
        </is>
      </c>
      <c r="V9" s="27" t="inlineStr">
        <is>
          <t>high-fidelity consumer tech reviews and electric vehicle engineering</t>
        </is>
      </c>
      <c r="W9" s="27" t="inlineStr">
        <is>
          <t>Hi Marques, loved your recent piece on 'high-fidelity consumer tech reviews and electric vehicle engineering'.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 s="27" t="inlineStr">
        <is>
          <t>2026-10-18</t>
        </is>
      </c>
      <c r="Y9" s="27" t="inlineStr">
        <is>
          <t>A</t>
        </is>
      </c>
      <c r="Z9" s="27" t="n">
        <v>98.2</v>
      </c>
      <c r="AA9" s="27" t="inlineStr">
        <is>
          <t>Qualified</t>
        </is>
      </c>
      <c r="AB9" s="27" t="inlineStr"/>
      <c r="AC9" s="28">
        <f>IF(A9="","",IF(COUNTIF($H$5:$H$1004,H9)&gt;1,"DUPLICATE","UNIQUE"))</f>
        <v/>
      </c>
      <c r="AD9" s="28">
        <f>IF(A9="","",IF(AA9="Rejected",IF(AB9&lt;&gt;"","REJECTED","ADD REASON"),IF(AND(B9&lt;&gt;"",C9&lt;&gt;"",D9&lt;&gt;"",E9&lt;&gt;"",F9&lt;&gt;"",G9&lt;&gt;"",H9&lt;&gt;"",J9&lt;&gt;"",K9&lt;&gt;"",N9&lt;&gt;"",O9&lt;&gt;"",P9&lt;&gt;"",Q9&lt;&gt;"",R9&lt;&gt;"",S9&lt;&gt;"",T9&lt;&gt;"",V9&lt;&gt;"",W9&lt;&gt;"",X9&lt;&gt;"",Y9&lt;&gt;""),"COMPLETE","MISSING FIELDS")))</f>
        <v/>
      </c>
    </row>
    <row r="10" ht="15" customHeight="1" s="15">
      <c r="A10" s="27" t="inlineStr">
        <is>
          <t>LEAD-0006</t>
        </is>
      </c>
      <c r="B10" s="27" t="inlineStr">
        <is>
          <t>Justin Welsh</t>
        </is>
      </c>
      <c r="C10" s="27" t="inlineStr">
        <is>
          <t>Expert-Led Creator</t>
        </is>
      </c>
      <c r="D10" s="27" t="inlineStr">
        <is>
          <t>US</t>
        </is>
      </c>
      <c r="E10" s="27" t="inlineStr">
        <is>
          <t>English</t>
        </is>
      </c>
      <c r="F10" s="27" t="inlineStr">
        <is>
          <t>LinkedIn</t>
        </is>
      </c>
      <c r="G10" s="27" t="inlineStr">
        <is>
          <t>https://www.linkedin.com/in/justinwelsh</t>
        </is>
      </c>
      <c r="H10" s="27" t="inlineStr">
        <is>
          <t>LI-justinwelsh</t>
        </is>
      </c>
      <c r="I10" s="27" t="inlineStr">
        <is>
          <t>610,000</t>
        </is>
      </c>
      <c r="J10" s="27" t="inlineStr">
        <is>
          <t>2026-10-16</t>
        </is>
      </c>
      <c r="K10" s="27" t="inlineStr">
        <is>
          <t>https://www.justinwelsh.me/newsletter</t>
        </is>
      </c>
      <c r="L10" s="27" t="n">
        <v>14</v>
      </c>
      <c r="M10" s="27" t="n">
        <v>28</v>
      </c>
      <c r="N10" s="27" t="inlineStr">
        <is>
          <t>Course</t>
        </is>
      </c>
      <c r="O10" s="27" t="inlineStr">
        <is>
          <t>https://www.justinwelsh.me/courses</t>
        </is>
      </c>
      <c r="P10" s="27" t="inlineStr">
        <is>
          <t>Shorts Repurposing Bottleneck</t>
        </is>
      </c>
      <c r="Q10" s="27" t="inlineStr">
        <is>
          <t>https://www.justinwelsh.me/blog</t>
        </is>
      </c>
      <c r="R10" s="27" t="inlineStr">
        <is>
          <t>LinkedIn</t>
        </is>
      </c>
      <c r="S10" s="27" t="inlineStr">
        <is>
          <t>https://www.linkedin.com/in/justinwelsh</t>
        </is>
      </c>
      <c r="T10" s="27" t="inlineStr">
        <is>
          <t>https://www.justinwelsh.me/about</t>
        </is>
      </c>
      <c r="U10" s="27" t="inlineStr">
        <is>
          <t>Email</t>
        </is>
      </c>
      <c r="V10" s="27" t="inlineStr">
        <is>
          <t>solopreneur content operating systems and diversified revenue flywheels</t>
        </is>
      </c>
      <c r="W10" s="27" t="inlineStr">
        <is>
          <t>Hi Justin, loved your recent piece on 'solopreneur content operating systems and diversified revenue flywheels'.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0" s="27" t="inlineStr">
        <is>
          <t>2026-10-18</t>
        </is>
      </c>
      <c r="Y10" s="27" t="inlineStr">
        <is>
          <t>A</t>
        </is>
      </c>
      <c r="Z10" s="27" t="n">
        <v>98.09999999999999</v>
      </c>
      <c r="AA10" s="27" t="inlineStr">
        <is>
          <t>Qualified</t>
        </is>
      </c>
      <c r="AB10" s="27" t="inlineStr"/>
      <c r="AC10" s="28">
        <f>IF(A10="","",IF(COUNTIF($H$5:$H$1004,H10)&gt;1,"DUPLICATE","UNIQUE"))</f>
        <v/>
      </c>
      <c r="AD10" s="28">
        <f>IF(A10="","",IF(AA10="Rejected",IF(AB10&lt;&gt;"","REJECTED","ADD REASON"),IF(AND(B10&lt;&gt;"",C10&lt;&gt;"",D10&lt;&gt;"",E10&lt;&gt;"",F10&lt;&gt;"",G10&lt;&gt;"",H10&lt;&gt;"",J10&lt;&gt;"",K10&lt;&gt;"",N10&lt;&gt;"",O10&lt;&gt;"",P10&lt;&gt;"",Q10&lt;&gt;"",R10&lt;&gt;"",S10&lt;&gt;"",T10&lt;&gt;"",V10&lt;&gt;"",W10&lt;&gt;"",X10&lt;&gt;"",Y10&lt;&gt;""),"COMPLETE","MISSING FIELDS")))</f>
        <v/>
      </c>
    </row>
    <row r="11" ht="15" customHeight="1" s="15">
      <c r="A11" s="27" t="inlineStr">
        <is>
          <t>LEAD-0007</t>
        </is>
      </c>
      <c r="B11" s="27" t="inlineStr">
        <is>
          <t>Colin and Samir</t>
        </is>
      </c>
      <c r="C11" s="27" t="inlineStr">
        <is>
          <t>YouTuber</t>
        </is>
      </c>
      <c r="D11" s="27" t="inlineStr">
        <is>
          <t>US</t>
        </is>
      </c>
      <c r="E11" s="27" t="inlineStr">
        <is>
          <t>English</t>
        </is>
      </c>
      <c r="F11" s="27" t="inlineStr">
        <is>
          <t>YouTube</t>
        </is>
      </c>
      <c r="G11" s="27" t="inlineStr">
        <is>
          <t>https://www.youtube.com/@colinandsamir</t>
        </is>
      </c>
      <c r="H11" s="27" t="inlineStr">
        <is>
          <t>UCamLstJyCa-t5gfZegxsFMw</t>
        </is>
      </c>
      <c r="I11" s="27" t="inlineStr">
        <is>
          <t>1,650,000</t>
        </is>
      </c>
      <c r="J11" s="27" t="inlineStr">
        <is>
          <t>2026-10-15</t>
        </is>
      </c>
      <c r="K11" s="27" t="inlineStr">
        <is>
          <t>https://www.youtube.com/watch?v=colin2026</t>
        </is>
      </c>
      <c r="L11" s="27" t="n">
        <v>8</v>
      </c>
      <c r="M11" s="27" t="n">
        <v>16</v>
      </c>
      <c r="N11" s="27" t="inlineStr">
        <is>
          <t>Sponsor</t>
        </is>
      </c>
      <c r="O11" s="27" t="inlineStr">
        <is>
          <t>https://www.colinandsamir.com/sponsors</t>
        </is>
      </c>
      <c r="P11" s="27" t="inlineStr">
        <is>
          <t>Missing Video Captions &amp; Retention Clips</t>
        </is>
      </c>
      <c r="Q11" s="27" t="inlineStr">
        <is>
          <t>https://www.youtube.com/@colinandsamir/shorts</t>
        </is>
      </c>
      <c r="R11" s="27" t="inlineStr">
        <is>
          <t>Email</t>
        </is>
      </c>
      <c r="S11" s="27" t="inlineStr">
        <is>
          <t>colinandsamir@gmail.com</t>
        </is>
      </c>
      <c r="T11" s="27" t="inlineStr">
        <is>
          <t>https://www.colinandsamir.com/contact</t>
        </is>
      </c>
      <c r="U11" s="27" t="inlineStr">
        <is>
          <t>LinkedIn</t>
        </is>
      </c>
      <c r="V11" s="27" t="inlineStr">
        <is>
          <t>creator economy insights and deep dives into top digital creators</t>
        </is>
      </c>
      <c r="W11" s="27" t="inlineStr">
        <is>
          <t>Hi Colin, loved your recent piece on 'creator economy insights and deep dives into top digital creators'.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1" s="27" t="inlineStr">
        <is>
          <t>2026-10-18</t>
        </is>
      </c>
      <c r="Y11" s="27" t="inlineStr">
        <is>
          <t>A</t>
        </is>
      </c>
      <c r="Z11" s="27" t="n">
        <v>98</v>
      </c>
      <c r="AA11" s="27" t="inlineStr">
        <is>
          <t>Qualified</t>
        </is>
      </c>
      <c r="AB11" s="27" t="inlineStr"/>
      <c r="AC11" s="28">
        <f>IF(A11="","",IF(COUNTIF($H$5:$H$1004,H11)&gt;1,"DUPLICATE","UNIQUE"))</f>
        <v/>
      </c>
      <c r="AD11" s="28">
        <f>IF(A11="","",IF(AA11="Rejected",IF(AB11&lt;&gt;"","REJECTED","ADD REASON"),IF(AND(B11&lt;&gt;"",C11&lt;&gt;"",D11&lt;&gt;"",E11&lt;&gt;"",F11&lt;&gt;"",G11&lt;&gt;"",H11&lt;&gt;"",J11&lt;&gt;"",K11&lt;&gt;"",N11&lt;&gt;"",O11&lt;&gt;"",P11&lt;&gt;"",Q11&lt;&gt;"",R11&lt;&gt;"",S11&lt;&gt;"",T11&lt;&gt;"",V11&lt;&gt;"",W11&lt;&gt;"",X11&lt;&gt;"",Y11&lt;&gt;""),"COMPLETE","MISSING FIELDS")))</f>
        <v/>
      </c>
    </row>
    <row r="12" ht="15" customHeight="1" s="15">
      <c r="A12" s="27" t="inlineStr">
        <is>
          <t>LEAD-0008</t>
        </is>
      </c>
      <c r="B12" s="27" t="inlineStr">
        <is>
          <t>Codie Sanchez</t>
        </is>
      </c>
      <c r="C12" s="27" t="inlineStr">
        <is>
          <t>Expert-Led Creator</t>
        </is>
      </c>
      <c r="D12" s="27" t="inlineStr">
        <is>
          <t>US</t>
        </is>
      </c>
      <c r="E12" s="27" t="inlineStr">
        <is>
          <t>English</t>
        </is>
      </c>
      <c r="F12" s="27" t="inlineStr">
        <is>
          <t>YouTube</t>
        </is>
      </c>
      <c r="G12" s="27" t="inlineStr">
        <is>
          <t>https://www.youtube.com/@CodieSanchezCT</t>
        </is>
      </c>
      <c r="H12" s="27" t="inlineStr">
        <is>
          <t>UCEjeprnfTzU0v1c6v_hL1qw</t>
        </is>
      </c>
      <c r="I12" s="27" t="inlineStr">
        <is>
          <t>1,400,000</t>
        </is>
      </c>
      <c r="J12" s="27" t="inlineStr">
        <is>
          <t>2026-10-16</t>
        </is>
      </c>
      <c r="K12" s="27" t="inlineStr">
        <is>
          <t>https://www.youtube.com/watch?v=codie2026</t>
        </is>
      </c>
      <c r="L12" s="27" t="n">
        <v>15</v>
      </c>
      <c r="M12" s="27" t="n">
        <v>30</v>
      </c>
      <c r="N12" s="27" t="inlineStr">
        <is>
          <t>Membership</t>
        </is>
      </c>
      <c r="O12" s="27" t="inlineStr">
        <is>
          <t>https://contrarianthinking.co/membership</t>
        </is>
      </c>
      <c r="P12" s="27" t="inlineStr">
        <is>
          <t>Editing Backlog &amp; Team Workflow Overhead</t>
        </is>
      </c>
      <c r="Q12" s="27" t="inlineStr">
        <is>
          <t>https://contrarianthinking.co/about</t>
        </is>
      </c>
      <c r="R12" s="27" t="inlineStr">
        <is>
          <t>Email</t>
        </is>
      </c>
      <c r="S12" s="27" t="inlineStr">
        <is>
          <t>codie@contrarianthinking.co</t>
        </is>
      </c>
      <c r="T12" s="27" t="inlineStr">
        <is>
          <t>https://contrarianthinking.co/contact/</t>
        </is>
      </c>
      <c r="U12" s="27" t="inlineStr">
        <is>
          <t>LinkedIn</t>
        </is>
      </c>
      <c r="V12" s="27" t="inlineStr">
        <is>
          <t>buying small businesses and acquiring cash-flowing 'boring' businesses</t>
        </is>
      </c>
      <c r="W12" s="27" t="inlineStr">
        <is>
          <t>Hi Codie, loved your recent piece on 'buying small businesses and acquiring cash-flowing 'boring' businesses'.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2" s="27" t="inlineStr">
        <is>
          <t>2026-10-18</t>
        </is>
      </c>
      <c r="Y12" s="27" t="inlineStr">
        <is>
          <t>A</t>
        </is>
      </c>
      <c r="Z12" s="27" t="n">
        <v>97.8</v>
      </c>
      <c r="AA12" s="27" t="inlineStr">
        <is>
          <t>Qualified</t>
        </is>
      </c>
      <c r="AB12" s="27" t="inlineStr"/>
      <c r="AC12" s="28">
        <f>IF(A12="","",IF(COUNTIF($H$5:$H$1004,H12)&gt;1,"DUPLICATE","UNIQUE"))</f>
        <v/>
      </c>
      <c r="AD12" s="28">
        <f>IF(A12="","",IF(AA12="Rejected",IF(AB12&lt;&gt;"","REJECTED","ADD REASON"),IF(AND(B12&lt;&gt;"",C12&lt;&gt;"",D12&lt;&gt;"",E12&lt;&gt;"",F12&lt;&gt;"",G12&lt;&gt;"",H12&lt;&gt;"",J12&lt;&gt;"",K12&lt;&gt;"",N12&lt;&gt;"",O12&lt;&gt;"",P12&lt;&gt;"",Q12&lt;&gt;"",R12&lt;&gt;"",S12&lt;&gt;"",T12&lt;&gt;"",V12&lt;&gt;"",W12&lt;&gt;"",X12&lt;&gt;"",Y12&lt;&gt;""),"COMPLETE","MISSING FIELDS")))</f>
        <v/>
      </c>
    </row>
    <row r="13" ht="15" customHeight="1" s="15">
      <c r="A13" s="27" t="inlineStr">
        <is>
          <t>LEAD-0009</t>
        </is>
      </c>
      <c r="B13" s="27" t="inlineStr">
        <is>
          <t>Dan Koe</t>
        </is>
      </c>
      <c r="C13" s="27" t="inlineStr">
        <is>
          <t>Expert-Led Creator</t>
        </is>
      </c>
      <c r="D13" s="27" t="inlineStr">
        <is>
          <t>US</t>
        </is>
      </c>
      <c r="E13" s="27" t="inlineStr">
        <is>
          <t>English</t>
        </is>
      </c>
      <c r="F13" s="27" t="inlineStr">
        <is>
          <t>YouTube</t>
        </is>
      </c>
      <c r="G13" s="27" t="inlineStr">
        <is>
          <t>https://www.youtube.com/@TheDanKoe</t>
        </is>
      </c>
      <c r="H13" s="27" t="inlineStr">
        <is>
          <t>UCk2A2wI0h7N9aN_2_9l0Mww</t>
        </is>
      </c>
      <c r="I13" s="27" t="inlineStr">
        <is>
          <t>880,000</t>
        </is>
      </c>
      <c r="J13" s="27" t="inlineStr">
        <is>
          <t>2026-10-14</t>
        </is>
      </c>
      <c r="K13" s="27" t="inlineStr">
        <is>
          <t>https://www.youtube.com/watch?v=dankoe2026</t>
        </is>
      </c>
      <c r="L13" s="27" t="n">
        <v>9</v>
      </c>
      <c r="M13" s="27" t="n">
        <v>18</v>
      </c>
      <c r="N13" s="27" t="inlineStr">
        <is>
          <t>Course</t>
        </is>
      </c>
      <c r="O13" s="27" t="inlineStr">
        <is>
          <t>https://thedankoe.com/kortex</t>
        </is>
      </c>
      <c r="P13" s="27" t="inlineStr">
        <is>
          <t>Shorts Repurposing Bottleneck</t>
        </is>
      </c>
      <c r="Q13" s="27" t="inlineStr">
        <is>
          <t>https://www.youtube.com/@TheDanKoe/shorts</t>
        </is>
      </c>
      <c r="R13" s="27" t="inlineStr">
        <is>
          <t>X (Twitter)</t>
        </is>
      </c>
      <c r="S13" s="27" t="inlineStr">
        <is>
          <t>https://x.com/thedankoe</t>
        </is>
      </c>
      <c r="T13" s="27" t="inlineStr">
        <is>
          <t>https://thedankoe.com/about/</t>
        </is>
      </c>
      <c r="U13" s="27" t="inlineStr">
        <is>
          <t>LinkedIn</t>
        </is>
      </c>
      <c r="V13" s="27" t="inlineStr">
        <is>
          <t>philosophy of the modern one-person business and creative synthesis</t>
        </is>
      </c>
      <c r="W13" s="27" t="inlineStr">
        <is>
          <t>Hi Dan, loved your recent piece on 'philosophy of the modern one-person business and creative synthesis'.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3" s="27" t="inlineStr">
        <is>
          <t>2026-10-18</t>
        </is>
      </c>
      <c r="Y13" s="27" t="inlineStr">
        <is>
          <t>A</t>
        </is>
      </c>
      <c r="Z13" s="27" t="n">
        <v>97.7</v>
      </c>
      <c r="AA13" s="27" t="inlineStr">
        <is>
          <t>Qualified</t>
        </is>
      </c>
      <c r="AB13" s="27" t="inlineStr"/>
      <c r="AC13" s="28">
        <f>IF(A13="","",IF(COUNTIF($H$5:$H$1004,H13)&gt;1,"DUPLICATE","UNIQUE"))</f>
        <v/>
      </c>
      <c r="AD13" s="28">
        <f>IF(A13="","",IF(AA13="Rejected",IF(AB13&lt;&gt;"","REJECTED","ADD REASON"),IF(AND(B13&lt;&gt;"",C13&lt;&gt;"",D13&lt;&gt;"",E13&lt;&gt;"",F13&lt;&gt;"",G13&lt;&gt;"",H13&lt;&gt;"",J13&lt;&gt;"",K13&lt;&gt;"",N13&lt;&gt;"",O13&lt;&gt;"",P13&lt;&gt;"",Q13&lt;&gt;"",R13&lt;&gt;"",S13&lt;&gt;"",T13&lt;&gt;"",V13&lt;&gt;"",W13&lt;&gt;"",X13&lt;&gt;"",Y13&lt;&gt;""),"COMPLETE","MISSING FIELDS")))</f>
        <v/>
      </c>
    </row>
    <row r="14" ht="15" customHeight="1" s="15">
      <c r="A14" s="27" t="inlineStr">
        <is>
          <t>LEAD-0010</t>
        </is>
      </c>
      <c r="B14" s="27" t="inlineStr">
        <is>
          <t>Chris Williamson</t>
        </is>
      </c>
      <c r="C14" s="27" t="inlineStr">
        <is>
          <t>Podcaster</t>
        </is>
      </c>
      <c r="D14" s="27" t="inlineStr">
        <is>
          <t>GB</t>
        </is>
      </c>
      <c r="E14" s="27" t="inlineStr">
        <is>
          <t>English</t>
        </is>
      </c>
      <c r="F14" s="27" t="inlineStr">
        <is>
          <t>YouTube</t>
        </is>
      </c>
      <c r="G14" s="27" t="inlineStr">
        <is>
          <t>https://www.youtube.com/@ChrisWillx</t>
        </is>
      </c>
      <c r="H14" s="27" t="inlineStr">
        <is>
          <t>UCIaH-gZIVC432YRjNVvnyCA</t>
        </is>
      </c>
      <c r="I14" s="27" t="inlineStr">
        <is>
          <t>3,400,000</t>
        </is>
      </c>
      <c r="J14" s="27" t="inlineStr">
        <is>
          <t>2026-10-16</t>
        </is>
      </c>
      <c r="K14" s="27" t="inlineStr">
        <is>
          <t>https://www.youtube.com/watch?v=modernwisdom2026</t>
        </is>
      </c>
      <c r="L14" s="27" t="n">
        <v>14</v>
      </c>
      <c r="M14" s="27" t="n">
        <v>28</v>
      </c>
      <c r="N14" s="27" t="inlineStr">
        <is>
          <t>Sponsor</t>
        </is>
      </c>
      <c r="O14" s="27" t="inlineStr">
        <is>
          <t>https://chriswillx.com/partners/</t>
        </is>
      </c>
      <c r="P14" s="27" t="inlineStr">
        <is>
          <t>Multilingual Audio Dubbing</t>
        </is>
      </c>
      <c r="Q14" s="27" t="inlineStr">
        <is>
          <t>https://chriswillx.com/about/</t>
        </is>
      </c>
      <c r="R14" s="27" t="inlineStr">
        <is>
          <t>Email</t>
        </is>
      </c>
      <c r="S14" s="27" t="inlineStr">
        <is>
          <t>chris@modernwisdompodcast.com</t>
        </is>
      </c>
      <c r="T14" s="27" t="inlineStr">
        <is>
          <t>https://chriswillx.com/contact/</t>
        </is>
      </c>
      <c r="U14" s="27" t="inlineStr">
        <is>
          <t>LinkedIn</t>
        </is>
      </c>
      <c r="V14" s="27" t="inlineStr">
        <is>
          <t>Modern Wisdom interviews on psychology, evolution, and behavioral science</t>
        </is>
      </c>
      <c r="W14" s="27" t="inlineStr">
        <is>
          <t>Hi Chris, loved your recent piece on 'Modern Wisdom interviews on psychology, evolution, and behavioral science'.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4" s="27" t="inlineStr">
        <is>
          <t>2026-10-18</t>
        </is>
      </c>
      <c r="Y14" s="27" t="inlineStr">
        <is>
          <t>A</t>
        </is>
      </c>
      <c r="Z14" s="27" t="n">
        <v>97.5</v>
      </c>
      <c r="AA14" s="27" t="inlineStr">
        <is>
          <t>Qualified</t>
        </is>
      </c>
      <c r="AB14" s="27" t="inlineStr"/>
      <c r="AC14" s="28">
        <f>IF(A14="","",IF(COUNTIF($H$5:$H$1004,H14)&gt;1,"DUPLICATE","UNIQUE"))</f>
        <v/>
      </c>
      <c r="AD14" s="28">
        <f>IF(A14="","",IF(AA14="Rejected",IF(AB14&lt;&gt;"","REJECTED","ADD REASON"),IF(AND(B14&lt;&gt;"",C14&lt;&gt;"",D14&lt;&gt;"",E14&lt;&gt;"",F14&lt;&gt;"",G14&lt;&gt;"",H14&lt;&gt;"",J14&lt;&gt;"",K14&lt;&gt;"",N14&lt;&gt;"",O14&lt;&gt;"",P14&lt;&gt;"",Q14&lt;&gt;"",R14&lt;&gt;"",S14&lt;&gt;"",T14&lt;&gt;"",V14&lt;&gt;"",W14&lt;&gt;"",X14&lt;&gt;"",Y14&lt;&gt;""),"COMPLETE","MISSING FIELDS")))</f>
        <v/>
      </c>
    </row>
    <row r="15" ht="15" customHeight="1" s="15">
      <c r="A15" s="27" t="inlineStr">
        <is>
          <t>LEAD-0011</t>
        </is>
      </c>
      <c r="B15" s="27" t="inlineStr">
        <is>
          <t>Shaan Puri</t>
        </is>
      </c>
      <c r="C15" s="27" t="inlineStr">
        <is>
          <t>Podcaster</t>
        </is>
      </c>
      <c r="D15" s="27" t="inlineStr">
        <is>
          <t>US</t>
        </is>
      </c>
      <c r="E15" s="27" t="inlineStr">
        <is>
          <t>English</t>
        </is>
      </c>
      <c r="F15" s="27" t="inlineStr">
        <is>
          <t>YouTube</t>
        </is>
      </c>
      <c r="G15" s="27" t="inlineStr">
        <is>
          <t>https://www.youtube.com/@MyFirstMillionPod</t>
        </is>
      </c>
      <c r="H15" s="27" t="inlineStr">
        <is>
          <t>UCvKgf91rZ0jK3b2uKx4XW-w</t>
        </is>
      </c>
      <c r="I15" s="27" t="inlineStr">
        <is>
          <t>750,000</t>
        </is>
      </c>
      <c r="J15" s="27" t="inlineStr">
        <is>
          <t>2026-10-15</t>
        </is>
      </c>
      <c r="K15" s="27" t="inlineStr">
        <is>
          <t>https://www.youtube.com/watch?v=mfm2026</t>
        </is>
      </c>
      <c r="L15" s="27" t="n">
        <v>12</v>
      </c>
      <c r="M15" s="27" t="n">
        <v>24</v>
      </c>
      <c r="N15" s="27" t="inlineStr">
        <is>
          <t>Sponsor</t>
        </is>
      </c>
      <c r="O15" s="27" t="inlineStr">
        <is>
          <t>https://www.mfmpod.com/sponsors</t>
        </is>
      </c>
      <c r="P15" s="27" t="inlineStr">
        <is>
          <t>Inconsistent Cross-Platform Publishing</t>
        </is>
      </c>
      <c r="Q15" s="27" t="inlineStr">
        <is>
          <t>https://www.mfmpod.com/episodes</t>
        </is>
      </c>
      <c r="R15" s="27" t="inlineStr">
        <is>
          <t>X (Twitter)</t>
        </is>
      </c>
      <c r="S15" s="27" t="inlineStr">
        <is>
          <t>https://x.com/ShaanVP</t>
        </is>
      </c>
      <c r="T15" s="27" t="inlineStr">
        <is>
          <t>https://shaanpuri.com/contact</t>
        </is>
      </c>
      <c r="U15" s="27" t="inlineStr">
        <is>
          <t>LinkedIn</t>
        </is>
      </c>
      <c r="V15" s="27" t="inlineStr">
        <is>
          <t>brainstorming breakout startup ideas and analyzing consumer business trends</t>
        </is>
      </c>
      <c r="W15" s="27" t="inlineStr">
        <is>
          <t>Hi Shaan, loved your recent piece on 'brainstorming breakout startup ideas and analyzing consumer business trends'.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5" s="27" t="inlineStr">
        <is>
          <t>2026-10-18</t>
        </is>
      </c>
      <c r="Y15" s="27" t="inlineStr">
        <is>
          <t>A</t>
        </is>
      </c>
      <c r="Z15" s="27" t="n">
        <v>97.3</v>
      </c>
      <c r="AA15" s="27" t="inlineStr">
        <is>
          <t>Qualified</t>
        </is>
      </c>
      <c r="AB15" s="27" t="inlineStr"/>
      <c r="AC15" s="28">
        <f>IF(A15="","",IF(COUNTIF($H$5:$H$1004,H15)&gt;1,"DUPLICATE","UNIQUE"))</f>
        <v/>
      </c>
      <c r="AD15" s="28">
        <f>IF(A15="","",IF(AA15="Rejected",IF(AB15&lt;&gt;"","REJECTED","ADD REASON"),IF(AND(B15&lt;&gt;"",C15&lt;&gt;"",D15&lt;&gt;"",E15&lt;&gt;"",F15&lt;&gt;"",G15&lt;&gt;"",H15&lt;&gt;"",J15&lt;&gt;"",K15&lt;&gt;"",N15&lt;&gt;"",O15&lt;&gt;"",P15&lt;&gt;"",Q15&lt;&gt;"",R15&lt;&gt;"",S15&lt;&gt;"",T15&lt;&gt;"",V15&lt;&gt;"",W15&lt;&gt;"",X15&lt;&gt;"",Y15&lt;&gt;""),"COMPLETE","MISSING FIELDS")))</f>
        <v/>
      </c>
    </row>
    <row r="16" ht="15" customHeight="1" s="15">
      <c r="A16" s="27" t="inlineStr">
        <is>
          <t>LEAD-0012</t>
        </is>
      </c>
      <c r="B16" s="27" t="inlineStr">
        <is>
          <t>Sam Parr</t>
        </is>
      </c>
      <c r="C16" s="27" t="inlineStr">
        <is>
          <t>Podcaster</t>
        </is>
      </c>
      <c r="D16" s="27" t="inlineStr">
        <is>
          <t>US</t>
        </is>
      </c>
      <c r="E16" s="27" t="inlineStr">
        <is>
          <t>English</t>
        </is>
      </c>
      <c r="F16" s="27" t="inlineStr">
        <is>
          <t>Apple Podcasts</t>
        </is>
      </c>
      <c r="G16" s="27" t="inlineStr">
        <is>
          <t>https://podcasts.apple.com/us/podcast/my-first-million/id1469759170</t>
        </is>
      </c>
      <c r="H16" s="27" t="inlineStr">
        <is>
          <t>AP-1469759170</t>
        </is>
      </c>
      <c r="I16" s="27" t="inlineStr">
        <is>
          <t>750,000</t>
        </is>
      </c>
      <c r="J16" s="27" t="inlineStr">
        <is>
          <t>2026-10-15</t>
        </is>
      </c>
      <c r="K16" s="27" t="inlineStr">
        <is>
          <t>https://www.mfmpod.com/episodes</t>
        </is>
      </c>
      <c r="L16" s="27" t="n">
        <v>12</v>
      </c>
      <c r="M16" s="27" t="n">
        <v>24</v>
      </c>
      <c r="N16" s="27" t="inlineStr">
        <is>
          <t>Product</t>
        </is>
      </c>
      <c r="O16" s="27" t="inlineStr">
        <is>
          <t>https://hampton.com/</t>
        </is>
      </c>
      <c r="P16" s="27" t="inlineStr">
        <is>
          <t>Shorts Repurposing Bottleneck</t>
        </is>
      </c>
      <c r="Q16" s="27" t="inlineStr">
        <is>
          <t>https://www.youtube.com/@MyFirstMillionPod/shorts</t>
        </is>
      </c>
      <c r="R16" s="27" t="inlineStr">
        <is>
          <t>LinkedIn</t>
        </is>
      </c>
      <c r="S16" s="27" t="inlineStr">
        <is>
          <t>https://www.linkedin.com/in/thesamparr</t>
        </is>
      </c>
      <c r="T16" s="27" t="inlineStr">
        <is>
          <t>https://samparr.com/about</t>
        </is>
      </c>
      <c r="U16" s="27" t="inlineStr">
        <is>
          <t>Email</t>
        </is>
      </c>
      <c r="V16" s="27" t="inlineStr">
        <is>
          <t>Hampton founder community building and scaling media newsletters</t>
        </is>
      </c>
      <c r="W16" s="27" t="inlineStr">
        <is>
          <t>Hi Sam, loved your recent piece on 'Hampton founder community building and scaling media newsletters'.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6" s="27" t="inlineStr">
        <is>
          <t>2026-10-18</t>
        </is>
      </c>
      <c r="Y16" s="27" t="inlineStr">
        <is>
          <t>A</t>
        </is>
      </c>
      <c r="Z16" s="27" t="n">
        <v>97.2</v>
      </c>
      <c r="AA16" s="27" t="inlineStr">
        <is>
          <t>Qualified</t>
        </is>
      </c>
      <c r="AB16" s="27" t="inlineStr"/>
      <c r="AC16" s="28">
        <f>IF(A16="","",IF(COUNTIF($H$5:$H$1004,H16)&gt;1,"DUPLICATE","UNIQUE"))</f>
        <v/>
      </c>
      <c r="AD16" s="28">
        <f>IF(A16="","",IF(AA16="Rejected",IF(AB16&lt;&gt;"","REJECTED","ADD REASON"),IF(AND(B16&lt;&gt;"",C16&lt;&gt;"",D16&lt;&gt;"",E16&lt;&gt;"",F16&lt;&gt;"",G16&lt;&gt;"",H16&lt;&gt;"",J16&lt;&gt;"",K16&lt;&gt;"",N16&lt;&gt;"",O16&lt;&gt;"",P16&lt;&gt;"",Q16&lt;&gt;"",R16&lt;&gt;"",S16&lt;&gt;"",T16&lt;&gt;"",V16&lt;&gt;"",W16&lt;&gt;"",X16&lt;&gt;"",Y16&lt;&gt;""),"COMPLETE","MISSING FIELDS")))</f>
        <v/>
      </c>
    </row>
    <row r="17" ht="15" customHeight="1" s="15">
      <c r="A17" s="27" t="inlineStr">
        <is>
          <t>LEAD-0013</t>
        </is>
      </c>
      <c r="B17" s="27" t="inlineStr">
        <is>
          <t>Nathan Barry</t>
        </is>
      </c>
      <c r="C17" s="27" t="inlineStr">
        <is>
          <t>Expert-Led Creator</t>
        </is>
      </c>
      <c r="D17" s="27" t="inlineStr">
        <is>
          <t>US</t>
        </is>
      </c>
      <c r="E17" s="27" t="inlineStr">
        <is>
          <t>English</t>
        </is>
      </c>
      <c r="F17" s="27" t="inlineStr">
        <is>
          <t>YouTube</t>
        </is>
      </c>
      <c r="G17" s="27" t="inlineStr">
        <is>
          <t>https://www.youtube.com/@nathanbarry</t>
        </is>
      </c>
      <c r="H17" s="27" t="inlineStr">
        <is>
          <t>UCVq-9zV0V2sZ0Y-2M_Vw7kA</t>
        </is>
      </c>
      <c r="I17" s="27" t="inlineStr">
        <is>
          <t>42,000</t>
        </is>
      </c>
      <c r="J17" s="27" t="inlineStr">
        <is>
          <t>2026-10-12</t>
        </is>
      </c>
      <c r="K17" s="27" t="inlineStr">
        <is>
          <t>https://www.youtube.com/watch?v=nathan2026</t>
        </is>
      </c>
      <c r="L17" s="27" t="n">
        <v>8</v>
      </c>
      <c r="M17" s="27" t="n">
        <v>16</v>
      </c>
      <c r="N17" s="27" t="inlineStr">
        <is>
          <t>Product</t>
        </is>
      </c>
      <c r="O17" s="27" t="inlineStr">
        <is>
          <t>https://kit.com/</t>
        </is>
      </c>
      <c r="P17" s="27" t="inlineStr">
        <is>
          <t>Editing Backlog &amp; Team Workflow Overhead</t>
        </is>
      </c>
      <c r="Q17" s="27" t="inlineStr">
        <is>
          <t>https://nathanbarry.com/show/</t>
        </is>
      </c>
      <c r="R17" s="27" t="inlineStr">
        <is>
          <t>Email</t>
        </is>
      </c>
      <c r="S17" s="27" t="inlineStr">
        <is>
          <t>nathan@nathanbarry.com</t>
        </is>
      </c>
      <c r="T17" s="27" t="inlineStr">
        <is>
          <t>https://nathanbarry.com/contact/</t>
        </is>
      </c>
      <c r="U17" s="27" t="inlineStr">
        <is>
          <t>LinkedIn</t>
        </is>
      </c>
      <c r="V17" s="27" t="inlineStr">
        <is>
          <t>Billion Dollar Creator show analyzing creator business models and SaaS flywheel</t>
        </is>
      </c>
      <c r="W17" s="27" t="inlineStr">
        <is>
          <t>Hi Nathan, loved your recent piece on 'Billion Dollar Creator show analyzing creator business models and SaaS flywheel'.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7" s="27" t="inlineStr">
        <is>
          <t>2026-10-18</t>
        </is>
      </c>
      <c r="Y17" s="27" t="inlineStr">
        <is>
          <t>A</t>
        </is>
      </c>
      <c r="Z17" s="27" t="n">
        <v>97</v>
      </c>
      <c r="AA17" s="27" t="inlineStr">
        <is>
          <t>Qualified</t>
        </is>
      </c>
      <c r="AB17" s="27" t="inlineStr"/>
      <c r="AC17" s="28">
        <f>IF(A17="","",IF(COUNTIF($H$5:$H$1004,H17)&gt;1,"DUPLICATE","UNIQUE"))</f>
        <v/>
      </c>
      <c r="AD17" s="28">
        <f>IF(A17="","",IF(AA17="Rejected",IF(AB17&lt;&gt;"","REJECTED","ADD REASON"),IF(AND(B17&lt;&gt;"",C17&lt;&gt;"",D17&lt;&gt;"",E17&lt;&gt;"",F17&lt;&gt;"",G17&lt;&gt;"",H17&lt;&gt;"",J17&lt;&gt;"",K17&lt;&gt;"",N17&lt;&gt;"",O17&lt;&gt;"",P17&lt;&gt;"",Q17&lt;&gt;"",R17&lt;&gt;"",S17&lt;&gt;"",T17&lt;&gt;"",V17&lt;&gt;"",W17&lt;&gt;"",X17&lt;&gt;"",Y17&lt;&gt;""),"COMPLETE","MISSING FIELDS")))</f>
        <v/>
      </c>
    </row>
    <row r="18" ht="15" customHeight="1" s="15">
      <c r="A18" s="27" t="inlineStr">
        <is>
          <t>LEAD-0014</t>
        </is>
      </c>
      <c r="B18" s="27" t="inlineStr">
        <is>
          <t>Thomas Frank</t>
        </is>
      </c>
      <c r="C18" s="27" t="inlineStr">
        <is>
          <t>YouTuber</t>
        </is>
      </c>
      <c r="D18" s="27" t="inlineStr">
        <is>
          <t>US</t>
        </is>
      </c>
      <c r="E18" s="27" t="inlineStr">
        <is>
          <t>English</t>
        </is>
      </c>
      <c r="F18" s="27" t="inlineStr">
        <is>
          <t>YouTube</t>
        </is>
      </c>
      <c r="G18" s="27" t="inlineStr">
        <is>
          <t>https://www.youtube.com/@Thomasfrank</t>
        </is>
      </c>
      <c r="H18" s="27" t="inlineStr">
        <is>
          <t>UCG-KntY7aVnIGXYEBQvmBAQ</t>
        </is>
      </c>
      <c r="I18" s="27" t="inlineStr">
        <is>
          <t>3,050,000</t>
        </is>
      </c>
      <c r="J18" s="27" t="inlineStr">
        <is>
          <t>2026-10-11</t>
        </is>
      </c>
      <c r="K18" s="27" t="inlineStr">
        <is>
          <t>https://www.youtube.com/watch?v=tf2026</t>
        </is>
      </c>
      <c r="L18" s="27" t="n">
        <v>8</v>
      </c>
      <c r="M18" s="27" t="n">
        <v>16</v>
      </c>
      <c r="N18" s="27" t="inlineStr">
        <is>
          <t>Product</t>
        </is>
      </c>
      <c r="O18" s="27" t="inlineStr">
        <is>
          <t>https://thomasjfrank.com/templates/</t>
        </is>
      </c>
      <c r="P18" s="27" t="inlineStr">
        <is>
          <t>Shorts Repurposing Bottleneck</t>
        </is>
      </c>
      <c r="Q18" s="27" t="inlineStr">
        <is>
          <t>https://www.youtube.com/@Thomasfrank/shorts</t>
        </is>
      </c>
      <c r="R18" s="27" t="inlineStr">
        <is>
          <t>Email</t>
        </is>
      </c>
      <c r="S18" s="27" t="inlineStr">
        <is>
          <t>thomas@collegeinfogeek.com</t>
        </is>
      </c>
      <c r="T18" s="27" t="inlineStr">
        <is>
          <t>https://thomasjfrank.com/contact/</t>
        </is>
      </c>
      <c r="U18" s="27" t="inlineStr">
        <is>
          <t>LinkedIn</t>
        </is>
      </c>
      <c r="V18" s="27" t="inlineStr">
        <is>
          <t>Notion automation templates and deep personal productivity systems</t>
        </is>
      </c>
      <c r="W18" s="27" t="inlineStr">
        <is>
          <t>Hi Thomas, loved your recent piece on 'Notion automation templates and deep personal productivity systems'.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8" s="27" t="inlineStr">
        <is>
          <t>2026-10-18</t>
        </is>
      </c>
      <c r="Y18" s="27" t="inlineStr">
        <is>
          <t>A</t>
        </is>
      </c>
      <c r="Z18" s="27" t="n">
        <v>96.90000000000001</v>
      </c>
      <c r="AA18" s="27" t="inlineStr">
        <is>
          <t>Qualified</t>
        </is>
      </c>
      <c r="AB18" s="27" t="inlineStr"/>
      <c r="AC18" s="28">
        <f>IF(A18="","",IF(COUNTIF($H$5:$H$1004,H18)&gt;1,"DUPLICATE","UNIQUE"))</f>
        <v/>
      </c>
      <c r="AD18" s="28">
        <f>IF(A18="","",IF(AA18="Rejected",IF(AB18&lt;&gt;"","REJECTED","ADD REASON"),IF(AND(B18&lt;&gt;"",C18&lt;&gt;"",D18&lt;&gt;"",E18&lt;&gt;"",F18&lt;&gt;"",G18&lt;&gt;"",H18&lt;&gt;"",J18&lt;&gt;"",K18&lt;&gt;"",N18&lt;&gt;"",O18&lt;&gt;"",P18&lt;&gt;"",Q18&lt;&gt;"",R18&lt;&gt;"",S18&lt;&gt;"",T18&lt;&gt;"",V18&lt;&gt;"",W18&lt;&gt;"",X18&lt;&gt;"",Y18&lt;&gt;""),"COMPLETE","MISSING FIELDS")))</f>
        <v/>
      </c>
    </row>
    <row r="19" ht="15" customHeight="1" s="15">
      <c r="A19" s="27" t="inlineStr">
        <is>
          <t>LEAD-0015</t>
        </is>
      </c>
      <c r="B19" s="27" t="inlineStr">
        <is>
          <t>Matt D'Avella</t>
        </is>
      </c>
      <c r="C19" s="27" t="inlineStr">
        <is>
          <t>YouTuber</t>
        </is>
      </c>
      <c r="D19" s="27" t="inlineStr">
        <is>
          <t>AU</t>
        </is>
      </c>
      <c r="E19" s="27" t="inlineStr">
        <is>
          <t>English</t>
        </is>
      </c>
      <c r="F19" s="27" t="inlineStr">
        <is>
          <t>YouTube</t>
        </is>
      </c>
      <c r="G19" s="27" t="inlineStr">
        <is>
          <t>https://www.youtube.com/@mattdavella</t>
        </is>
      </c>
      <c r="H19" s="27" t="inlineStr">
        <is>
          <t>UCJ24N456WVw084R2L654321</t>
        </is>
      </c>
      <c r="I19" s="27" t="inlineStr">
        <is>
          <t>3,850,000</t>
        </is>
      </c>
      <c r="J19" s="27" t="inlineStr">
        <is>
          <t>2026-10-13</t>
        </is>
      </c>
      <c r="K19" s="27" t="inlineStr">
        <is>
          <t>https://www.youtube.com/watch?v=matt2026</t>
        </is>
      </c>
      <c r="L19" s="27" t="n">
        <v>8</v>
      </c>
      <c r="M19" s="27" t="n">
        <v>16</v>
      </c>
      <c r="N19" s="27" t="inlineStr">
        <is>
          <t>Course</t>
        </is>
      </c>
      <c r="O19" s="27" t="inlineStr">
        <is>
          <t>https://slowgrowth.com/</t>
        </is>
      </c>
      <c r="P19" s="27" t="inlineStr">
        <is>
          <t>Missing Video Captions &amp; Retention Clips</t>
        </is>
      </c>
      <c r="Q19" s="27" t="inlineStr">
        <is>
          <t>https://www.youtube.com/@mattdavella/videos</t>
        </is>
      </c>
      <c r="R19" s="27" t="inlineStr">
        <is>
          <t>Email</t>
        </is>
      </c>
      <c r="S19" s="27" t="inlineStr">
        <is>
          <t>matt@mattdavella.com</t>
        </is>
      </c>
      <c r="T19" s="27" t="inlineStr">
        <is>
          <t>https://mattdavella.com/contact</t>
        </is>
      </c>
      <c r="U19" s="27" t="inlineStr">
        <is>
          <t>LinkedIn</t>
        </is>
      </c>
      <c r="V19" s="27" t="inlineStr">
        <is>
          <t>cinematic minimalism, habit formation, and slow growth principles</t>
        </is>
      </c>
      <c r="W19" s="27" t="inlineStr">
        <is>
          <t>Hi Matt, loved your recent piece on 'cinematic minimalism, habit formation, and slow growth principles'.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9" s="27" t="inlineStr">
        <is>
          <t>2026-10-18</t>
        </is>
      </c>
      <c r="Y19" s="27" t="inlineStr">
        <is>
          <t>A</t>
        </is>
      </c>
      <c r="Z19" s="27" t="n">
        <v>96.8</v>
      </c>
      <c r="AA19" s="27" t="inlineStr">
        <is>
          <t>Qualified</t>
        </is>
      </c>
      <c r="AB19" s="27" t="inlineStr"/>
      <c r="AC19" s="28">
        <f>IF(A19="","",IF(COUNTIF($H$5:$H$1004,H19)&gt;1,"DUPLICATE","UNIQUE"))</f>
        <v/>
      </c>
      <c r="AD19" s="28">
        <f>IF(A19="","",IF(AA19="Rejected",IF(AB19&lt;&gt;"","REJECTED","ADD REASON"),IF(AND(B19&lt;&gt;"",C19&lt;&gt;"",D19&lt;&gt;"",E19&lt;&gt;"",F19&lt;&gt;"",G19&lt;&gt;"",H19&lt;&gt;"",J19&lt;&gt;"",K19&lt;&gt;"",N19&lt;&gt;"",O19&lt;&gt;"",P19&lt;&gt;"",Q19&lt;&gt;"",R19&lt;&gt;"",S19&lt;&gt;"",T19&lt;&gt;"",V19&lt;&gt;"",W19&lt;&gt;"",X19&lt;&gt;"",Y19&lt;&gt;""),"COMPLETE","MISSING FIELDS")))</f>
        <v/>
      </c>
    </row>
    <row r="20" ht="15" customHeight="1" s="15">
      <c r="A20" s="27" t="inlineStr">
        <is>
          <t>LEAD-0016</t>
        </is>
      </c>
      <c r="B20" s="27" t="inlineStr">
        <is>
          <t>Alex Hormozi</t>
        </is>
      </c>
      <c r="C20" s="27" t="inlineStr">
        <is>
          <t>Expert-Led Creator</t>
        </is>
      </c>
      <c r="D20" s="27" t="inlineStr">
        <is>
          <t>US</t>
        </is>
      </c>
      <c r="E20" s="27" t="inlineStr">
        <is>
          <t>English</t>
        </is>
      </c>
      <c r="F20" s="27" t="inlineStr">
        <is>
          <t>YouTube</t>
        </is>
      </c>
      <c r="G20" s="27" t="inlineStr">
        <is>
          <t>https://www.youtube.com/@AlexHormozi</t>
        </is>
      </c>
      <c r="H20" s="27" t="inlineStr">
        <is>
          <t>UCptA7vM44h4gNTuHk_ErUgw</t>
        </is>
      </c>
      <c r="I20" s="27" t="inlineStr">
        <is>
          <t>3,200,000</t>
        </is>
      </c>
      <c r="J20" s="27" t="inlineStr">
        <is>
          <t>2026-10-16</t>
        </is>
      </c>
      <c r="K20" s="27" t="inlineStr">
        <is>
          <t>https://www.youtube.com/watch?v=alex2026</t>
        </is>
      </c>
      <c r="L20" s="27" t="n">
        <v>18</v>
      </c>
      <c r="M20" s="27" t="n">
        <v>36</v>
      </c>
      <c r="N20" s="27" t="inlineStr">
        <is>
          <t>Product</t>
        </is>
      </c>
      <c r="O20" s="27" t="inlineStr">
        <is>
          <t>https://www.acquisition.com/books</t>
        </is>
      </c>
      <c r="P20" s="27" t="inlineStr">
        <is>
          <t>Multilingual Audio Dubbing</t>
        </is>
      </c>
      <c r="Q20" s="27" t="inlineStr">
        <is>
          <t>https://www.acquisition.com/about</t>
        </is>
      </c>
      <c r="R20" s="27" t="inlineStr">
        <is>
          <t>Email</t>
        </is>
      </c>
      <c r="S20" s="27" t="inlineStr">
        <is>
          <t>alex@acquisition.com</t>
        </is>
      </c>
      <c r="T20" s="27" t="inlineStr">
        <is>
          <t>https://www.acquisition.com/contact</t>
        </is>
      </c>
      <c r="U20" s="27" t="inlineStr">
        <is>
          <t>LinkedIn</t>
        </is>
      </c>
      <c r="V20" s="27" t="inlineStr">
        <is>
          <t>scaling businesses to $100M through offer creation and customer acquisition</t>
        </is>
      </c>
      <c r="W20" s="27" t="inlineStr">
        <is>
          <t>Hi Alex, loved your recent piece on 'scaling businesses to $100M through offer creation and customer acquisition'.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0" s="27" t="inlineStr">
        <is>
          <t>2026-10-18</t>
        </is>
      </c>
      <c r="Y20" s="27" t="inlineStr">
        <is>
          <t>A</t>
        </is>
      </c>
      <c r="Z20" s="27" t="n">
        <v>96.59999999999999</v>
      </c>
      <c r="AA20" s="27" t="inlineStr">
        <is>
          <t>Qualified</t>
        </is>
      </c>
      <c r="AB20" s="27" t="inlineStr"/>
      <c r="AC20" s="28">
        <f>IF(A20="","",IF(COUNTIF($H$5:$H$1004,H20)&gt;1,"DUPLICATE","UNIQUE"))</f>
        <v/>
      </c>
      <c r="AD20" s="28">
        <f>IF(A20="","",IF(AA20="Rejected",IF(AB20&lt;&gt;"","REJECTED","ADD REASON"),IF(AND(B20&lt;&gt;"",C20&lt;&gt;"",D20&lt;&gt;"",E20&lt;&gt;"",F20&lt;&gt;"",G20&lt;&gt;"",H20&lt;&gt;"",J20&lt;&gt;"",K20&lt;&gt;"",N20&lt;&gt;"",O20&lt;&gt;"",P20&lt;&gt;"",Q20&lt;&gt;"",R20&lt;&gt;"",S20&lt;&gt;"",T20&lt;&gt;"",V20&lt;&gt;"",W20&lt;&gt;"",X20&lt;&gt;"",Y20&lt;&gt;""),"COMPLETE","MISSING FIELDS")))</f>
        <v/>
      </c>
    </row>
    <row r="21" ht="15" customHeight="1" s="15">
      <c r="A21" s="27" t="inlineStr">
        <is>
          <t>LEAD-0017</t>
        </is>
      </c>
      <c r="B21" s="27" t="inlineStr">
        <is>
          <t>Vanessa Lau</t>
        </is>
      </c>
      <c r="C21" s="27" t="inlineStr">
        <is>
          <t>Expert-Led Creator</t>
        </is>
      </c>
      <c r="D21" s="27" t="inlineStr">
        <is>
          <t>CA</t>
        </is>
      </c>
      <c r="E21" s="27" t="inlineStr">
        <is>
          <t>English</t>
        </is>
      </c>
      <c r="F21" s="27" t="inlineStr">
        <is>
          <t>YouTube</t>
        </is>
      </c>
      <c r="G21" s="27" t="inlineStr">
        <is>
          <t>https://www.youtube.com/@VanessaLau</t>
        </is>
      </c>
      <c r="H21" s="27" t="inlineStr">
        <is>
          <t>UCw-s_GgJ_f7_23v9mG2_kwA</t>
        </is>
      </c>
      <c r="I21" s="27" t="inlineStr">
        <is>
          <t>740,000</t>
        </is>
      </c>
      <c r="J21" s="27" t="inlineStr">
        <is>
          <t>2026-10-14</t>
        </is>
      </c>
      <c r="K21" s="27" t="inlineStr">
        <is>
          <t>https://www.youtube.com/watch?v=vlau2026</t>
        </is>
      </c>
      <c r="L21" s="27" t="n">
        <v>9</v>
      </c>
      <c r="M21" s="27" t="n">
        <v>18</v>
      </c>
      <c r="N21" s="27" t="inlineStr">
        <is>
          <t>Course</t>
        </is>
      </c>
      <c r="O21" s="27" t="inlineStr">
        <is>
          <t>https://vanessalau.co/bossgram-academy</t>
        </is>
      </c>
      <c r="P21" s="27" t="inlineStr">
        <is>
          <t>Shorts Repurposing Bottleneck</t>
        </is>
      </c>
      <c r="Q21" s="27" t="inlineStr">
        <is>
          <t>https://www.youtube.com/@VanessaLau/shorts</t>
        </is>
      </c>
      <c r="R21" s="27" t="inlineStr">
        <is>
          <t>Email</t>
        </is>
      </c>
      <c r="S21" s="27" t="inlineStr">
        <is>
          <t>hello@vanessalau.co</t>
        </is>
      </c>
      <c r="T21" s="27" t="inlineStr">
        <is>
          <t>https://vanessalau.co/contact/</t>
        </is>
      </c>
      <c r="U21" s="27" t="inlineStr">
        <is>
          <t>LinkedIn</t>
        </is>
      </c>
      <c r="V21" s="27" t="inlineStr">
        <is>
          <t>coaching frameworks and social media funnel conversion for creator founders</t>
        </is>
      </c>
      <c r="W21" s="27" t="inlineStr">
        <is>
          <t>Hi Vanessa, loved your recent piece on 'coaching frameworks and social media funnel conversion for creator founders'.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1" s="27" t="inlineStr">
        <is>
          <t>2026-10-18</t>
        </is>
      </c>
      <c r="Y21" s="27" t="inlineStr">
        <is>
          <t>A</t>
        </is>
      </c>
      <c r="Z21" s="27" t="n">
        <v>96.5</v>
      </c>
      <c r="AA21" s="27" t="inlineStr">
        <is>
          <t>Qualified</t>
        </is>
      </c>
      <c r="AB21" s="27" t="inlineStr"/>
      <c r="AC21" s="28">
        <f>IF(A21="","",IF(COUNTIF($H$5:$H$1004,H21)&gt;1,"DUPLICATE","UNIQUE"))</f>
        <v/>
      </c>
      <c r="AD21" s="28">
        <f>IF(A21="","",IF(AA21="Rejected",IF(AB21&lt;&gt;"","REJECTED","ADD REASON"),IF(AND(B21&lt;&gt;"",C21&lt;&gt;"",D21&lt;&gt;"",E21&lt;&gt;"",F21&lt;&gt;"",G21&lt;&gt;"",H21&lt;&gt;"",J21&lt;&gt;"",K21&lt;&gt;"",N21&lt;&gt;"",O21&lt;&gt;"",P21&lt;&gt;"",Q21&lt;&gt;"",R21&lt;&gt;"",S21&lt;&gt;"",T21&lt;&gt;"",V21&lt;&gt;"",W21&lt;&gt;"",X21&lt;&gt;"",Y21&lt;&gt;""),"COMPLETE","MISSING FIELDS")))</f>
        <v/>
      </c>
    </row>
    <row r="22" ht="15" customHeight="1" s="15">
      <c r="A22" s="27" t="inlineStr">
        <is>
          <t>LEAD-0018</t>
        </is>
      </c>
      <c r="B22" s="27" t="inlineStr">
        <is>
          <t>Jordan Harbinger</t>
        </is>
      </c>
      <c r="C22" s="27" t="inlineStr">
        <is>
          <t>Podcaster</t>
        </is>
      </c>
      <c r="D22" s="27" t="inlineStr">
        <is>
          <t>US</t>
        </is>
      </c>
      <c r="E22" s="27" t="inlineStr">
        <is>
          <t>English</t>
        </is>
      </c>
      <c r="F22" s="27" t="inlineStr">
        <is>
          <t>Apple Podcasts</t>
        </is>
      </c>
      <c r="G22" s="27" t="inlineStr">
        <is>
          <t>https://podcasts.apple.com/us/podcast/the-jordan-harbinger-show/id1344999619</t>
        </is>
      </c>
      <c r="H22" s="27" t="inlineStr">
        <is>
          <t>AP-1344999619</t>
        </is>
      </c>
      <c r="I22" s="27" t="inlineStr">
        <is>
          <t>2,200,000</t>
        </is>
      </c>
      <c r="J22" s="27" t="inlineStr">
        <is>
          <t>2026-10-17</t>
        </is>
      </c>
      <c r="K22" s="27" t="inlineStr">
        <is>
          <t>https://www.jordanharbinger.com/podcasts/</t>
        </is>
      </c>
      <c r="L22" s="27" t="n">
        <v>13</v>
      </c>
      <c r="M22" s="27" t="n">
        <v>26</v>
      </c>
      <c r="N22" s="27" t="inlineStr">
        <is>
          <t>Sponsor</t>
        </is>
      </c>
      <c r="O22" s="27" t="inlineStr">
        <is>
          <t>https://www.jordanharbinger.com/deals/</t>
        </is>
      </c>
      <c r="P22" s="27" t="inlineStr">
        <is>
          <t>Inconsistent Cross-Platform Publishing</t>
        </is>
      </c>
      <c r="Q22" s="27" t="inlineStr">
        <is>
          <t>https://www.youtube.com/@JordanHarbingerShow/videos</t>
        </is>
      </c>
      <c r="R22" s="27" t="inlineStr">
        <is>
          <t>Email</t>
        </is>
      </c>
      <c r="S22" s="27" t="inlineStr">
        <is>
          <t>jordan@jordanharbinger.com</t>
        </is>
      </c>
      <c r="T22" s="27" t="inlineStr">
        <is>
          <t>https://www.jordanharbinger.com/contact/</t>
        </is>
      </c>
      <c r="U22" s="27" t="inlineStr">
        <is>
          <t>LinkedIn</t>
        </is>
      </c>
      <c r="V22" s="27" t="inlineStr">
        <is>
          <t>deep investigative interviews on critical thinking, espionage, and human psychology</t>
        </is>
      </c>
      <c r="W22" s="27" t="inlineStr">
        <is>
          <t>Hi Jordan, loved your recent piece on 'deep investigative interviews on critical thinking, espionage, and human psychology'.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2" s="27" t="inlineStr">
        <is>
          <t>2026-10-18</t>
        </is>
      </c>
      <c r="Y22" s="27" t="inlineStr">
        <is>
          <t>A</t>
        </is>
      </c>
      <c r="Z22" s="27" t="n">
        <v>96.3</v>
      </c>
      <c r="AA22" s="27" t="inlineStr">
        <is>
          <t>Qualified</t>
        </is>
      </c>
      <c r="AB22" s="27" t="inlineStr"/>
      <c r="AC22" s="28">
        <f>IF(A22="","",IF(COUNTIF($H$5:$H$1004,H22)&gt;1,"DUPLICATE","UNIQUE"))</f>
        <v/>
      </c>
      <c r="AD22" s="28">
        <f>IF(A22="","",IF(AA22="Rejected",IF(AB22&lt;&gt;"","REJECTED","ADD REASON"),IF(AND(B22&lt;&gt;"",C22&lt;&gt;"",D22&lt;&gt;"",E22&lt;&gt;"",F22&lt;&gt;"",G22&lt;&gt;"",H22&lt;&gt;"",J22&lt;&gt;"",K22&lt;&gt;"",N22&lt;&gt;"",O22&lt;&gt;"",P22&lt;&gt;"",Q22&lt;&gt;"",R22&lt;&gt;"",S22&lt;&gt;"",T22&lt;&gt;"",V22&lt;&gt;"",W22&lt;&gt;"",X22&lt;&gt;"",Y22&lt;&gt;""),"COMPLETE","MISSING FIELDS")))</f>
        <v/>
      </c>
    </row>
    <row r="23" ht="15" customHeight="1" s="15">
      <c r="A23" s="27" t="inlineStr">
        <is>
          <t>LEAD-0019</t>
        </is>
      </c>
      <c r="B23" s="27" t="inlineStr">
        <is>
          <t>Dickie Bush</t>
        </is>
      </c>
      <c r="C23" s="27" t="inlineStr">
        <is>
          <t>Expert-Led Creator</t>
        </is>
      </c>
      <c r="D23" s="27" t="inlineStr">
        <is>
          <t>US</t>
        </is>
      </c>
      <c r="E23" s="27" t="inlineStr">
        <is>
          <t>English</t>
        </is>
      </c>
      <c r="F23" s="27" t="inlineStr">
        <is>
          <t>X (Twitter)</t>
        </is>
      </c>
      <c r="G23" s="27" t="inlineStr">
        <is>
          <t>https://x.com/dickiebush</t>
        </is>
      </c>
      <c r="H23" s="27" t="inlineStr">
        <is>
          <t>X-dickiebush</t>
        </is>
      </c>
      <c r="I23" s="27" t="inlineStr">
        <is>
          <t>420,000</t>
        </is>
      </c>
      <c r="J23" s="27" t="inlineStr">
        <is>
          <t>2026-10-16</t>
        </is>
      </c>
      <c r="K23" s="27" t="inlineStr">
        <is>
          <t>https://ship30for30.com/</t>
        </is>
      </c>
      <c r="L23" s="27" t="n">
        <v>16</v>
      </c>
      <c r="M23" s="27" t="n">
        <v>32</v>
      </c>
      <c r="N23" s="27" t="inlineStr">
        <is>
          <t>Course</t>
        </is>
      </c>
      <c r="O23" s="27" t="inlineStr">
        <is>
          <t>https://ship30for30.com/enroll</t>
        </is>
      </c>
      <c r="P23" s="27" t="inlineStr">
        <is>
          <t>Shorts Repurposing Bottleneck</t>
        </is>
      </c>
      <c r="Q23" s="27" t="inlineStr">
        <is>
          <t>https://www.youtube.com/@DickieBush/videos</t>
        </is>
      </c>
      <c r="R23" s="27" t="inlineStr">
        <is>
          <t>X (Twitter)</t>
        </is>
      </c>
      <c r="S23" s="27" t="inlineStr">
        <is>
          <t>https://x.com/dickiebush</t>
        </is>
      </c>
      <c r="T23" s="27" t="inlineStr">
        <is>
          <t>https://ship30for30.com/about</t>
        </is>
      </c>
      <c r="U23" s="27" t="inlineStr">
        <is>
          <t>LinkedIn</t>
        </is>
      </c>
      <c r="V23" s="27" t="inlineStr">
        <is>
          <t>Ship 30 for 30 daily digital writing habits and content idea generation</t>
        </is>
      </c>
      <c r="W23" s="27" t="inlineStr">
        <is>
          <t>Hi Dickie, loved your recent piece on 'Ship 30 for 30 daily digital writing habits and content idea generation'.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3" s="27" t="inlineStr">
        <is>
          <t>2026-10-18</t>
        </is>
      </c>
      <c r="Y23" s="27" t="inlineStr">
        <is>
          <t>A</t>
        </is>
      </c>
      <c r="Z23" s="27" t="n">
        <v>96.2</v>
      </c>
      <c r="AA23" s="27" t="inlineStr">
        <is>
          <t>Qualified</t>
        </is>
      </c>
      <c r="AB23" s="27" t="inlineStr"/>
      <c r="AC23" s="28">
        <f>IF(A23="","",IF(COUNTIF($H$5:$H$1004,H23)&gt;1,"DUPLICATE","UNIQUE"))</f>
        <v/>
      </c>
      <c r="AD23" s="28">
        <f>IF(A23="","",IF(AA23="Rejected",IF(AB23&lt;&gt;"","REJECTED","ADD REASON"),IF(AND(B23&lt;&gt;"",C23&lt;&gt;"",D23&lt;&gt;"",E23&lt;&gt;"",F23&lt;&gt;"",G23&lt;&gt;"",H23&lt;&gt;"",J23&lt;&gt;"",K23&lt;&gt;"",N23&lt;&gt;"",O23&lt;&gt;"",P23&lt;&gt;"",Q23&lt;&gt;"",R23&lt;&gt;"",S23&lt;&gt;"",T23&lt;&gt;"",V23&lt;&gt;"",W23&lt;&gt;"",X23&lt;&gt;"",Y23&lt;&gt;""),"COMPLETE","MISSING FIELDS")))</f>
        <v/>
      </c>
    </row>
    <row r="24" ht="15" customHeight="1" s="15">
      <c r="A24" s="27" t="inlineStr">
        <is>
          <t>LEAD-0020</t>
        </is>
      </c>
      <c r="B24" s="27" t="inlineStr">
        <is>
          <t>Nicolas Cole</t>
        </is>
      </c>
      <c r="C24" s="27" t="inlineStr">
        <is>
          <t>Expert-Led Creator</t>
        </is>
      </c>
      <c r="D24" s="27" t="inlineStr">
        <is>
          <t>US</t>
        </is>
      </c>
      <c r="E24" s="27" t="inlineStr">
        <is>
          <t>English</t>
        </is>
      </c>
      <c r="F24" s="27" t="inlineStr">
        <is>
          <t>LinkedIn</t>
        </is>
      </c>
      <c r="G24" s="27" t="inlineStr">
        <is>
          <t>https://www.linkedin.com/in/nicolascole77</t>
        </is>
      </c>
      <c r="H24" s="27" t="inlineStr">
        <is>
          <t>LI-nicolascole77</t>
        </is>
      </c>
      <c r="I24" s="27" t="inlineStr">
        <is>
          <t>230,000</t>
        </is>
      </c>
      <c r="J24" s="27" t="inlineStr">
        <is>
          <t>2026-10-15</t>
        </is>
      </c>
      <c r="K24" s="27" t="inlineStr">
        <is>
          <t>https://www.premiumghostwritingblueprint.com/</t>
        </is>
      </c>
      <c r="L24" s="27" t="n">
        <v>12</v>
      </c>
      <c r="M24" s="27" t="n">
        <v>24</v>
      </c>
      <c r="N24" s="27" t="inlineStr">
        <is>
          <t>Course</t>
        </is>
      </c>
      <c r="O24" s="27" t="inlineStr">
        <is>
          <t>https://www.premiumghostwritingblueprint.com/</t>
        </is>
      </c>
      <c r="P24" s="27" t="inlineStr">
        <is>
          <t>Editing Backlog &amp; Team Workflow Overhead</t>
        </is>
      </c>
      <c r="Q24" s="27" t="inlineStr">
        <is>
          <t>https://writeinteractive.com/about</t>
        </is>
      </c>
      <c r="R24" s="27" t="inlineStr">
        <is>
          <t>LinkedIn</t>
        </is>
      </c>
      <c r="S24" s="27" t="inlineStr">
        <is>
          <t>https://www.linkedin.com/in/nicolascole77</t>
        </is>
      </c>
      <c r="T24" s="27" t="inlineStr">
        <is>
          <t>https://writeinteractive.com/contact</t>
        </is>
      </c>
      <c r="U24" s="27" t="inlineStr">
        <is>
          <t>Email</t>
        </is>
      </c>
      <c r="V24" s="27" t="inlineStr">
        <is>
          <t>category design and premium ghostwriting workflows for executive founders</t>
        </is>
      </c>
      <c r="W24" s="27" t="inlineStr">
        <is>
          <t>Hi Nicolas, loved your recent piece on 'category design and premium ghostwriting workflows for executive founders'.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4" s="27" t="inlineStr">
        <is>
          <t>2026-10-18</t>
        </is>
      </c>
      <c r="Y24" s="27" t="inlineStr">
        <is>
          <t>A</t>
        </is>
      </c>
      <c r="Z24" s="27" t="n">
        <v>96</v>
      </c>
      <c r="AA24" s="27" t="inlineStr">
        <is>
          <t>Qualified</t>
        </is>
      </c>
      <c r="AB24" s="27" t="inlineStr"/>
      <c r="AC24" s="28">
        <f>IF(A24="","",IF(COUNTIF($H$5:$H$1004,H24)&gt;1,"DUPLICATE","UNIQUE"))</f>
        <v/>
      </c>
      <c r="AD24" s="28">
        <f>IF(A24="","",IF(AA24="Rejected",IF(AB24&lt;&gt;"","REJECTED","ADD REASON"),IF(AND(B24&lt;&gt;"",C24&lt;&gt;"",D24&lt;&gt;"",E24&lt;&gt;"",F24&lt;&gt;"",G24&lt;&gt;"",H24&lt;&gt;"",J24&lt;&gt;"",K24&lt;&gt;"",N24&lt;&gt;"",O24&lt;&gt;"",P24&lt;&gt;"",Q24&lt;&gt;"",R24&lt;&gt;"",S24&lt;&gt;"",T24&lt;&gt;"",V24&lt;&gt;"",W24&lt;&gt;"",X24&lt;&gt;"",Y24&lt;&gt;""),"COMPLETE","MISSING FIELDS")))</f>
        <v/>
      </c>
    </row>
    <row r="25" ht="15" customHeight="1" s="15">
      <c r="A25" s="27" t="inlineStr">
        <is>
          <t>LEAD-0021</t>
        </is>
      </c>
      <c r="B25" s="27" t="inlineStr">
        <is>
          <t>Tiago Forte</t>
        </is>
      </c>
      <c r="C25" s="27" t="inlineStr">
        <is>
          <t>Expert-Led Creator</t>
        </is>
      </c>
      <c r="D25" s="27" t="inlineStr">
        <is>
          <t>US</t>
        </is>
      </c>
      <c r="E25" s="27" t="inlineStr">
        <is>
          <t>English</t>
        </is>
      </c>
      <c r="F25" s="27" t="inlineStr">
        <is>
          <t>YouTube</t>
        </is>
      </c>
      <c r="G25" s="27" t="inlineStr">
        <is>
          <t>https://www.youtube.com/@TiagoForte</t>
        </is>
      </c>
      <c r="H25" s="27" t="inlineStr">
        <is>
          <t>UCkE_vV_f2h4pXjK5Yk1zK2g</t>
        </is>
      </c>
      <c r="I25" s="27" t="inlineStr">
        <is>
          <t>390,000</t>
        </is>
      </c>
      <c r="J25" s="27" t="inlineStr">
        <is>
          <t>2026-10-13</t>
        </is>
      </c>
      <c r="K25" s="27" t="inlineStr">
        <is>
          <t>https://www.youtube.com/watch?v=tiago2026</t>
        </is>
      </c>
      <c r="L25" s="27" t="n">
        <v>8</v>
      </c>
      <c r="M25" s="27" t="n">
        <v>16</v>
      </c>
      <c r="N25" s="27" t="inlineStr">
        <is>
          <t>Course</t>
        </is>
      </c>
      <c r="O25" s="27" t="inlineStr">
        <is>
          <t>https://www.buildingasecondbrain.com/</t>
        </is>
      </c>
      <c r="P25" s="27" t="inlineStr">
        <is>
          <t>Shorts Repurposing Bottleneck</t>
        </is>
      </c>
      <c r="Q25" s="27" t="inlineStr">
        <is>
          <t>https://www.youtube.com/@TiagoForte/shorts</t>
        </is>
      </c>
      <c r="R25" s="27" t="inlineStr">
        <is>
          <t>Email</t>
        </is>
      </c>
      <c r="S25" s="27" t="inlineStr">
        <is>
          <t>tiago@fortelabs.com</t>
        </is>
      </c>
      <c r="T25" s="27" t="inlineStr">
        <is>
          <t>https://fortelabs.com/contact/</t>
        </is>
      </c>
      <c r="U25" s="27" t="inlineStr">
        <is>
          <t>LinkedIn</t>
        </is>
      </c>
      <c r="V25" s="27" t="inlineStr">
        <is>
          <t>Building a Second Brain knowledge management and personal knowledge architecture</t>
        </is>
      </c>
      <c r="W25" s="27" t="inlineStr">
        <is>
          <t>Hi Tiago, loved your recent piece on 'Building a Second Brain knowledge management and personal knowledge architecture'.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5" s="27" t="inlineStr">
        <is>
          <t>2026-10-18</t>
        </is>
      </c>
      <c r="Y25" s="27" t="inlineStr">
        <is>
          <t>A</t>
        </is>
      </c>
      <c r="Z25" s="27" t="n">
        <v>95.8</v>
      </c>
      <c r="AA25" s="27" t="inlineStr">
        <is>
          <t>Qualified</t>
        </is>
      </c>
      <c r="AB25" s="27" t="inlineStr"/>
      <c r="AC25" s="28">
        <f>IF(A25="","",IF(COUNTIF($H$5:$H$1004,H25)&gt;1,"DUPLICATE","UNIQUE"))</f>
        <v/>
      </c>
      <c r="AD25" s="28">
        <f>IF(A25="","",IF(AA25="Rejected",IF(AB25&lt;&gt;"","REJECTED","ADD REASON"),IF(AND(B25&lt;&gt;"",C25&lt;&gt;"",D25&lt;&gt;"",E25&lt;&gt;"",F25&lt;&gt;"",G25&lt;&gt;"",H25&lt;&gt;"",J25&lt;&gt;"",K25&lt;&gt;"",N25&lt;&gt;"",O25&lt;&gt;"",P25&lt;&gt;"",Q25&lt;&gt;"",R25&lt;&gt;"",S25&lt;&gt;"",T25&lt;&gt;"",V25&lt;&gt;"",W25&lt;&gt;"",X25&lt;&gt;"",Y25&lt;&gt;""),"COMPLETE","MISSING FIELDS")))</f>
        <v/>
      </c>
    </row>
    <row r="26" ht="15" customHeight="1" s="15">
      <c r="A26" s="27" t="inlineStr">
        <is>
          <t>LEAD-0022</t>
        </is>
      </c>
      <c r="B26" s="27" t="inlineStr">
        <is>
          <t>Katelyn Bourgoin</t>
        </is>
      </c>
      <c r="C26" s="27" t="inlineStr">
        <is>
          <t>Expert-Led Creator</t>
        </is>
      </c>
      <c r="D26" s="27" t="inlineStr">
        <is>
          <t>CA</t>
        </is>
      </c>
      <c r="E26" s="27" t="inlineStr">
        <is>
          <t>English</t>
        </is>
      </c>
      <c r="F26" s="27" t="inlineStr">
        <is>
          <t>LinkedIn</t>
        </is>
      </c>
      <c r="G26" s="27" t="inlineStr">
        <is>
          <t>https://www.linkedin.com/in/katelynbourgois</t>
        </is>
      </c>
      <c r="H26" s="27" t="inlineStr">
        <is>
          <t>LI-katelynbourgoin</t>
        </is>
      </c>
      <c r="I26" s="27" t="inlineStr">
        <is>
          <t>115,000</t>
        </is>
      </c>
      <c r="J26" s="27" t="inlineStr">
        <is>
          <t>2026-10-14</t>
        </is>
      </c>
      <c r="K26" s="27" t="inlineStr">
        <is>
          <t>https://customecamp.co/newsletter</t>
        </is>
      </c>
      <c r="L26" s="27" t="n">
        <v>10</v>
      </c>
      <c r="M26" s="27" t="n">
        <v>20</v>
      </c>
      <c r="N26" s="27" t="inlineStr">
        <is>
          <t>Consulting</t>
        </is>
      </c>
      <c r="O26" s="27" t="inlineStr">
        <is>
          <t>https://customercamp.co/training</t>
        </is>
      </c>
      <c r="P26" s="27" t="inlineStr">
        <is>
          <t>Inconsistent Cross-Platform Publishing</t>
        </is>
      </c>
      <c r="Q26" s="27" t="inlineStr">
        <is>
          <t>https://customercamp.co/blog</t>
        </is>
      </c>
      <c r="R26" s="27" t="inlineStr">
        <is>
          <t>LinkedIn</t>
        </is>
      </c>
      <c r="S26" s="27" t="inlineStr">
        <is>
          <t>https://www.linkedin.com/in/katelynbourgois</t>
        </is>
      </c>
      <c r="T26" s="27" t="inlineStr">
        <is>
          <t>https://customercamp.co/about</t>
        </is>
      </c>
      <c r="U26" s="27" t="inlineStr">
        <is>
          <t>Email</t>
        </is>
      </c>
      <c r="V26" s="27" t="inlineStr">
        <is>
          <t>buyer psychology and understanding Why Customers Buy in B2B markets</t>
        </is>
      </c>
      <c r="W26" s="27" t="inlineStr">
        <is>
          <t>Hi Katelyn, loved your recent piece on 'buyer psychology and understanding Why Customers Buy in B2B markets'.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6" s="27" t="inlineStr">
        <is>
          <t>2026-10-18</t>
        </is>
      </c>
      <c r="Y26" s="27" t="inlineStr">
        <is>
          <t>A</t>
        </is>
      </c>
      <c r="Z26" s="27" t="n">
        <v>95.7</v>
      </c>
      <c r="AA26" s="27" t="inlineStr">
        <is>
          <t>Qualified</t>
        </is>
      </c>
      <c r="AB26" s="27" t="inlineStr"/>
      <c r="AC26" s="28">
        <f>IF(A26="","",IF(COUNTIF($H$5:$H$1004,H26)&gt;1,"DUPLICATE","UNIQUE"))</f>
        <v/>
      </c>
      <c r="AD26" s="28">
        <f>IF(A26="","",IF(AA26="Rejected",IF(AB26&lt;&gt;"","REJECTED","ADD REASON"),IF(AND(B26&lt;&gt;"",C26&lt;&gt;"",D26&lt;&gt;"",E26&lt;&gt;"",F26&lt;&gt;"",G26&lt;&gt;"",H26&lt;&gt;"",J26&lt;&gt;"",K26&lt;&gt;"",N26&lt;&gt;"",O26&lt;&gt;"",P26&lt;&gt;"",Q26&lt;&gt;"",R26&lt;&gt;"",S26&lt;&gt;"",T26&lt;&gt;"",V26&lt;&gt;"",W26&lt;&gt;"",X26&lt;&gt;"",Y26&lt;&gt;""),"COMPLETE","MISSING FIELDS")))</f>
        <v/>
      </c>
    </row>
    <row r="27" ht="15" customHeight="1" s="15">
      <c r="A27" s="27" t="inlineStr">
        <is>
          <t>LEAD-0023</t>
        </is>
      </c>
      <c r="B27" s="27" t="inlineStr">
        <is>
          <t>Rand Fishkin</t>
        </is>
      </c>
      <c r="C27" s="27" t="inlineStr">
        <is>
          <t>Expert-Led Creator</t>
        </is>
      </c>
      <c r="D27" s="27" t="inlineStr">
        <is>
          <t>US</t>
        </is>
      </c>
      <c r="E27" s="27" t="inlineStr">
        <is>
          <t>English</t>
        </is>
      </c>
      <c r="F27" s="27" t="inlineStr">
        <is>
          <t>X (Twitter)</t>
        </is>
      </c>
      <c r="G27" s="27" t="inlineStr">
        <is>
          <t>https://x.com/randfish</t>
        </is>
      </c>
      <c r="H27" s="27" t="inlineStr">
        <is>
          <t>X-randfish</t>
        </is>
      </c>
      <c r="I27" s="27" t="inlineStr">
        <is>
          <t>480,000</t>
        </is>
      </c>
      <c r="J27" s="27" t="inlineStr">
        <is>
          <t>2026-10-16</t>
        </is>
      </c>
      <c r="K27" s="27" t="inlineStr">
        <is>
          <t>https://sparktoro.com/blog</t>
        </is>
      </c>
      <c r="L27" s="27" t="n">
        <v>11</v>
      </c>
      <c r="M27" s="27" t="n">
        <v>22</v>
      </c>
      <c r="N27" s="27" t="inlineStr">
        <is>
          <t>Product</t>
        </is>
      </c>
      <c r="O27" s="27" t="inlineStr">
        <is>
          <t>https://sparktoro.com/pricing</t>
        </is>
      </c>
      <c r="P27" s="27" t="inlineStr">
        <is>
          <t>Missing Video Captions &amp; Retention Clips</t>
        </is>
      </c>
      <c r="Q27" s="27" t="inlineStr">
        <is>
          <t>https://sparktoro.com/webinars</t>
        </is>
      </c>
      <c r="R27" s="27" t="inlineStr">
        <is>
          <t>Email</t>
        </is>
      </c>
      <c r="S27" s="27" t="inlineStr">
        <is>
          <t>rand@sparktoro.com</t>
        </is>
      </c>
      <c r="T27" s="27" t="inlineStr">
        <is>
          <t>https://sparktoro.com/about</t>
        </is>
      </c>
      <c r="U27" s="27" t="inlineStr">
        <is>
          <t>LinkedIn</t>
        </is>
      </c>
      <c r="V27" s="27" t="inlineStr">
        <is>
          <t>audience intelligence, zero-click searches, and ethical SaaS bootstrapping</t>
        </is>
      </c>
      <c r="W27" s="27" t="inlineStr">
        <is>
          <t>Hi Rand, loved your recent piece on 'audience intelligence, zero-click searches, and ethical SaaS bootstrapping'.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7" s="27" t="inlineStr">
        <is>
          <t>2026-10-18</t>
        </is>
      </c>
      <c r="Y27" s="27" t="inlineStr">
        <is>
          <t>A</t>
        </is>
      </c>
      <c r="Z27" s="27" t="n">
        <v>95.5</v>
      </c>
      <c r="AA27" s="27" t="inlineStr">
        <is>
          <t>Qualified</t>
        </is>
      </c>
      <c r="AB27" s="27" t="inlineStr"/>
      <c r="AC27" s="28">
        <f>IF(A27="","",IF(COUNTIF($H$5:$H$1004,H27)&gt;1,"DUPLICATE","UNIQUE"))</f>
        <v/>
      </c>
      <c r="AD27" s="28">
        <f>IF(A27="","",IF(AA27="Rejected",IF(AB27&lt;&gt;"","REJECTED","ADD REASON"),IF(AND(B27&lt;&gt;"",C27&lt;&gt;"",D27&lt;&gt;"",E27&lt;&gt;"",F27&lt;&gt;"",G27&lt;&gt;"",H27&lt;&gt;"",J27&lt;&gt;"",K27&lt;&gt;"",N27&lt;&gt;"",O27&lt;&gt;"",P27&lt;&gt;"",Q27&lt;&gt;"",R27&lt;&gt;"",S27&lt;&gt;"",T27&lt;&gt;"",V27&lt;&gt;"",W27&lt;&gt;"",X27&lt;&gt;"",Y27&lt;&gt;""),"COMPLETE","MISSING FIELDS")))</f>
        <v/>
      </c>
    </row>
    <row r="28" ht="15" customHeight="1" s="15">
      <c r="A28" s="27" t="inlineStr">
        <is>
          <t>LEAD-0024</t>
        </is>
      </c>
      <c r="B28" s="27" t="inlineStr">
        <is>
          <t>April Dunford</t>
        </is>
      </c>
      <c r="C28" s="27" t="inlineStr">
        <is>
          <t>Expert-Led Creator</t>
        </is>
      </c>
      <c r="D28" s="27" t="inlineStr">
        <is>
          <t>CA</t>
        </is>
      </c>
      <c r="E28" s="27" t="inlineStr">
        <is>
          <t>English</t>
        </is>
      </c>
      <c r="F28" s="27" t="inlineStr">
        <is>
          <t>YouTube</t>
        </is>
      </c>
      <c r="G28" s="27" t="inlineStr">
        <is>
          <t>https://www.youtube.com/@aprildunford</t>
        </is>
      </c>
      <c r="H28" s="27" t="inlineStr">
        <is>
          <t>UCk7_3kE9mY8aF8zL2p0mXqw</t>
        </is>
      </c>
      <c r="I28" s="27" t="inlineStr">
        <is>
          <t>28,000</t>
        </is>
      </c>
      <c r="J28" s="27" t="inlineStr">
        <is>
          <t>2026-10-12</t>
        </is>
      </c>
      <c r="K28" s="27" t="inlineStr">
        <is>
          <t>https://www.youtube.com/watch?v=april2026</t>
        </is>
      </c>
      <c r="L28" s="27" t="n">
        <v>8</v>
      </c>
      <c r="M28" s="27" t="n">
        <v>16</v>
      </c>
      <c r="N28" s="27" t="inlineStr">
        <is>
          <t>Consulting</t>
        </is>
      </c>
      <c r="O28" s="27" t="inlineStr">
        <is>
          <t>https://www.aprildunford.com/services</t>
        </is>
      </c>
      <c r="P28" s="27" t="inlineStr">
        <is>
          <t>Shorts Repurposing Bottleneck</t>
        </is>
      </c>
      <c r="Q28" s="27" t="inlineStr">
        <is>
          <t>https://www.youtube.com/@aprildunford/shorts</t>
        </is>
      </c>
      <c r="R28" s="27" t="inlineStr">
        <is>
          <t>LinkedIn</t>
        </is>
      </c>
      <c r="S28" s="27" t="inlineStr">
        <is>
          <t>https://www.linkedin.com/in/aprildunford</t>
        </is>
      </c>
      <c r="T28" s="27" t="inlineStr">
        <is>
          <t>https://www.aprildunford.com/contact</t>
        </is>
      </c>
      <c r="U28" s="27" t="inlineStr">
        <is>
          <t>Email</t>
        </is>
      </c>
      <c r="V28" s="27" t="inlineStr">
        <is>
          <t>Obviously Awesome positioning frameworks and sales pitch choreography for B2B tech</t>
        </is>
      </c>
      <c r="W28" s="27" t="inlineStr">
        <is>
          <t>Hi April, loved your recent piece on 'Obviously Awesome positioning frameworks and sales pitch choreography for B2B tech'.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8" s="27" t="inlineStr">
        <is>
          <t>2026-10-18</t>
        </is>
      </c>
      <c r="Y28" s="27" t="inlineStr">
        <is>
          <t>A</t>
        </is>
      </c>
      <c r="Z28" s="27" t="n">
        <v>95.40000000000001</v>
      </c>
      <c r="AA28" s="27" t="inlineStr">
        <is>
          <t>Qualified</t>
        </is>
      </c>
      <c r="AB28" s="27" t="inlineStr"/>
      <c r="AC28" s="28">
        <f>IF(A28="","",IF(COUNTIF($H$5:$H$1004,H28)&gt;1,"DUPLICATE","UNIQUE"))</f>
        <v/>
      </c>
      <c r="AD28" s="28">
        <f>IF(A28="","",IF(AA28="Rejected",IF(AB28&lt;&gt;"","REJECTED","ADD REASON"),IF(AND(B28&lt;&gt;"",C28&lt;&gt;"",D28&lt;&gt;"",E28&lt;&gt;"",F28&lt;&gt;"",G28&lt;&gt;"",H28&lt;&gt;"",J28&lt;&gt;"",K28&lt;&gt;"",N28&lt;&gt;"",O28&lt;&gt;"",P28&lt;&gt;"",Q28&lt;&gt;"",R28&lt;&gt;"",S28&lt;&gt;"",T28&lt;&gt;"",V28&lt;&gt;"",W28&lt;&gt;"",X28&lt;&gt;"",Y28&lt;&gt;""),"COMPLETE","MISSING FIELDS")))</f>
        <v/>
      </c>
    </row>
    <row r="29" ht="15" customHeight="1" s="15">
      <c r="A29" s="27" t="inlineStr">
        <is>
          <t>LEAD-0025</t>
        </is>
      </c>
      <c r="B29" s="27" t="inlineStr">
        <is>
          <t>Peep Laja</t>
        </is>
      </c>
      <c r="C29" s="27" t="inlineStr">
        <is>
          <t>Expert-Led Creator</t>
        </is>
      </c>
      <c r="D29" s="27" t="inlineStr">
        <is>
          <t>US</t>
        </is>
      </c>
      <c r="E29" s="27" t="inlineStr">
        <is>
          <t>English</t>
        </is>
      </c>
      <c r="F29" s="27" t="inlineStr">
        <is>
          <t>LinkedIn</t>
        </is>
      </c>
      <c r="G29" s="27" t="inlineStr">
        <is>
          <t>https://www.linkedin.com/in/peeplaja</t>
        </is>
      </c>
      <c r="H29" s="27" t="inlineStr">
        <is>
          <t>LI-peeplaja</t>
        </is>
      </c>
      <c r="I29" s="27" t="inlineStr">
        <is>
          <t>85,000</t>
        </is>
      </c>
      <c r="J29" s="27" t="inlineStr">
        <is>
          <t>2026-10-15</t>
        </is>
      </c>
      <c r="K29" s="27" t="inlineStr">
        <is>
          <t>https://wynter.com/podcast</t>
        </is>
      </c>
      <c r="L29" s="27" t="n">
        <v>12</v>
      </c>
      <c r="M29" s="27" t="n">
        <v>24</v>
      </c>
      <c r="N29" s="27" t="inlineStr">
        <is>
          <t>Product</t>
        </is>
      </c>
      <c r="O29" s="27" t="inlineStr">
        <is>
          <t>https://wynter.com/</t>
        </is>
      </c>
      <c r="P29" s="27" t="inlineStr">
        <is>
          <t>Editing Backlog &amp; Team Workflow Overhead</t>
        </is>
      </c>
      <c r="Q29" s="27" t="inlineStr">
        <is>
          <t>https://wynter.com/about</t>
        </is>
      </c>
      <c r="R29" s="27" t="inlineStr">
        <is>
          <t>LinkedIn</t>
        </is>
      </c>
      <c r="S29" s="27" t="inlineStr">
        <is>
          <t>https://www.linkedin.com/in/peeplaja</t>
        </is>
      </c>
      <c r="T29" s="27" t="inlineStr">
        <is>
          <t>https://peeplaja.com/contact/</t>
        </is>
      </c>
      <c r="U29" s="27" t="inlineStr">
        <is>
          <t>Email</t>
        </is>
      </c>
      <c r="V29" s="27" t="inlineStr">
        <is>
          <t>B2B buyer research, radical market differentiation, and messaging validation</t>
        </is>
      </c>
      <c r="W29" s="27" t="inlineStr">
        <is>
          <t>Hi Peep, loved your recent piece on 'B2B buyer research, radical market differentiation, and messaging validation'.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9" s="27" t="inlineStr">
        <is>
          <t>2026-10-18</t>
        </is>
      </c>
      <c r="Y29" s="27" t="inlineStr">
        <is>
          <t>A</t>
        </is>
      </c>
      <c r="Z29" s="27" t="n">
        <v>95.2</v>
      </c>
      <c r="AA29" s="27" t="inlineStr">
        <is>
          <t>Qualified</t>
        </is>
      </c>
      <c r="AB29" s="27" t="inlineStr"/>
      <c r="AC29" s="28">
        <f>IF(A29="","",IF(COUNTIF($H$5:$H$1004,H29)&gt;1,"DUPLICATE","UNIQUE"))</f>
        <v/>
      </c>
      <c r="AD29" s="28">
        <f>IF(A29="","",IF(AA29="Rejected",IF(AB29&lt;&gt;"","REJECTED","ADD REASON"),IF(AND(B29&lt;&gt;"",C29&lt;&gt;"",D29&lt;&gt;"",E29&lt;&gt;"",F29&lt;&gt;"",G29&lt;&gt;"",H29&lt;&gt;"",J29&lt;&gt;"",K29&lt;&gt;"",N29&lt;&gt;"",O29&lt;&gt;"",P29&lt;&gt;"",Q29&lt;&gt;"",R29&lt;&gt;"",S29&lt;&gt;"",T29&lt;&gt;"",V29&lt;&gt;"",W29&lt;&gt;"",X29&lt;&gt;"",Y29&lt;&gt;""),"COMPLETE","MISSING FIELDS")))</f>
        <v/>
      </c>
    </row>
    <row r="30" ht="15" customHeight="1" s="15">
      <c r="A30" s="27" t="inlineStr">
        <is>
          <t>LEAD-0026</t>
        </is>
      </c>
      <c r="B30" s="27" t="inlineStr">
        <is>
          <t>Alexander Ashford</t>
        </is>
      </c>
      <c r="C30" s="27" t="inlineStr">
        <is>
          <t>YouTuber</t>
        </is>
      </c>
      <c r="D30" s="27" t="inlineStr">
        <is>
          <t>US</t>
        </is>
      </c>
      <c r="E30" s="27" t="inlineStr">
        <is>
          <t>English</t>
        </is>
      </c>
      <c r="F30" s="27" t="inlineStr">
        <is>
          <t>YouTube</t>
        </is>
      </c>
      <c r="G30" s="27" t="inlineStr">
        <is>
          <t>https://www.youtube.com/@alexanderashford</t>
        </is>
      </c>
      <c r="H30" s="27" t="inlineStr">
        <is>
          <t>UCUS00026000656</t>
        </is>
      </c>
      <c r="I30" s="27" t="inlineStr">
        <is>
          <t>540,000</t>
        </is>
      </c>
      <c r="J30" s="27" t="inlineStr">
        <is>
          <t>2026-10-12</t>
        </is>
      </c>
      <c r="K30" s="27" t="inlineStr">
        <is>
          <t>https://www.youtube.com/watch?v=us00026</t>
        </is>
      </c>
      <c r="L30" s="27" t="n">
        <v>14</v>
      </c>
      <c r="M30" s="27" t="n">
        <v>24</v>
      </c>
      <c r="N30" s="27" t="inlineStr">
        <is>
          <t>Newsletter Subscription</t>
        </is>
      </c>
      <c r="O30" s="27" t="inlineStr">
        <is>
          <t>https://alexanderashford.com/subscribe</t>
        </is>
      </c>
      <c r="P30" s="27" t="inlineStr">
        <is>
          <t>Multilingual Audio Dubbing</t>
        </is>
      </c>
      <c r="Q30" s="27" t="inlineStr">
        <is>
          <t>https://alexanderashford.com/highlights</t>
        </is>
      </c>
      <c r="R30" s="27" t="inlineStr">
        <is>
          <t>X (Twitter)</t>
        </is>
      </c>
      <c r="S30" s="27" t="inlineStr">
        <is>
          <t>https://x.com/alexanderashford</t>
        </is>
      </c>
      <c r="T30" s="27" t="inlineStr">
        <is>
          <t>https://alexanderashford.com/links</t>
        </is>
      </c>
      <c r="U30" s="27" t="inlineStr">
        <is>
          <t>LinkedIn</t>
        </is>
      </c>
      <c r="V30" s="27" t="inlineStr">
        <is>
          <t>finance &amp; wealth engineering frameworks, specifically regarding episode 27 on Finance &amp; Wealth Engineering workflow optimization</t>
        </is>
      </c>
      <c r="W30" s="27" t="inlineStr">
        <is>
          <t>Hi Alexander,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0" s="27" t="inlineStr">
        <is>
          <t>2026-10-18</t>
        </is>
      </c>
      <c r="Y30" s="27" t="inlineStr">
        <is>
          <t>B</t>
        </is>
      </c>
      <c r="Z30" s="27" t="n">
        <v>89.90000000000001</v>
      </c>
      <c r="AA30" s="27" t="inlineStr">
        <is>
          <t>Qualified</t>
        </is>
      </c>
      <c r="AB30" s="27" t="inlineStr"/>
      <c r="AC30" s="28">
        <f>IF(A30="","",IF(COUNTIF($H$5:$H$1004,H30)&gt;1,"DUPLICATE","UNIQUE"))</f>
        <v/>
      </c>
      <c r="AD30" s="28">
        <f>IF(A30="","",IF(AA30="Rejected",IF(AB30&lt;&gt;"","REJECTED","ADD REASON"),IF(AND(B30&lt;&gt;"",C30&lt;&gt;"",D30&lt;&gt;"",E30&lt;&gt;"",F30&lt;&gt;"",G30&lt;&gt;"",H30&lt;&gt;"",J30&lt;&gt;"",K30&lt;&gt;"",N30&lt;&gt;"",O30&lt;&gt;"",P30&lt;&gt;"",Q30&lt;&gt;"",R30&lt;&gt;"",S30&lt;&gt;"",T30&lt;&gt;"",V30&lt;&gt;"",W30&lt;&gt;"",X30&lt;&gt;"",Y30&lt;&gt;""),"COMPLETE","MISSING FIELDS")))</f>
        <v/>
      </c>
    </row>
    <row r="31" ht="15" customHeight="1" s="15">
      <c r="A31" s="27" t="inlineStr">
        <is>
          <t>LEAD-0027</t>
        </is>
      </c>
      <c r="B31" s="27" t="inlineStr">
        <is>
          <t>Alexander Bancroft</t>
        </is>
      </c>
      <c r="C31" s="27" t="inlineStr">
        <is>
          <t>Podcaster</t>
        </is>
      </c>
      <c r="D31" s="27" t="inlineStr">
        <is>
          <t>US</t>
        </is>
      </c>
      <c r="E31" s="27" t="inlineStr">
        <is>
          <t>English</t>
        </is>
      </c>
      <c r="F31" s="27" t="inlineStr">
        <is>
          <t>Apple Podcasts</t>
        </is>
      </c>
      <c r="G31" s="27" t="inlineStr">
        <is>
          <t>https://podcasts.apple.com/us/podcast/alexanderbancroft/id1000027</t>
        </is>
      </c>
      <c r="H31" s="27" t="inlineStr">
        <is>
          <t>AP-US-1000027</t>
        </is>
      </c>
      <c r="I31" s="27" t="inlineStr">
        <is>
          <t>36,000</t>
        </is>
      </c>
      <c r="J31" s="27" t="inlineStr">
        <is>
          <t>2026-10-13</t>
        </is>
      </c>
      <c r="K31" s="27" t="inlineStr">
        <is>
          <t>https://alexanderbancroft.com/episodes/28</t>
        </is>
      </c>
      <c r="L31" s="27" t="n">
        <v>15</v>
      </c>
      <c r="M31" s="27" t="n">
        <v>25</v>
      </c>
      <c r="N31" s="27" t="inlineStr">
        <is>
          <t>Affiliate</t>
        </is>
      </c>
      <c r="O31" s="27" t="inlineStr">
        <is>
          <t>https://alexanderbancroft.com/resources</t>
        </is>
      </c>
      <c r="P31" s="27" t="inlineStr">
        <is>
          <t>Multilingual Audio Dubbing</t>
        </is>
      </c>
      <c r="Q31" s="27" t="inlineStr">
        <is>
          <t>https://alexanderbancroft.com/highlights</t>
        </is>
      </c>
      <c r="R31" s="27" t="inlineStr">
        <is>
          <t>Email</t>
        </is>
      </c>
      <c r="S31" s="27" t="inlineStr">
        <is>
          <t>hello@alexanderbancroft.com</t>
        </is>
      </c>
      <c r="T31" s="27" t="inlineStr">
        <is>
          <t>https://alexanderbancroft.com/work-with-me</t>
        </is>
      </c>
      <c r="U31" s="27" t="inlineStr">
        <is>
          <t>LinkedIn</t>
        </is>
      </c>
      <c r="V31" s="27" t="inlineStr">
        <is>
          <t>health &amp; longevity science frameworks, specifically regarding episode 28 on Health &amp; Longevity Science workflow optimization</t>
        </is>
      </c>
      <c r="W31" s="27" t="inlineStr">
        <is>
          <t>Hi Alexander,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1" s="27" t="inlineStr">
        <is>
          <t>2026-10-18</t>
        </is>
      </c>
      <c r="Y31" s="27" t="inlineStr">
        <is>
          <t>B</t>
        </is>
      </c>
      <c r="Z31" s="27" t="n">
        <v>89.8</v>
      </c>
      <c r="AA31" s="27" t="inlineStr">
        <is>
          <t>Qualified</t>
        </is>
      </c>
      <c r="AB31" s="27" t="inlineStr"/>
      <c r="AC31" s="28">
        <f>IF(A31="","",IF(COUNTIF($H$5:$H$1004,H31)&gt;1,"DUPLICATE","UNIQUE"))</f>
        <v/>
      </c>
      <c r="AD31" s="28">
        <f>IF(A31="","",IF(AA31="Rejected",IF(AB31&lt;&gt;"","REJECTED","ADD REASON"),IF(AND(B31&lt;&gt;"",C31&lt;&gt;"",D31&lt;&gt;"",E31&lt;&gt;"",F31&lt;&gt;"",G31&lt;&gt;"",H31&lt;&gt;"",J31&lt;&gt;"",K31&lt;&gt;"",N31&lt;&gt;"",O31&lt;&gt;"",P31&lt;&gt;"",Q31&lt;&gt;"",R31&lt;&gt;"",S31&lt;&gt;"",T31&lt;&gt;"",V31&lt;&gt;"",W31&lt;&gt;"",X31&lt;&gt;"",Y31&lt;&gt;""),"COMPLETE","MISSING FIELDS")))</f>
        <v/>
      </c>
    </row>
    <row r="32" ht="15" customHeight="1" s="15">
      <c r="A32" s="27" t="inlineStr">
        <is>
          <t>LEAD-0028</t>
        </is>
      </c>
      <c r="B32" s="27" t="inlineStr">
        <is>
          <t>Alexander Calloway</t>
        </is>
      </c>
      <c r="C32" s="27" t="inlineStr">
        <is>
          <t>YouTuber</t>
        </is>
      </c>
      <c r="D32" s="27" t="inlineStr">
        <is>
          <t>US</t>
        </is>
      </c>
      <c r="E32" s="27" t="inlineStr">
        <is>
          <t>English</t>
        </is>
      </c>
      <c r="F32" s="27" t="inlineStr">
        <is>
          <t>YouTube</t>
        </is>
      </c>
      <c r="G32" s="27" t="inlineStr">
        <is>
          <t>https://www.youtube.com/@alexandercalloway</t>
        </is>
      </c>
      <c r="H32" s="27" t="inlineStr">
        <is>
          <t>UCUS00028490752</t>
        </is>
      </c>
      <c r="I32" s="27" t="inlineStr">
        <is>
          <t>580,000</t>
        </is>
      </c>
      <c r="J32" s="27" t="inlineStr">
        <is>
          <t>2026-10-14</t>
        </is>
      </c>
      <c r="K32" s="27" t="inlineStr">
        <is>
          <t>https://www.youtube.com/watch?v=us00028</t>
        </is>
      </c>
      <c r="L32" s="27" t="n">
        <v>16</v>
      </c>
      <c r="M32" s="27" t="n">
        <v>26</v>
      </c>
      <c r="N32" s="27" t="inlineStr">
        <is>
          <t>Course</t>
        </is>
      </c>
      <c r="O32" s="27" t="inlineStr">
        <is>
          <t>https://alexandercalloway.com/academy</t>
        </is>
      </c>
      <c r="P32" s="27" t="inlineStr">
        <is>
          <t>Missing Video Captions &amp; Retention Clips</t>
        </is>
      </c>
      <c r="Q32" s="27" t="inlineStr">
        <is>
          <t>https://alexandercalloway.com/highlights</t>
        </is>
      </c>
      <c r="R32" s="27" t="inlineStr">
        <is>
          <t>Email</t>
        </is>
      </c>
      <c r="S32" s="27" t="inlineStr">
        <is>
          <t>contact@alexandercalloway.com</t>
        </is>
      </c>
      <c r="T32" s="27" t="inlineStr">
        <is>
          <t>https://alexandercalloway.com/contact</t>
        </is>
      </c>
      <c r="U32" s="27" t="inlineStr">
        <is>
          <t>LinkedIn</t>
        </is>
      </c>
      <c r="V32" s="27" t="inlineStr">
        <is>
          <t>education &amp; applied coding frameworks, specifically regarding episode 29 on Education &amp; Applied Coding workflow optimization</t>
        </is>
      </c>
      <c r="W32" s="27" t="inlineStr">
        <is>
          <t>Hi Alexander,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2" s="27" t="inlineStr">
        <is>
          <t>2026-10-18</t>
        </is>
      </c>
      <c r="Y32" s="27" t="inlineStr">
        <is>
          <t>B</t>
        </is>
      </c>
      <c r="Z32" s="27" t="n">
        <v>89.8</v>
      </c>
      <c r="AA32" s="27" t="inlineStr">
        <is>
          <t>Qualified</t>
        </is>
      </c>
      <c r="AB32" s="27" t="inlineStr"/>
      <c r="AC32" s="28">
        <f>IF(A32="","",IF(COUNTIF($H$5:$H$1004,H32)&gt;1,"DUPLICATE","UNIQUE"))</f>
        <v/>
      </c>
      <c r="AD32" s="28">
        <f>IF(A32="","",IF(AA32="Rejected",IF(AB32&lt;&gt;"","REJECTED","ADD REASON"),IF(AND(B32&lt;&gt;"",C32&lt;&gt;"",D32&lt;&gt;"",E32&lt;&gt;"",F32&lt;&gt;"",G32&lt;&gt;"",H32&lt;&gt;"",J32&lt;&gt;"",K32&lt;&gt;"",N32&lt;&gt;"",O32&lt;&gt;"",P32&lt;&gt;"",Q32&lt;&gt;"",R32&lt;&gt;"",S32&lt;&gt;"",T32&lt;&gt;"",V32&lt;&gt;"",W32&lt;&gt;"",X32&lt;&gt;"",Y32&lt;&gt;""),"COMPLETE","MISSING FIELDS")))</f>
        <v/>
      </c>
    </row>
    <row r="33" ht="15" customHeight="1" s="15">
      <c r="A33" s="27" t="inlineStr">
        <is>
          <t>LEAD-0029</t>
        </is>
      </c>
      <c r="B33" s="27" t="inlineStr">
        <is>
          <t>Alexander Delaney</t>
        </is>
      </c>
      <c r="C33" s="27" t="inlineStr">
        <is>
          <t>Podcaster</t>
        </is>
      </c>
      <c r="D33" s="27" t="inlineStr">
        <is>
          <t>US</t>
        </is>
      </c>
      <c r="E33" s="27" t="inlineStr">
        <is>
          <t>English</t>
        </is>
      </c>
      <c r="F33" s="27" t="inlineStr">
        <is>
          <t>Apple Podcasts</t>
        </is>
      </c>
      <c r="G33" s="27" t="inlineStr">
        <is>
          <t>https://podcasts.apple.com/us/podcast/alexanderdelaney/id1000029</t>
        </is>
      </c>
      <c r="H33" s="27" t="inlineStr">
        <is>
          <t>AP-US-1000029</t>
        </is>
      </c>
      <c r="I33" s="27" t="inlineStr">
        <is>
          <t>60,000</t>
        </is>
      </c>
      <c r="J33" s="27" t="inlineStr">
        <is>
          <t>2026-10-15</t>
        </is>
      </c>
      <c r="K33" s="27" t="inlineStr">
        <is>
          <t>https://alexanderdelaney.com/episodes/30</t>
        </is>
      </c>
      <c r="L33" s="27" t="n">
        <v>17</v>
      </c>
      <c r="M33" s="27" t="n">
        <v>27</v>
      </c>
      <c r="N33" s="27" t="inlineStr">
        <is>
          <t>Sponsor</t>
        </is>
      </c>
      <c r="O33" s="27" t="inlineStr">
        <is>
          <t>https://alexanderdelaney.com/partners</t>
        </is>
      </c>
      <c r="P33" s="27" t="inlineStr">
        <is>
          <t>Shorts Repurposing Bottleneck</t>
        </is>
      </c>
      <c r="Q33" s="27" t="inlineStr">
        <is>
          <t>https://alexanderdelaney.com/highlights</t>
        </is>
      </c>
      <c r="R33" s="27" t="inlineStr">
        <is>
          <t>LinkedIn</t>
        </is>
      </c>
      <c r="S33" s="27" t="inlineStr">
        <is>
          <t>https://linkedin.com/in/alexanderdelaney</t>
        </is>
      </c>
      <c r="T33" s="27" t="inlineStr">
        <is>
          <t>https://alexanderdelaney.com/about</t>
        </is>
      </c>
      <c r="U33" s="27" t="inlineStr">
        <is>
          <t>Email</t>
        </is>
      </c>
      <c r="V33" s="27" t="inlineStr">
        <is>
          <t>e-commerce &amp; digital brands frameworks, specifically regarding episode 30 on E-Commerce &amp; Digital Brands workflow optimization</t>
        </is>
      </c>
      <c r="W33" s="27" t="inlineStr">
        <is>
          <t>Hi Alexander,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3" s="27" t="inlineStr">
        <is>
          <t>2026-10-18</t>
        </is>
      </c>
      <c r="Y33" s="27" t="inlineStr">
        <is>
          <t>B</t>
        </is>
      </c>
      <c r="Z33" s="27" t="n">
        <v>89.7</v>
      </c>
      <c r="AA33" s="27" t="inlineStr">
        <is>
          <t>Qualified</t>
        </is>
      </c>
      <c r="AB33" s="27" t="inlineStr"/>
      <c r="AC33" s="28">
        <f>IF(A33="","",IF(COUNTIF($H$5:$H$1004,H33)&gt;1,"DUPLICATE","UNIQUE"))</f>
        <v/>
      </c>
      <c r="AD33" s="28">
        <f>IF(A33="","",IF(AA33="Rejected",IF(AB33&lt;&gt;"","REJECTED","ADD REASON"),IF(AND(B33&lt;&gt;"",C33&lt;&gt;"",D33&lt;&gt;"",E33&lt;&gt;"",F33&lt;&gt;"",G33&lt;&gt;"",H33&lt;&gt;"",J33&lt;&gt;"",K33&lt;&gt;"",N33&lt;&gt;"",O33&lt;&gt;"",P33&lt;&gt;"",Q33&lt;&gt;"",R33&lt;&gt;"",S33&lt;&gt;"",T33&lt;&gt;"",V33&lt;&gt;"",W33&lt;&gt;"",X33&lt;&gt;"",Y33&lt;&gt;""),"COMPLETE","MISSING FIELDS")))</f>
        <v/>
      </c>
    </row>
    <row r="34" ht="15" customHeight="1" s="15">
      <c r="A34" s="27" t="inlineStr">
        <is>
          <t>LEAD-0030</t>
        </is>
      </c>
      <c r="B34" s="27" t="inlineStr">
        <is>
          <t>Alexander Eastwood</t>
        </is>
      </c>
      <c r="C34" s="27" t="inlineStr">
        <is>
          <t>YouTuber</t>
        </is>
      </c>
      <c r="D34" s="27" t="inlineStr">
        <is>
          <t>US</t>
        </is>
      </c>
      <c r="E34" s="27" t="inlineStr">
        <is>
          <t>English</t>
        </is>
      </c>
      <c r="F34" s="27" t="inlineStr">
        <is>
          <t>YouTube</t>
        </is>
      </c>
      <c r="G34" s="27" t="inlineStr">
        <is>
          <t>https://www.youtube.com/@alexandereastwood</t>
        </is>
      </c>
      <c r="H34" s="27" t="inlineStr">
        <is>
          <t>UCUS00030224087</t>
        </is>
      </c>
      <c r="I34" s="27" t="inlineStr">
        <is>
          <t>620,000</t>
        </is>
      </c>
      <c r="J34" s="27" t="inlineStr">
        <is>
          <t>2026-10-16</t>
        </is>
      </c>
      <c r="K34" s="27" t="inlineStr">
        <is>
          <t>https://www.youtube.com/watch?v=us00030</t>
        </is>
      </c>
      <c r="L34" s="27" t="n">
        <v>8</v>
      </c>
      <c r="M34" s="27" t="n">
        <v>28</v>
      </c>
      <c r="N34" s="27" t="inlineStr">
        <is>
          <t>Membership</t>
        </is>
      </c>
      <c r="O34" s="27" t="inlineStr">
        <is>
          <t>https://alexandereastwood.com/community</t>
        </is>
      </c>
      <c r="P34" s="27" t="inlineStr">
        <is>
          <t>Shorts Repurposing Bottleneck</t>
        </is>
      </c>
      <c r="Q34" s="27" t="inlineStr">
        <is>
          <t>https://alexandereastwood.com/highlights</t>
        </is>
      </c>
      <c r="R34" s="27" t="inlineStr">
        <is>
          <t>X (Twitter)</t>
        </is>
      </c>
      <c r="S34" s="27" t="inlineStr">
        <is>
          <t>https://x.com/alexandereastwood</t>
        </is>
      </c>
      <c r="T34" s="27" t="inlineStr">
        <is>
          <t>https://alexandereastwood.com/links</t>
        </is>
      </c>
      <c r="U34" s="27" t="inlineStr">
        <is>
          <t>LinkedIn</t>
        </is>
      </c>
      <c r="V34" s="27" t="inlineStr">
        <is>
          <t>tech &amp; ai frameworks, specifically regarding episode 31 on Tech &amp; AI workflow optimization</t>
        </is>
      </c>
      <c r="W34" s="27" t="inlineStr">
        <is>
          <t>Hi Alexander,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4" s="27" t="inlineStr">
        <is>
          <t>2026-10-18</t>
        </is>
      </c>
      <c r="Y34" s="27" t="inlineStr">
        <is>
          <t>B</t>
        </is>
      </c>
      <c r="Z34" s="27" t="n">
        <v>89.59999999999999</v>
      </c>
      <c r="AA34" s="27" t="inlineStr">
        <is>
          <t>Qualified</t>
        </is>
      </c>
      <c r="AB34" s="27" t="inlineStr"/>
      <c r="AC34" s="28">
        <f>IF(A34="","",IF(COUNTIF($H$5:$H$1004,H34)&gt;1,"DUPLICATE","UNIQUE"))</f>
        <v/>
      </c>
      <c r="AD34" s="28">
        <f>IF(A34="","",IF(AA34="Rejected",IF(AB34&lt;&gt;"","REJECTED","ADD REASON"),IF(AND(B34&lt;&gt;"",C34&lt;&gt;"",D34&lt;&gt;"",E34&lt;&gt;"",F34&lt;&gt;"",G34&lt;&gt;"",H34&lt;&gt;"",J34&lt;&gt;"",K34&lt;&gt;"",N34&lt;&gt;"",O34&lt;&gt;"",P34&lt;&gt;"",Q34&lt;&gt;"",R34&lt;&gt;"",S34&lt;&gt;"",T34&lt;&gt;"",V34&lt;&gt;"",W34&lt;&gt;"",X34&lt;&gt;"",Y34&lt;&gt;""),"COMPLETE","MISSING FIELDS")))</f>
        <v/>
      </c>
    </row>
    <row r="35" ht="15" customHeight="1" s="15">
      <c r="A35" s="27" t="inlineStr">
        <is>
          <t>LEAD-0031</t>
        </is>
      </c>
      <c r="B35" s="27" t="inlineStr">
        <is>
          <t>Alexander Fairchild</t>
        </is>
      </c>
      <c r="C35" s="27" t="inlineStr">
        <is>
          <t>Podcaster</t>
        </is>
      </c>
      <c r="D35" s="27" t="inlineStr">
        <is>
          <t>US</t>
        </is>
      </c>
      <c r="E35" s="27" t="inlineStr">
        <is>
          <t>English</t>
        </is>
      </c>
      <c r="F35" s="27" t="inlineStr">
        <is>
          <t>Apple Podcasts</t>
        </is>
      </c>
      <c r="G35" s="27" t="inlineStr">
        <is>
          <t>https://podcasts.apple.com/us/podcast/alexanderfairchild/id1000031</t>
        </is>
      </c>
      <c r="H35" s="27" t="inlineStr">
        <is>
          <t>AP-US-1000031</t>
        </is>
      </c>
      <c r="I35" s="27" t="inlineStr">
        <is>
          <t>84,000</t>
        </is>
      </c>
      <c r="J35" s="27" t="inlineStr">
        <is>
          <t>2026-10-17</t>
        </is>
      </c>
      <c r="K35" s="27" t="inlineStr">
        <is>
          <t>https://alexanderfairchild.com/episodes/32</t>
        </is>
      </c>
      <c r="L35" s="27" t="n">
        <v>9</v>
      </c>
      <c r="M35" s="27" t="n">
        <v>29</v>
      </c>
      <c r="N35" s="27" t="inlineStr">
        <is>
          <t>Product</t>
        </is>
      </c>
      <c r="O35" s="27" t="inlineStr">
        <is>
          <t>https://alexanderfairchild.com/shop</t>
        </is>
      </c>
      <c r="P35" s="27" t="inlineStr">
        <is>
          <t>Missing Video Captions &amp; Retention Clips</t>
        </is>
      </c>
      <c r="Q35" s="27" t="inlineStr">
        <is>
          <t>https://alexanderfairchild.com/highlights</t>
        </is>
      </c>
      <c r="R35" s="27" t="inlineStr">
        <is>
          <t>Email</t>
        </is>
      </c>
      <c r="S35" s="27" t="inlineStr">
        <is>
          <t>hello@alexanderfairchild.com</t>
        </is>
      </c>
      <c r="T35" s="27" t="inlineStr">
        <is>
          <t>https://alexanderfairchild.com/work-with-me</t>
        </is>
      </c>
      <c r="U35" s="27" t="inlineStr">
        <is>
          <t>LinkedIn</t>
        </is>
      </c>
      <c r="V35" s="27" t="inlineStr">
        <is>
          <t>saas &amp; product growth frameworks, specifically regarding episode 32 on SaaS &amp; Product Growth workflow optimization</t>
        </is>
      </c>
      <c r="W35" s="27" t="inlineStr">
        <is>
          <t>Hi Alexander,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5" s="27" t="inlineStr">
        <is>
          <t>2026-10-18</t>
        </is>
      </c>
      <c r="Y35" s="27" t="inlineStr">
        <is>
          <t>B</t>
        </is>
      </c>
      <c r="Z35" s="27" t="n">
        <v>89.5</v>
      </c>
      <c r="AA35" s="27" t="inlineStr">
        <is>
          <t>Qualified</t>
        </is>
      </c>
      <c r="AB35" s="27" t="inlineStr"/>
      <c r="AC35" s="28">
        <f>IF(A35="","",IF(COUNTIF($H$5:$H$1004,H35)&gt;1,"DUPLICATE","UNIQUE"))</f>
        <v/>
      </c>
      <c r="AD35" s="28">
        <f>IF(A35="","",IF(AA35="Rejected",IF(AB35&lt;&gt;"","REJECTED","ADD REASON"),IF(AND(B35&lt;&gt;"",C35&lt;&gt;"",D35&lt;&gt;"",E35&lt;&gt;"",F35&lt;&gt;"",G35&lt;&gt;"",H35&lt;&gt;"",J35&lt;&gt;"",K35&lt;&gt;"",N35&lt;&gt;"",O35&lt;&gt;"",P35&lt;&gt;"",Q35&lt;&gt;"",R35&lt;&gt;"",S35&lt;&gt;"",T35&lt;&gt;"",V35&lt;&gt;"",W35&lt;&gt;"",X35&lt;&gt;"",Y35&lt;&gt;""),"COMPLETE","MISSING FIELDS")))</f>
        <v/>
      </c>
    </row>
    <row r="36" ht="15" customHeight="1" s="15">
      <c r="A36" s="27" t="inlineStr">
        <is>
          <t>LEAD-0032</t>
        </is>
      </c>
      <c r="B36" s="27" t="inlineStr">
        <is>
          <t>Alexander Gallagher</t>
        </is>
      </c>
      <c r="C36" s="27" t="inlineStr">
        <is>
          <t>Expert-Led Creator</t>
        </is>
      </c>
      <c r="D36" s="27" t="inlineStr">
        <is>
          <t>US</t>
        </is>
      </c>
      <c r="E36" s="27" t="inlineStr">
        <is>
          <t>English</t>
        </is>
      </c>
      <c r="F36" s="27" t="inlineStr">
        <is>
          <t>YouTube</t>
        </is>
      </c>
      <c r="G36" s="27" t="inlineStr">
        <is>
          <t>https://www.youtube.com/@alexandergallagher</t>
        </is>
      </c>
      <c r="H36" s="27" t="inlineStr">
        <is>
          <t>UCUS00032645666</t>
        </is>
      </c>
      <c r="I36" s="27" t="inlineStr">
        <is>
          <t>660,000</t>
        </is>
      </c>
      <c r="J36" s="27" t="inlineStr">
        <is>
          <t>2026-10-10</t>
        </is>
      </c>
      <c r="K36" s="27" t="inlineStr">
        <is>
          <t>https://www.youtube.com/watch?v=us00032</t>
        </is>
      </c>
      <c r="L36" s="27" t="n">
        <v>10</v>
      </c>
      <c r="M36" s="27" t="n">
        <v>30</v>
      </c>
      <c r="N36" s="27" t="inlineStr">
        <is>
          <t>Consulting</t>
        </is>
      </c>
      <c r="O36" s="27" t="inlineStr">
        <is>
          <t>https://alexandergallagher.com/advisory</t>
        </is>
      </c>
      <c r="P36" s="27" t="inlineStr">
        <is>
          <t>Editing Backlog &amp; Team Workflow Overhead</t>
        </is>
      </c>
      <c r="Q36" s="27" t="inlineStr">
        <is>
          <t>https://alexandergallagher.com/highlights</t>
        </is>
      </c>
      <c r="R36" s="27" t="inlineStr">
        <is>
          <t>Email</t>
        </is>
      </c>
      <c r="S36" s="27" t="inlineStr">
        <is>
          <t>contact@alexandergallagher.com</t>
        </is>
      </c>
      <c r="T36" s="27" t="inlineStr">
        <is>
          <t>https://alexandergallagher.com/contact</t>
        </is>
      </c>
      <c r="U36" s="27" t="inlineStr">
        <is>
          <t>LinkedIn</t>
        </is>
      </c>
      <c r="V36" s="27" t="inlineStr">
        <is>
          <t>creator business &amp; monetization frameworks, specifically regarding episode 33 on Creator Business &amp; Monetization workflow optimization</t>
        </is>
      </c>
      <c r="W36" s="27" t="inlineStr">
        <is>
          <t>Hi Alexander,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6" s="27" t="inlineStr">
        <is>
          <t>2026-10-18</t>
        </is>
      </c>
      <c r="Y36" s="27" t="inlineStr">
        <is>
          <t>B</t>
        </is>
      </c>
      <c r="Z36" s="27" t="n">
        <v>89.40000000000001</v>
      </c>
      <c r="AA36" s="27" t="inlineStr">
        <is>
          <t>Qualified</t>
        </is>
      </c>
      <c r="AB36" s="27" t="inlineStr"/>
      <c r="AC36" s="28">
        <f>IF(A36="","",IF(COUNTIF($H$5:$H$1004,H36)&gt;1,"DUPLICATE","UNIQUE"))</f>
        <v/>
      </c>
      <c r="AD36" s="28">
        <f>IF(A36="","",IF(AA36="Rejected",IF(AB36&lt;&gt;"","REJECTED","ADD REASON"),IF(AND(B36&lt;&gt;"",C36&lt;&gt;"",D36&lt;&gt;"",E36&lt;&gt;"",F36&lt;&gt;"",G36&lt;&gt;"",H36&lt;&gt;"",J36&lt;&gt;"",K36&lt;&gt;"",N36&lt;&gt;"",O36&lt;&gt;"",P36&lt;&gt;"",Q36&lt;&gt;"",R36&lt;&gt;"",S36&lt;&gt;"",T36&lt;&gt;"",V36&lt;&gt;"",W36&lt;&gt;"",X36&lt;&gt;"",Y36&lt;&gt;""),"COMPLETE","MISSING FIELDS")))</f>
        <v/>
      </c>
    </row>
    <row r="37" ht="15" customHeight="1" s="15">
      <c r="A37" s="27" t="inlineStr">
        <is>
          <t>LEAD-0033</t>
        </is>
      </c>
      <c r="B37" s="27" t="inlineStr">
        <is>
          <t>Alexander Hawthorne</t>
        </is>
      </c>
      <c r="C37" s="27" t="inlineStr">
        <is>
          <t>YouTuber</t>
        </is>
      </c>
      <c r="D37" s="27" t="inlineStr">
        <is>
          <t>US</t>
        </is>
      </c>
      <c r="E37" s="27" t="inlineStr">
        <is>
          <t>English</t>
        </is>
      </c>
      <c r="F37" s="27" t="inlineStr">
        <is>
          <t>YouTube</t>
        </is>
      </c>
      <c r="G37" s="27" t="inlineStr">
        <is>
          <t>https://www.youtube.com/@alexanderhawthorne</t>
        </is>
      </c>
      <c r="H37" s="27" t="inlineStr">
        <is>
          <t>UCUS00033961572</t>
        </is>
      </c>
      <c r="I37" s="27" t="inlineStr">
        <is>
          <t>680,000</t>
        </is>
      </c>
      <c r="J37" s="27" t="inlineStr">
        <is>
          <t>2026-10-11</t>
        </is>
      </c>
      <c r="K37" s="27" t="inlineStr">
        <is>
          <t>https://www.youtube.com/watch?v=us00033</t>
        </is>
      </c>
      <c r="L37" s="27" t="n">
        <v>11</v>
      </c>
      <c r="M37" s="27" t="n">
        <v>31</v>
      </c>
      <c r="N37" s="27" t="inlineStr">
        <is>
          <t>Newsletter Subscription</t>
        </is>
      </c>
      <c r="O37" s="27" t="inlineStr">
        <is>
          <t>https://alexanderhawthorne.com/subscribe</t>
        </is>
      </c>
      <c r="P37" s="27" t="inlineStr">
        <is>
          <t>Shorts Repurposing Bottleneck</t>
        </is>
      </c>
      <c r="Q37" s="27" t="inlineStr">
        <is>
          <t>https://alexanderhawthorne.com/highlights</t>
        </is>
      </c>
      <c r="R37" s="27" t="inlineStr">
        <is>
          <t>LinkedIn</t>
        </is>
      </c>
      <c r="S37" s="27" t="inlineStr">
        <is>
          <t>https://linkedin.com/in/alexanderhawthorne</t>
        </is>
      </c>
      <c r="T37" s="27" t="inlineStr">
        <is>
          <t>https://alexanderhawthorne.com/about</t>
        </is>
      </c>
      <c r="U37" s="27" t="inlineStr">
        <is>
          <t>Email</t>
        </is>
      </c>
      <c r="V37" s="27" t="inlineStr">
        <is>
          <t>productivity &amp; personal systems frameworks, specifically regarding episode 34 on Productivity &amp; Personal Systems workflow optimization</t>
        </is>
      </c>
      <c r="W37" s="27" t="inlineStr">
        <is>
          <t>Hi Alexander,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7" s="27" t="inlineStr">
        <is>
          <t>2026-10-18</t>
        </is>
      </c>
      <c r="Y37" s="27" t="inlineStr">
        <is>
          <t>B</t>
        </is>
      </c>
      <c r="Z37" s="27" t="n">
        <v>89.40000000000001</v>
      </c>
      <c r="AA37" s="27" t="inlineStr">
        <is>
          <t>Qualified</t>
        </is>
      </c>
      <c r="AB37" s="27" t="inlineStr"/>
      <c r="AC37" s="28">
        <f>IF(A37="","",IF(COUNTIF($H$5:$H$1004,H37)&gt;1,"DUPLICATE","UNIQUE"))</f>
        <v/>
      </c>
      <c r="AD37" s="28">
        <f>IF(A37="","",IF(AA37="Rejected",IF(AB37&lt;&gt;"","REJECTED","ADD REASON"),IF(AND(B37&lt;&gt;"",C37&lt;&gt;"",D37&lt;&gt;"",E37&lt;&gt;"",F37&lt;&gt;"",G37&lt;&gt;"",H37&lt;&gt;"",J37&lt;&gt;"",K37&lt;&gt;"",N37&lt;&gt;"",O37&lt;&gt;"",P37&lt;&gt;"",Q37&lt;&gt;"",R37&lt;&gt;"",S37&lt;&gt;"",T37&lt;&gt;"",V37&lt;&gt;"",W37&lt;&gt;"",X37&lt;&gt;"",Y37&lt;&gt;""),"COMPLETE","MISSING FIELDS")))</f>
        <v/>
      </c>
    </row>
    <row r="38" ht="15" customHeight="1" s="15">
      <c r="A38" s="27" t="inlineStr">
        <is>
          <t>LEAD-0034</t>
        </is>
      </c>
      <c r="B38" s="27" t="inlineStr">
        <is>
          <t>Alexander Ingram</t>
        </is>
      </c>
      <c r="C38" s="27" t="inlineStr">
        <is>
          <t>Podcaster</t>
        </is>
      </c>
      <c r="D38" s="27" t="inlineStr">
        <is>
          <t>US</t>
        </is>
      </c>
      <c r="E38" s="27" t="inlineStr">
        <is>
          <t>English</t>
        </is>
      </c>
      <c r="F38" s="27" t="inlineStr">
        <is>
          <t>Apple Podcasts</t>
        </is>
      </c>
      <c r="G38" s="27" t="inlineStr">
        <is>
          <t>https://podcasts.apple.com/us/podcast/alexanderingram/id1000034</t>
        </is>
      </c>
      <c r="H38" s="27" t="inlineStr">
        <is>
          <t>AP-US-1000034</t>
        </is>
      </c>
      <c r="I38" s="27" t="inlineStr">
        <is>
          <t>120,000</t>
        </is>
      </c>
      <c r="J38" s="27" t="inlineStr">
        <is>
          <t>2026-10-12</t>
        </is>
      </c>
      <c r="K38" s="27" t="inlineStr">
        <is>
          <t>https://alexanderingram.com/episodes/35</t>
        </is>
      </c>
      <c r="L38" s="27" t="n">
        <v>12</v>
      </c>
      <c r="M38" s="27" t="n">
        <v>32</v>
      </c>
      <c r="N38" s="27" t="inlineStr">
        <is>
          <t>Affiliate</t>
        </is>
      </c>
      <c r="O38" s="27" t="inlineStr">
        <is>
          <t>https://alexanderingram.com/resources</t>
        </is>
      </c>
      <c r="P38" s="27" t="inlineStr">
        <is>
          <t>Inconsistent Cross-Platform Publishing</t>
        </is>
      </c>
      <c r="Q38" s="27" t="inlineStr">
        <is>
          <t>https://alexanderingram.com/highlights</t>
        </is>
      </c>
      <c r="R38" s="27" t="inlineStr">
        <is>
          <t>X (Twitter)</t>
        </is>
      </c>
      <c r="S38" s="27" t="inlineStr">
        <is>
          <t>https://x.com/alexanderingram</t>
        </is>
      </c>
      <c r="T38" s="27" t="inlineStr">
        <is>
          <t>https://alexanderingram.com/links</t>
        </is>
      </c>
      <c r="U38" s="27" t="inlineStr">
        <is>
          <t>LinkedIn</t>
        </is>
      </c>
      <c r="V38" s="27" t="inlineStr">
        <is>
          <t>leadership &amp; team ops frameworks, specifically regarding episode 35 on Leadership &amp; Team Ops workflow optimization</t>
        </is>
      </c>
      <c r="W38" s="27" t="inlineStr">
        <is>
          <t>Hi Alexander,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8" s="27" t="inlineStr">
        <is>
          <t>2026-10-18</t>
        </is>
      </c>
      <c r="Y38" s="27" t="inlineStr">
        <is>
          <t>B</t>
        </is>
      </c>
      <c r="Z38" s="27" t="n">
        <v>89.3</v>
      </c>
      <c r="AA38" s="27" t="inlineStr">
        <is>
          <t>Qualified</t>
        </is>
      </c>
      <c r="AB38" s="27" t="inlineStr"/>
      <c r="AC38" s="28">
        <f>IF(A38="","",IF(COUNTIF($H$5:$H$1004,H38)&gt;1,"DUPLICATE","UNIQUE"))</f>
        <v/>
      </c>
      <c r="AD38" s="28">
        <f>IF(A38="","",IF(AA38="Rejected",IF(AB38&lt;&gt;"","REJECTED","ADD REASON"),IF(AND(B38&lt;&gt;"",C38&lt;&gt;"",D38&lt;&gt;"",E38&lt;&gt;"",F38&lt;&gt;"",G38&lt;&gt;"",H38&lt;&gt;"",J38&lt;&gt;"",K38&lt;&gt;"",N38&lt;&gt;"",O38&lt;&gt;"",P38&lt;&gt;"",Q38&lt;&gt;"",R38&lt;&gt;"",S38&lt;&gt;"",T38&lt;&gt;"",V38&lt;&gt;"",W38&lt;&gt;"",X38&lt;&gt;"",Y38&lt;&gt;""),"COMPLETE","MISSING FIELDS")))</f>
        <v/>
      </c>
    </row>
    <row r="39" ht="15" customHeight="1" s="15">
      <c r="A39" s="27" t="inlineStr">
        <is>
          <t>LEAD-0035</t>
        </is>
      </c>
      <c r="B39" s="27" t="inlineStr">
        <is>
          <t>Alexander Jennings</t>
        </is>
      </c>
      <c r="C39" s="27" t="inlineStr">
        <is>
          <t>Expert-Led Creator</t>
        </is>
      </c>
      <c r="D39" s="27" t="inlineStr">
        <is>
          <t>US</t>
        </is>
      </c>
      <c r="E39" s="27" t="inlineStr">
        <is>
          <t>English</t>
        </is>
      </c>
      <c r="F39" s="27" t="inlineStr">
        <is>
          <t>LinkedIn</t>
        </is>
      </c>
      <c r="G39" s="27" t="inlineStr">
        <is>
          <t>https://www.linkedin.com/in/alexanderjennings</t>
        </is>
      </c>
      <c r="H39" s="27" t="inlineStr">
        <is>
          <t>LI-alexanderjennings-0035</t>
        </is>
      </c>
      <c r="I39" s="27" t="inlineStr">
        <is>
          <t>36,000</t>
        </is>
      </c>
      <c r="J39" s="27" t="inlineStr">
        <is>
          <t>2026-10-13</t>
        </is>
      </c>
      <c r="K39" s="27" t="inlineStr">
        <is>
          <t>https://alexanderjennings.com/posts/36</t>
        </is>
      </c>
      <c r="L39" s="27" t="n">
        <v>13</v>
      </c>
      <c r="M39" s="27" t="n">
        <v>33</v>
      </c>
      <c r="N39" s="27" t="inlineStr">
        <is>
          <t>Course</t>
        </is>
      </c>
      <c r="O39" s="27" t="inlineStr">
        <is>
          <t>https://alexanderjennings.com/academy</t>
        </is>
      </c>
      <c r="P39" s="27" t="inlineStr">
        <is>
          <t>Editing Backlog &amp; Team Workflow Overhead</t>
        </is>
      </c>
      <c r="Q39" s="27" t="inlineStr">
        <is>
          <t>https://alexanderjennings.com/highlights</t>
        </is>
      </c>
      <c r="R39" s="27" t="inlineStr">
        <is>
          <t>Email</t>
        </is>
      </c>
      <c r="S39" s="27" t="inlineStr">
        <is>
          <t>hello@alexanderjennings.com</t>
        </is>
      </c>
      <c r="T39" s="27" t="inlineStr">
        <is>
          <t>https://alexanderjennings.com/work-with-me</t>
        </is>
      </c>
      <c r="U39" s="27" t="inlineStr">
        <is>
          <t>LinkedIn</t>
        </is>
      </c>
      <c r="V39" s="27" t="inlineStr">
        <is>
          <t>b2b marketing &amp; sales frameworks, specifically regarding episode 36 on B2B Marketing &amp; Sales workflow optimization</t>
        </is>
      </c>
      <c r="W39" s="27" t="inlineStr">
        <is>
          <t>Hi Alexander,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9" s="27" t="inlineStr">
        <is>
          <t>2026-10-18</t>
        </is>
      </c>
      <c r="Y39" s="27" t="inlineStr">
        <is>
          <t>B</t>
        </is>
      </c>
      <c r="Z39" s="27" t="n">
        <v>89.2</v>
      </c>
      <c r="AA39" s="27" t="inlineStr">
        <is>
          <t>Qualified</t>
        </is>
      </c>
      <c r="AB39" s="27" t="inlineStr"/>
      <c r="AC39" s="28">
        <f>IF(A39="","",IF(COUNTIF($H$5:$H$1004,H39)&gt;1,"DUPLICATE","UNIQUE"))</f>
        <v/>
      </c>
      <c r="AD39" s="28">
        <f>IF(A39="","",IF(AA39="Rejected",IF(AB39&lt;&gt;"","REJECTED","ADD REASON"),IF(AND(B39&lt;&gt;"",C39&lt;&gt;"",D39&lt;&gt;"",E39&lt;&gt;"",F39&lt;&gt;"",G39&lt;&gt;"",H39&lt;&gt;"",J39&lt;&gt;"",K39&lt;&gt;"",N39&lt;&gt;"",O39&lt;&gt;"",P39&lt;&gt;"",Q39&lt;&gt;"",R39&lt;&gt;"",S39&lt;&gt;"",T39&lt;&gt;"",V39&lt;&gt;"",W39&lt;&gt;"",X39&lt;&gt;"",Y39&lt;&gt;""),"COMPLETE","MISSING FIELDS")))</f>
        <v/>
      </c>
    </row>
    <row r="40" ht="15" customHeight="1" s="15">
      <c r="A40" s="27" t="inlineStr">
        <is>
          <t>LEAD-0036</t>
        </is>
      </c>
      <c r="B40" s="27" t="inlineStr">
        <is>
          <t>Alexander Kingsley</t>
        </is>
      </c>
      <c r="C40" s="27" t="inlineStr">
        <is>
          <t>YouTuber</t>
        </is>
      </c>
      <c r="D40" s="27" t="inlineStr">
        <is>
          <t>US</t>
        </is>
      </c>
      <c r="E40" s="27" t="inlineStr">
        <is>
          <t>English</t>
        </is>
      </c>
      <c r="F40" s="27" t="inlineStr">
        <is>
          <t>YouTube</t>
        </is>
      </c>
      <c r="G40" s="27" t="inlineStr">
        <is>
          <t>https://www.youtube.com/@alexanderkingsley</t>
        </is>
      </c>
      <c r="H40" s="27" t="inlineStr">
        <is>
          <t>UCUS00036532346</t>
        </is>
      </c>
      <c r="I40" s="27" t="inlineStr">
        <is>
          <t>40,000</t>
        </is>
      </c>
      <c r="J40" s="27" t="inlineStr">
        <is>
          <t>2026-10-14</t>
        </is>
      </c>
      <c r="K40" s="27" t="inlineStr">
        <is>
          <t>https://www.youtube.com/watch?v=us00036</t>
        </is>
      </c>
      <c r="L40" s="27" t="n">
        <v>14</v>
      </c>
      <c r="M40" s="27" t="n">
        <v>16</v>
      </c>
      <c r="N40" s="27" t="inlineStr">
        <is>
          <t>Sponsor</t>
        </is>
      </c>
      <c r="O40" s="27" t="inlineStr">
        <is>
          <t>https://alexanderkingsley.com/partners</t>
        </is>
      </c>
      <c r="P40" s="27" t="inlineStr">
        <is>
          <t>Multilingual Audio Dubbing</t>
        </is>
      </c>
      <c r="Q40" s="27" t="inlineStr">
        <is>
          <t>https://alexanderkingsley.com/highlights</t>
        </is>
      </c>
      <c r="R40" s="27" t="inlineStr">
        <is>
          <t>Email</t>
        </is>
      </c>
      <c r="S40" s="27" t="inlineStr">
        <is>
          <t>contact@alexanderkingsley.com</t>
        </is>
      </c>
      <c r="T40" s="27" t="inlineStr">
        <is>
          <t>https://alexanderkingsley.com/contact</t>
        </is>
      </c>
      <c r="U40" s="27" t="inlineStr">
        <is>
          <t>LinkedIn</t>
        </is>
      </c>
      <c r="V40" s="27" t="inlineStr">
        <is>
          <t>finance &amp; wealth engineering frameworks, specifically regarding episode 37 on Finance &amp; Wealth Engineering workflow optimization</t>
        </is>
      </c>
      <c r="W40" s="27" t="inlineStr">
        <is>
          <t>Hi Alexander,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0" s="27" t="inlineStr">
        <is>
          <t>2026-10-18</t>
        </is>
      </c>
      <c r="Y40" s="27" t="inlineStr">
        <is>
          <t>B</t>
        </is>
      </c>
      <c r="Z40" s="27" t="n">
        <v>89.09999999999999</v>
      </c>
      <c r="AA40" s="27" t="inlineStr">
        <is>
          <t>Qualified</t>
        </is>
      </c>
      <c r="AB40" s="27" t="inlineStr"/>
      <c r="AC40" s="28">
        <f>IF(A40="","",IF(COUNTIF($H$5:$H$1004,H40)&gt;1,"DUPLICATE","UNIQUE"))</f>
        <v/>
      </c>
      <c r="AD40" s="28">
        <f>IF(A40="","",IF(AA40="Rejected",IF(AB40&lt;&gt;"","REJECTED","ADD REASON"),IF(AND(B40&lt;&gt;"",C40&lt;&gt;"",D40&lt;&gt;"",E40&lt;&gt;"",F40&lt;&gt;"",G40&lt;&gt;"",H40&lt;&gt;"",J40&lt;&gt;"",K40&lt;&gt;"",N40&lt;&gt;"",O40&lt;&gt;"",P40&lt;&gt;"",Q40&lt;&gt;"",R40&lt;&gt;"",S40&lt;&gt;"",T40&lt;&gt;"",V40&lt;&gt;"",W40&lt;&gt;"",X40&lt;&gt;"",Y40&lt;&gt;""),"COMPLETE","MISSING FIELDS")))</f>
        <v/>
      </c>
    </row>
    <row r="41" ht="15" customHeight="1" s="15">
      <c r="A41" s="27" t="inlineStr">
        <is>
          <t>LEAD-0037</t>
        </is>
      </c>
      <c r="B41" s="27" t="inlineStr">
        <is>
          <t>Alexander Lockwood</t>
        </is>
      </c>
      <c r="C41" s="27" t="inlineStr">
        <is>
          <t>Podcaster</t>
        </is>
      </c>
      <c r="D41" s="27" t="inlineStr">
        <is>
          <t>US</t>
        </is>
      </c>
      <c r="E41" s="27" t="inlineStr">
        <is>
          <t>English</t>
        </is>
      </c>
      <c r="F41" s="27" t="inlineStr">
        <is>
          <t>Apple Podcasts</t>
        </is>
      </c>
      <c r="G41" s="27" t="inlineStr">
        <is>
          <t>https://podcasts.apple.com/us/podcast/alexanderlockwood/id1000037</t>
        </is>
      </c>
      <c r="H41" s="27" t="inlineStr">
        <is>
          <t>AP-US-1000037</t>
        </is>
      </c>
      <c r="I41" s="27" t="inlineStr">
        <is>
          <t>156,000</t>
        </is>
      </c>
      <c r="J41" s="27" t="inlineStr">
        <is>
          <t>2026-10-15</t>
        </is>
      </c>
      <c r="K41" s="27" t="inlineStr">
        <is>
          <t>https://alexanderlockwood.com/episodes/38</t>
        </is>
      </c>
      <c r="L41" s="27" t="n">
        <v>15</v>
      </c>
      <c r="M41" s="27" t="n">
        <v>17</v>
      </c>
      <c r="N41" s="27" t="inlineStr">
        <is>
          <t>Membership</t>
        </is>
      </c>
      <c r="O41" s="27" t="inlineStr">
        <is>
          <t>https://alexanderlockwood.com/community</t>
        </is>
      </c>
      <c r="P41" s="27" t="inlineStr">
        <is>
          <t>Multilingual Audio Dubbing</t>
        </is>
      </c>
      <c r="Q41" s="27" t="inlineStr">
        <is>
          <t>https://alexanderlockwood.com/highlights</t>
        </is>
      </c>
      <c r="R41" s="27" t="inlineStr">
        <is>
          <t>LinkedIn</t>
        </is>
      </c>
      <c r="S41" s="27" t="inlineStr">
        <is>
          <t>https://linkedin.com/in/alexanderlockwood</t>
        </is>
      </c>
      <c r="T41" s="27" t="inlineStr">
        <is>
          <t>https://alexanderlockwood.com/about</t>
        </is>
      </c>
      <c r="U41" s="27" t="inlineStr">
        <is>
          <t>Email</t>
        </is>
      </c>
      <c r="V41" s="27" t="inlineStr">
        <is>
          <t>health &amp; longevity science frameworks, specifically regarding episode 38 on Health &amp; Longevity Science workflow optimization</t>
        </is>
      </c>
      <c r="W41" s="27" t="inlineStr">
        <is>
          <t>Hi Alexander,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1" s="27" t="inlineStr">
        <is>
          <t>2026-10-18</t>
        </is>
      </c>
      <c r="Y41" s="27" t="inlineStr">
        <is>
          <t>B</t>
        </is>
      </c>
      <c r="Z41" s="27" t="n">
        <v>89</v>
      </c>
      <c r="AA41" s="27" t="inlineStr">
        <is>
          <t>Qualified</t>
        </is>
      </c>
      <c r="AB41" s="27" t="inlineStr"/>
      <c r="AC41" s="28">
        <f>IF(A41="","",IF(COUNTIF($H$5:$H$1004,H41)&gt;1,"DUPLICATE","UNIQUE"))</f>
        <v/>
      </c>
      <c r="AD41" s="28">
        <f>IF(A41="","",IF(AA41="Rejected",IF(AB41&lt;&gt;"","REJECTED","ADD REASON"),IF(AND(B41&lt;&gt;"",C41&lt;&gt;"",D41&lt;&gt;"",E41&lt;&gt;"",F41&lt;&gt;"",G41&lt;&gt;"",H41&lt;&gt;"",J41&lt;&gt;"",K41&lt;&gt;"",N41&lt;&gt;"",O41&lt;&gt;"",P41&lt;&gt;"",Q41&lt;&gt;"",R41&lt;&gt;"",S41&lt;&gt;"",T41&lt;&gt;"",V41&lt;&gt;"",W41&lt;&gt;"",X41&lt;&gt;"",Y41&lt;&gt;""),"COMPLETE","MISSING FIELDS")))</f>
        <v/>
      </c>
    </row>
    <row r="42" ht="15" customHeight="1" s="15">
      <c r="A42" s="27" t="inlineStr">
        <is>
          <t>LEAD-0038</t>
        </is>
      </c>
      <c r="B42" s="27" t="inlineStr">
        <is>
          <t>Alexander Montague</t>
        </is>
      </c>
      <c r="C42" s="27" t="inlineStr">
        <is>
          <t>YouTuber</t>
        </is>
      </c>
      <c r="D42" s="27" t="inlineStr">
        <is>
          <t>US</t>
        </is>
      </c>
      <c r="E42" s="27" t="inlineStr">
        <is>
          <t>English</t>
        </is>
      </c>
      <c r="F42" s="27" t="inlineStr">
        <is>
          <t>YouTube</t>
        </is>
      </c>
      <c r="G42" s="27" t="inlineStr">
        <is>
          <t>https://www.youtube.com/@alexandermontague</t>
        </is>
      </c>
      <c r="H42" s="27" t="inlineStr">
        <is>
          <t>UCUS00038755558</t>
        </is>
      </c>
      <c r="I42" s="27" t="inlineStr">
        <is>
          <t>80,000</t>
        </is>
      </c>
      <c r="J42" s="27" t="inlineStr">
        <is>
          <t>2026-10-16</t>
        </is>
      </c>
      <c r="K42" s="27" t="inlineStr">
        <is>
          <t>https://www.youtube.com/watch?v=us00038</t>
        </is>
      </c>
      <c r="L42" s="27" t="n">
        <v>16</v>
      </c>
      <c r="M42" s="27" t="n">
        <v>18</v>
      </c>
      <c r="N42" s="27" t="inlineStr">
        <is>
          <t>Product</t>
        </is>
      </c>
      <c r="O42" s="27" t="inlineStr">
        <is>
          <t>https://alexandermontague.com/shop</t>
        </is>
      </c>
      <c r="P42" s="27" t="inlineStr">
        <is>
          <t>Missing Video Captions &amp; Retention Clips</t>
        </is>
      </c>
      <c r="Q42" s="27" t="inlineStr">
        <is>
          <t>https://alexandermontague.com/highlights</t>
        </is>
      </c>
      <c r="R42" s="27" t="inlineStr">
        <is>
          <t>X (Twitter)</t>
        </is>
      </c>
      <c r="S42" s="27" t="inlineStr">
        <is>
          <t>https://x.com/alexandermontague</t>
        </is>
      </c>
      <c r="T42" s="27" t="inlineStr">
        <is>
          <t>https://alexandermontague.com/links</t>
        </is>
      </c>
      <c r="U42" s="27" t="inlineStr">
        <is>
          <t>LinkedIn</t>
        </is>
      </c>
      <c r="V42" s="27" t="inlineStr">
        <is>
          <t>education &amp; applied coding frameworks, specifically regarding episode 39 on Education &amp; Applied Coding workflow optimization</t>
        </is>
      </c>
      <c r="W42" s="27" t="inlineStr">
        <is>
          <t>Hi Alexander,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2" s="27" t="inlineStr">
        <is>
          <t>2026-10-18</t>
        </is>
      </c>
      <c r="Y42" s="27" t="inlineStr">
        <is>
          <t>B</t>
        </is>
      </c>
      <c r="Z42" s="27" t="n">
        <v>89</v>
      </c>
      <c r="AA42" s="27" t="inlineStr">
        <is>
          <t>Qualified</t>
        </is>
      </c>
      <c r="AB42" s="27" t="inlineStr"/>
      <c r="AC42" s="28">
        <f>IF(A42="","",IF(COUNTIF($H$5:$H$1004,H42)&gt;1,"DUPLICATE","UNIQUE"))</f>
        <v/>
      </c>
      <c r="AD42" s="28">
        <f>IF(A42="","",IF(AA42="Rejected",IF(AB42&lt;&gt;"","REJECTED","ADD REASON"),IF(AND(B42&lt;&gt;"",C42&lt;&gt;"",D42&lt;&gt;"",E42&lt;&gt;"",F42&lt;&gt;"",G42&lt;&gt;"",H42&lt;&gt;"",J42&lt;&gt;"",K42&lt;&gt;"",N42&lt;&gt;"",O42&lt;&gt;"",P42&lt;&gt;"",Q42&lt;&gt;"",R42&lt;&gt;"",S42&lt;&gt;"",T42&lt;&gt;"",V42&lt;&gt;"",W42&lt;&gt;"",X42&lt;&gt;"",Y42&lt;&gt;""),"COMPLETE","MISSING FIELDS")))</f>
        <v/>
      </c>
    </row>
    <row r="43" ht="15" customHeight="1" s="15">
      <c r="A43" s="27" t="inlineStr">
        <is>
          <t>LEAD-0039</t>
        </is>
      </c>
      <c r="B43" s="27" t="inlineStr">
        <is>
          <t>Alexander Northwood</t>
        </is>
      </c>
      <c r="C43" s="27" t="inlineStr">
        <is>
          <t>Podcaster</t>
        </is>
      </c>
      <c r="D43" s="27" t="inlineStr">
        <is>
          <t>US</t>
        </is>
      </c>
      <c r="E43" s="27" t="inlineStr">
        <is>
          <t>English</t>
        </is>
      </c>
      <c r="F43" s="27" t="inlineStr">
        <is>
          <t>Apple Podcasts</t>
        </is>
      </c>
      <c r="G43" s="27" t="inlineStr">
        <is>
          <t>https://podcasts.apple.com/us/podcast/alexandernorthwood/id1000039</t>
        </is>
      </c>
      <c r="H43" s="27" t="inlineStr">
        <is>
          <t>AP-US-1000039</t>
        </is>
      </c>
      <c r="I43" s="27" t="inlineStr">
        <is>
          <t>180,000</t>
        </is>
      </c>
      <c r="J43" s="27" t="inlineStr">
        <is>
          <t>2026-10-17</t>
        </is>
      </c>
      <c r="K43" s="27" t="inlineStr">
        <is>
          <t>https://alexandernorthwood.com/episodes/40</t>
        </is>
      </c>
      <c r="L43" s="27" t="n">
        <v>17</v>
      </c>
      <c r="M43" s="27" t="n">
        <v>19</v>
      </c>
      <c r="N43" s="27" t="inlineStr">
        <is>
          <t>Consulting</t>
        </is>
      </c>
      <c r="O43" s="27" t="inlineStr">
        <is>
          <t>https://alexandernorthwood.com/advisory</t>
        </is>
      </c>
      <c r="P43" s="27" t="inlineStr">
        <is>
          <t>Shorts Repurposing Bottleneck</t>
        </is>
      </c>
      <c r="Q43" s="27" t="inlineStr">
        <is>
          <t>https://alexandernorthwood.com/highlights</t>
        </is>
      </c>
      <c r="R43" s="27" t="inlineStr">
        <is>
          <t>Email</t>
        </is>
      </c>
      <c r="S43" s="27" t="inlineStr">
        <is>
          <t>hello@alexandernorthwood.com</t>
        </is>
      </c>
      <c r="T43" s="27" t="inlineStr">
        <is>
          <t>https://alexandernorthwood.com/work-with-me</t>
        </is>
      </c>
      <c r="U43" s="27" t="inlineStr">
        <is>
          <t>LinkedIn</t>
        </is>
      </c>
      <c r="V43" s="27" t="inlineStr">
        <is>
          <t>e-commerce &amp; digital brands frameworks, specifically regarding episode 40 on E-Commerce &amp; Digital Brands workflow optimization</t>
        </is>
      </c>
      <c r="W43" s="27" t="inlineStr">
        <is>
          <t>Hi Alexander,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3" s="27" t="inlineStr">
        <is>
          <t>2026-10-18</t>
        </is>
      </c>
      <c r="Y43" s="27" t="inlineStr">
        <is>
          <t>B</t>
        </is>
      </c>
      <c r="Z43" s="27" t="n">
        <v>88.90000000000001</v>
      </c>
      <c r="AA43" s="27" t="inlineStr">
        <is>
          <t>Qualified</t>
        </is>
      </c>
      <c r="AB43" s="27" t="inlineStr"/>
      <c r="AC43" s="28">
        <f>IF(A43="","",IF(COUNTIF($H$5:$H$1004,H43)&gt;1,"DUPLICATE","UNIQUE"))</f>
        <v/>
      </c>
      <c r="AD43" s="28">
        <f>IF(A43="","",IF(AA43="Rejected",IF(AB43&lt;&gt;"","REJECTED","ADD REASON"),IF(AND(B43&lt;&gt;"",C43&lt;&gt;"",D43&lt;&gt;"",E43&lt;&gt;"",F43&lt;&gt;"",G43&lt;&gt;"",H43&lt;&gt;"",J43&lt;&gt;"",K43&lt;&gt;"",N43&lt;&gt;"",O43&lt;&gt;"",P43&lt;&gt;"",Q43&lt;&gt;"",R43&lt;&gt;"",S43&lt;&gt;"",T43&lt;&gt;"",V43&lt;&gt;"",W43&lt;&gt;"",X43&lt;&gt;"",Y43&lt;&gt;""),"COMPLETE","MISSING FIELDS")))</f>
        <v/>
      </c>
    </row>
    <row r="44" ht="15" customHeight="1" s="15">
      <c r="A44" s="27" t="inlineStr">
        <is>
          <t>LEAD-0040</t>
        </is>
      </c>
      <c r="B44" s="27" t="inlineStr">
        <is>
          <t>Alexander Oakley</t>
        </is>
      </c>
      <c r="C44" s="27" t="inlineStr">
        <is>
          <t>YouTuber</t>
        </is>
      </c>
      <c r="D44" s="27" t="inlineStr">
        <is>
          <t>US</t>
        </is>
      </c>
      <c r="E44" s="27" t="inlineStr">
        <is>
          <t>English</t>
        </is>
      </c>
      <c r="F44" s="27" t="inlineStr">
        <is>
          <t>YouTube</t>
        </is>
      </c>
      <c r="G44" s="27" t="inlineStr">
        <is>
          <t>https://www.youtube.com/@alexanderoakley</t>
        </is>
      </c>
      <c r="H44" s="27" t="inlineStr">
        <is>
          <t>UCUS00040393018</t>
        </is>
      </c>
      <c r="I44" s="27" t="inlineStr">
        <is>
          <t>120,000</t>
        </is>
      </c>
      <c r="J44" s="27" t="inlineStr">
        <is>
          <t>2026-10-10</t>
        </is>
      </c>
      <c r="K44" s="27" t="inlineStr">
        <is>
          <t>https://www.youtube.com/watch?v=us00040</t>
        </is>
      </c>
      <c r="L44" s="27" t="n">
        <v>8</v>
      </c>
      <c r="M44" s="27" t="n">
        <v>20</v>
      </c>
      <c r="N44" s="27" t="inlineStr">
        <is>
          <t>Newsletter Subscription</t>
        </is>
      </c>
      <c r="O44" s="27" t="inlineStr">
        <is>
          <t>https://alexanderoakley.com/subscribe</t>
        </is>
      </c>
      <c r="P44" s="27" t="inlineStr">
        <is>
          <t>Shorts Repurposing Bottleneck</t>
        </is>
      </c>
      <c r="Q44" s="27" t="inlineStr">
        <is>
          <t>https://alexanderoakley.com/highlights</t>
        </is>
      </c>
      <c r="R44" s="27" t="inlineStr">
        <is>
          <t>Email</t>
        </is>
      </c>
      <c r="S44" s="27" t="inlineStr">
        <is>
          <t>contact@alexanderoakley.com</t>
        </is>
      </c>
      <c r="T44" s="27" t="inlineStr">
        <is>
          <t>https://alexanderoakley.com/contact</t>
        </is>
      </c>
      <c r="U44" s="27" t="inlineStr">
        <is>
          <t>LinkedIn</t>
        </is>
      </c>
      <c r="V44" s="27" t="inlineStr">
        <is>
          <t>tech &amp; ai frameworks, specifically regarding episode 41 on Tech &amp; AI workflow optimization</t>
        </is>
      </c>
      <c r="W44" s="27" t="inlineStr">
        <is>
          <t>Hi Alexander,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4" s="27" t="inlineStr">
        <is>
          <t>2026-10-18</t>
        </is>
      </c>
      <c r="Y44" s="27" t="inlineStr">
        <is>
          <t>B</t>
        </is>
      </c>
      <c r="Z44" s="27" t="n">
        <v>88.8</v>
      </c>
      <c r="AA44" s="27" t="inlineStr">
        <is>
          <t>Qualified</t>
        </is>
      </c>
      <c r="AB44" s="27" t="inlineStr"/>
      <c r="AC44" s="28">
        <f>IF(A44="","",IF(COUNTIF($H$5:$H$1004,H44)&gt;1,"DUPLICATE","UNIQUE"))</f>
        <v/>
      </c>
      <c r="AD44" s="28">
        <f>IF(A44="","",IF(AA44="Rejected",IF(AB44&lt;&gt;"","REJECTED","ADD REASON"),IF(AND(B44&lt;&gt;"",C44&lt;&gt;"",D44&lt;&gt;"",E44&lt;&gt;"",F44&lt;&gt;"",G44&lt;&gt;"",H44&lt;&gt;"",J44&lt;&gt;"",K44&lt;&gt;"",N44&lt;&gt;"",O44&lt;&gt;"",P44&lt;&gt;"",Q44&lt;&gt;"",R44&lt;&gt;"",S44&lt;&gt;"",T44&lt;&gt;"",V44&lt;&gt;"",W44&lt;&gt;"",X44&lt;&gt;"",Y44&lt;&gt;""),"COMPLETE","MISSING FIELDS")))</f>
        <v/>
      </c>
    </row>
    <row r="45" ht="15" customHeight="1" s="15">
      <c r="A45" s="27" t="inlineStr">
        <is>
          <t>LEAD-0041</t>
        </is>
      </c>
      <c r="B45" s="27" t="inlineStr">
        <is>
          <t>Alexander Pemberton</t>
        </is>
      </c>
      <c r="C45" s="27" t="inlineStr">
        <is>
          <t>Podcaster</t>
        </is>
      </c>
      <c r="D45" s="27" t="inlineStr">
        <is>
          <t>US</t>
        </is>
      </c>
      <c r="E45" s="27" t="inlineStr">
        <is>
          <t>English</t>
        </is>
      </c>
      <c r="F45" s="27" t="inlineStr">
        <is>
          <t>Apple Podcasts</t>
        </is>
      </c>
      <c r="G45" s="27" t="inlineStr">
        <is>
          <t>https://podcasts.apple.com/us/podcast/alexanderpemberton/id1000041</t>
        </is>
      </c>
      <c r="H45" s="27" t="inlineStr">
        <is>
          <t>AP-US-1000041</t>
        </is>
      </c>
      <c r="I45" s="27" t="inlineStr">
        <is>
          <t>204,000</t>
        </is>
      </c>
      <c r="J45" s="27" t="inlineStr">
        <is>
          <t>2026-10-11</t>
        </is>
      </c>
      <c r="K45" s="27" t="inlineStr">
        <is>
          <t>https://alexanderpemberton.com/episodes/42</t>
        </is>
      </c>
      <c r="L45" s="27" t="n">
        <v>9</v>
      </c>
      <c r="M45" s="27" t="n">
        <v>21</v>
      </c>
      <c r="N45" s="27" t="inlineStr">
        <is>
          <t>Affiliate</t>
        </is>
      </c>
      <c r="O45" s="27" t="inlineStr">
        <is>
          <t>https://alexanderpemberton.com/resources</t>
        </is>
      </c>
      <c r="P45" s="27" t="inlineStr">
        <is>
          <t>Missing Video Captions &amp; Retention Clips</t>
        </is>
      </c>
      <c r="Q45" s="27" t="inlineStr">
        <is>
          <t>https://alexanderpemberton.com/highlights</t>
        </is>
      </c>
      <c r="R45" s="27" t="inlineStr">
        <is>
          <t>LinkedIn</t>
        </is>
      </c>
      <c r="S45" s="27" t="inlineStr">
        <is>
          <t>https://linkedin.com/in/alexanderpemberton</t>
        </is>
      </c>
      <c r="T45" s="27" t="inlineStr">
        <is>
          <t>https://alexanderpemberton.com/about</t>
        </is>
      </c>
      <c r="U45" s="27" t="inlineStr">
        <is>
          <t>Email</t>
        </is>
      </c>
      <c r="V45" s="27" t="inlineStr">
        <is>
          <t>saas &amp; product growth frameworks, specifically regarding episode 42 on SaaS &amp; Product Growth workflow optimization</t>
        </is>
      </c>
      <c r="W45" s="27" t="inlineStr">
        <is>
          <t>Hi Alexander,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5" s="27" t="inlineStr">
        <is>
          <t>2026-10-18</t>
        </is>
      </c>
      <c r="Y45" s="27" t="inlineStr">
        <is>
          <t>B</t>
        </is>
      </c>
      <c r="Z45" s="27" t="n">
        <v>88.7</v>
      </c>
      <c r="AA45" s="27" t="inlineStr">
        <is>
          <t>Qualified</t>
        </is>
      </c>
      <c r="AB45" s="27" t="inlineStr"/>
      <c r="AC45" s="28">
        <f>IF(A45="","",IF(COUNTIF($H$5:$H$1004,H45)&gt;1,"DUPLICATE","UNIQUE"))</f>
        <v/>
      </c>
      <c r="AD45" s="28">
        <f>IF(A45="","",IF(AA45="Rejected",IF(AB45&lt;&gt;"","REJECTED","ADD REASON"),IF(AND(B45&lt;&gt;"",C45&lt;&gt;"",D45&lt;&gt;"",E45&lt;&gt;"",F45&lt;&gt;"",G45&lt;&gt;"",H45&lt;&gt;"",J45&lt;&gt;"",K45&lt;&gt;"",N45&lt;&gt;"",O45&lt;&gt;"",P45&lt;&gt;"",Q45&lt;&gt;"",R45&lt;&gt;"",S45&lt;&gt;"",T45&lt;&gt;"",V45&lt;&gt;"",W45&lt;&gt;"",X45&lt;&gt;"",Y45&lt;&gt;""),"COMPLETE","MISSING FIELDS")))</f>
        <v/>
      </c>
    </row>
    <row r="46" ht="15" customHeight="1" s="15">
      <c r="A46" s="27" t="inlineStr">
        <is>
          <t>LEAD-0042</t>
        </is>
      </c>
      <c r="B46" s="27" t="inlineStr">
        <is>
          <t>Alexander Quatermain</t>
        </is>
      </c>
      <c r="C46" s="27" t="inlineStr">
        <is>
          <t>Expert-Led Creator</t>
        </is>
      </c>
      <c r="D46" s="27" t="inlineStr">
        <is>
          <t>US</t>
        </is>
      </c>
      <c r="E46" s="27" t="inlineStr">
        <is>
          <t>English</t>
        </is>
      </c>
      <c r="F46" s="27" t="inlineStr">
        <is>
          <t>YouTube</t>
        </is>
      </c>
      <c r="G46" s="27" t="inlineStr">
        <is>
          <t>https://www.youtube.com/@alexanderquatermain</t>
        </is>
      </c>
      <c r="H46" s="27" t="inlineStr">
        <is>
          <t>UCUS00042956262</t>
        </is>
      </c>
      <c r="I46" s="27" t="inlineStr">
        <is>
          <t>160,000</t>
        </is>
      </c>
      <c r="J46" s="27" t="inlineStr">
        <is>
          <t>2026-10-12</t>
        </is>
      </c>
      <c r="K46" s="27" t="inlineStr">
        <is>
          <t>https://www.youtube.com/watch?v=us00042</t>
        </is>
      </c>
      <c r="L46" s="27" t="n">
        <v>10</v>
      </c>
      <c r="M46" s="27" t="n">
        <v>22</v>
      </c>
      <c r="N46" s="27" t="inlineStr">
        <is>
          <t>Course</t>
        </is>
      </c>
      <c r="O46" s="27" t="inlineStr">
        <is>
          <t>https://alexanderquatermain.com/academy</t>
        </is>
      </c>
      <c r="P46" s="27" t="inlineStr">
        <is>
          <t>Editing Backlog &amp; Team Workflow Overhead</t>
        </is>
      </c>
      <c r="Q46" s="27" t="inlineStr">
        <is>
          <t>https://alexanderquatermain.com/highlights</t>
        </is>
      </c>
      <c r="R46" s="27" t="inlineStr">
        <is>
          <t>X (Twitter)</t>
        </is>
      </c>
      <c r="S46" s="27" t="inlineStr">
        <is>
          <t>https://x.com/alexanderquatermain</t>
        </is>
      </c>
      <c r="T46" s="27" t="inlineStr">
        <is>
          <t>https://alexanderquatermain.com/links</t>
        </is>
      </c>
      <c r="U46" s="27" t="inlineStr">
        <is>
          <t>LinkedIn</t>
        </is>
      </c>
      <c r="V46" s="27" t="inlineStr">
        <is>
          <t>creator business &amp; monetization frameworks, specifically regarding episode 43 on Creator Business &amp; Monetization workflow optimization</t>
        </is>
      </c>
      <c r="W46" s="27" t="inlineStr">
        <is>
          <t>Hi Alexander,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6" s="27" t="inlineStr">
        <is>
          <t>2026-10-18</t>
        </is>
      </c>
      <c r="Y46" s="27" t="inlineStr">
        <is>
          <t>B</t>
        </is>
      </c>
      <c r="Z46" s="27" t="n">
        <v>88.59999999999999</v>
      </c>
      <c r="AA46" s="27" t="inlineStr">
        <is>
          <t>Qualified</t>
        </is>
      </c>
      <c r="AB46" s="27" t="inlineStr"/>
      <c r="AC46" s="28">
        <f>IF(A46="","",IF(COUNTIF($H$5:$H$1004,H46)&gt;1,"DUPLICATE","UNIQUE"))</f>
        <v/>
      </c>
      <c r="AD46" s="28">
        <f>IF(A46="","",IF(AA46="Rejected",IF(AB46&lt;&gt;"","REJECTED","ADD REASON"),IF(AND(B46&lt;&gt;"",C46&lt;&gt;"",D46&lt;&gt;"",E46&lt;&gt;"",F46&lt;&gt;"",G46&lt;&gt;"",H46&lt;&gt;"",J46&lt;&gt;"",K46&lt;&gt;"",N46&lt;&gt;"",O46&lt;&gt;"",P46&lt;&gt;"",Q46&lt;&gt;"",R46&lt;&gt;"",S46&lt;&gt;"",T46&lt;&gt;"",V46&lt;&gt;"",W46&lt;&gt;"",X46&lt;&gt;"",Y46&lt;&gt;""),"COMPLETE","MISSING FIELDS")))</f>
        <v/>
      </c>
    </row>
    <row r="47" ht="15" customHeight="1" s="15">
      <c r="A47" s="27" t="inlineStr">
        <is>
          <t>LEAD-0043</t>
        </is>
      </c>
      <c r="B47" s="27" t="inlineStr">
        <is>
          <t>Alexander Radcliffe</t>
        </is>
      </c>
      <c r="C47" s="27" t="inlineStr">
        <is>
          <t>YouTuber</t>
        </is>
      </c>
      <c r="D47" s="27" t="inlineStr">
        <is>
          <t>US</t>
        </is>
      </c>
      <c r="E47" s="27" t="inlineStr">
        <is>
          <t>English</t>
        </is>
      </c>
      <c r="F47" s="27" t="inlineStr">
        <is>
          <t>YouTube</t>
        </is>
      </c>
      <c r="G47" s="27" t="inlineStr">
        <is>
          <t>https://www.youtube.com/@alexanderradcliffe</t>
        </is>
      </c>
      <c r="H47" s="27" t="inlineStr">
        <is>
          <t>UCUS00043224824</t>
        </is>
      </c>
      <c r="I47" s="27" t="inlineStr">
        <is>
          <t>180,000</t>
        </is>
      </c>
      <c r="J47" s="27" t="inlineStr">
        <is>
          <t>2026-10-13</t>
        </is>
      </c>
      <c r="K47" s="27" t="inlineStr">
        <is>
          <t>https://www.youtube.com/watch?v=us00043</t>
        </is>
      </c>
      <c r="L47" s="27" t="n">
        <v>11</v>
      </c>
      <c r="M47" s="27" t="n">
        <v>23</v>
      </c>
      <c r="N47" s="27" t="inlineStr">
        <is>
          <t>Sponsor</t>
        </is>
      </c>
      <c r="O47" s="27" t="inlineStr">
        <is>
          <t>https://alexanderradcliffe.com/partners</t>
        </is>
      </c>
      <c r="P47" s="27" t="inlineStr">
        <is>
          <t>Shorts Repurposing Bottleneck</t>
        </is>
      </c>
      <c r="Q47" s="27" t="inlineStr">
        <is>
          <t>https://alexanderradcliffe.com/highlights</t>
        </is>
      </c>
      <c r="R47" s="27" t="inlineStr">
        <is>
          <t>Email</t>
        </is>
      </c>
      <c r="S47" s="27" t="inlineStr">
        <is>
          <t>hello@alexanderradcliffe.com</t>
        </is>
      </c>
      <c r="T47" s="27" t="inlineStr">
        <is>
          <t>https://alexanderradcliffe.com/work-with-me</t>
        </is>
      </c>
      <c r="U47" s="27" t="inlineStr">
        <is>
          <t>LinkedIn</t>
        </is>
      </c>
      <c r="V47" s="27" t="inlineStr">
        <is>
          <t>productivity &amp; personal systems frameworks, specifically regarding episode 44 on Productivity &amp; Personal Systems workflow optimization</t>
        </is>
      </c>
      <c r="W47" s="27" t="inlineStr">
        <is>
          <t>Hi Alexander,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7" s="27" t="inlineStr">
        <is>
          <t>2026-10-18</t>
        </is>
      </c>
      <c r="Y47" s="27" t="inlineStr">
        <is>
          <t>B</t>
        </is>
      </c>
      <c r="Z47" s="27" t="n">
        <v>88.59999999999999</v>
      </c>
      <c r="AA47" s="27" t="inlineStr">
        <is>
          <t>Qualified</t>
        </is>
      </c>
      <c r="AB47" s="27" t="inlineStr"/>
      <c r="AC47" s="28">
        <f>IF(A47="","",IF(COUNTIF($H$5:$H$1004,H47)&gt;1,"DUPLICATE","UNIQUE"))</f>
        <v/>
      </c>
      <c r="AD47" s="28">
        <f>IF(A47="","",IF(AA47="Rejected",IF(AB47&lt;&gt;"","REJECTED","ADD REASON"),IF(AND(B47&lt;&gt;"",C47&lt;&gt;"",D47&lt;&gt;"",E47&lt;&gt;"",F47&lt;&gt;"",G47&lt;&gt;"",H47&lt;&gt;"",J47&lt;&gt;"",K47&lt;&gt;"",N47&lt;&gt;"",O47&lt;&gt;"",P47&lt;&gt;"",Q47&lt;&gt;"",R47&lt;&gt;"",S47&lt;&gt;"",T47&lt;&gt;"",V47&lt;&gt;"",W47&lt;&gt;"",X47&lt;&gt;"",Y47&lt;&gt;""),"COMPLETE","MISSING FIELDS")))</f>
        <v/>
      </c>
    </row>
    <row r="48" ht="15" customHeight="1" s="15">
      <c r="A48" s="27" t="inlineStr">
        <is>
          <t>LEAD-0044</t>
        </is>
      </c>
      <c r="B48" s="27" t="inlineStr">
        <is>
          <t>Alexander Stanhope</t>
        </is>
      </c>
      <c r="C48" s="27" t="inlineStr">
        <is>
          <t>Podcaster</t>
        </is>
      </c>
      <c r="D48" s="27" t="inlineStr">
        <is>
          <t>US</t>
        </is>
      </c>
      <c r="E48" s="27" t="inlineStr">
        <is>
          <t>English</t>
        </is>
      </c>
      <c r="F48" s="27" t="inlineStr">
        <is>
          <t>Apple Podcasts</t>
        </is>
      </c>
      <c r="G48" s="27" t="inlineStr">
        <is>
          <t>https://podcasts.apple.com/us/podcast/alexanderstanhope/id1000044</t>
        </is>
      </c>
      <c r="H48" s="27" t="inlineStr">
        <is>
          <t>AP-US-1000044</t>
        </is>
      </c>
      <c r="I48" s="27" t="inlineStr">
        <is>
          <t>240,000</t>
        </is>
      </c>
      <c r="J48" s="27" t="inlineStr">
        <is>
          <t>2026-10-14</t>
        </is>
      </c>
      <c r="K48" s="27" t="inlineStr">
        <is>
          <t>https://alexanderstanhope.com/episodes/45</t>
        </is>
      </c>
      <c r="L48" s="27" t="n">
        <v>12</v>
      </c>
      <c r="M48" s="27" t="n">
        <v>24</v>
      </c>
      <c r="N48" s="27" t="inlineStr">
        <is>
          <t>Membership</t>
        </is>
      </c>
      <c r="O48" s="27" t="inlineStr">
        <is>
          <t>https://alexanderstanhope.com/community</t>
        </is>
      </c>
      <c r="P48" s="27" t="inlineStr">
        <is>
          <t>Inconsistent Cross-Platform Publishing</t>
        </is>
      </c>
      <c r="Q48" s="27" t="inlineStr">
        <is>
          <t>https://alexanderstanhope.com/highlights</t>
        </is>
      </c>
      <c r="R48" s="27" t="inlineStr">
        <is>
          <t>Email</t>
        </is>
      </c>
      <c r="S48" s="27" t="inlineStr">
        <is>
          <t>contact@alexanderstanhope.com</t>
        </is>
      </c>
      <c r="T48" s="27" t="inlineStr">
        <is>
          <t>https://alexanderstanhope.com/contact</t>
        </is>
      </c>
      <c r="U48" s="27" t="inlineStr">
        <is>
          <t>LinkedIn</t>
        </is>
      </c>
      <c r="V48" s="27" t="inlineStr">
        <is>
          <t>leadership &amp; team ops frameworks, specifically regarding episode 45 on Leadership &amp; Team Ops workflow optimization</t>
        </is>
      </c>
      <c r="W48" s="27" t="inlineStr">
        <is>
          <t>Hi Alexander,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8" s="27" t="inlineStr">
        <is>
          <t>2026-10-18</t>
        </is>
      </c>
      <c r="Y48" s="27" t="inlineStr">
        <is>
          <t>B</t>
        </is>
      </c>
      <c r="Z48" s="27" t="n">
        <v>88.5</v>
      </c>
      <c r="AA48" s="27" t="inlineStr">
        <is>
          <t>Qualified</t>
        </is>
      </c>
      <c r="AB48" s="27" t="inlineStr"/>
      <c r="AC48" s="28">
        <f>IF(A48="","",IF(COUNTIF($H$5:$H$1004,H48)&gt;1,"DUPLICATE","UNIQUE"))</f>
        <v/>
      </c>
      <c r="AD48" s="28">
        <f>IF(A48="","",IF(AA48="Rejected",IF(AB48&lt;&gt;"","REJECTED","ADD REASON"),IF(AND(B48&lt;&gt;"",C48&lt;&gt;"",D48&lt;&gt;"",E48&lt;&gt;"",F48&lt;&gt;"",G48&lt;&gt;"",H48&lt;&gt;"",J48&lt;&gt;"",K48&lt;&gt;"",N48&lt;&gt;"",O48&lt;&gt;"",P48&lt;&gt;"",Q48&lt;&gt;"",R48&lt;&gt;"",S48&lt;&gt;"",T48&lt;&gt;"",V48&lt;&gt;"",W48&lt;&gt;"",X48&lt;&gt;"",Y48&lt;&gt;""),"COMPLETE","MISSING FIELDS")))</f>
        <v/>
      </c>
    </row>
    <row r="49" ht="15" customHeight="1" s="15">
      <c r="A49" s="27" t="inlineStr">
        <is>
          <t>LEAD-0045</t>
        </is>
      </c>
      <c r="B49" s="27" t="inlineStr">
        <is>
          <t>Alexander Thackery</t>
        </is>
      </c>
      <c r="C49" s="27" t="inlineStr">
        <is>
          <t>Expert-Led Creator</t>
        </is>
      </c>
      <c r="D49" s="27" t="inlineStr">
        <is>
          <t>US</t>
        </is>
      </c>
      <c r="E49" s="27" t="inlineStr">
        <is>
          <t>English</t>
        </is>
      </c>
      <c r="F49" s="27" t="inlineStr">
        <is>
          <t>LinkedIn</t>
        </is>
      </c>
      <c r="G49" s="27" t="inlineStr">
        <is>
          <t>https://www.linkedin.com/in/alexanderthackery</t>
        </is>
      </c>
      <c r="H49" s="27" t="inlineStr">
        <is>
          <t>LI-alexanderthackery-0045</t>
        </is>
      </c>
      <c r="I49" s="27" t="inlineStr">
        <is>
          <t>96,000</t>
        </is>
      </c>
      <c r="J49" s="27" t="inlineStr">
        <is>
          <t>2026-10-15</t>
        </is>
      </c>
      <c r="K49" s="27" t="inlineStr">
        <is>
          <t>https://alexanderthackery.com/posts/46</t>
        </is>
      </c>
      <c r="L49" s="27" t="n">
        <v>13</v>
      </c>
      <c r="M49" s="27" t="n">
        <v>25</v>
      </c>
      <c r="N49" s="27" t="inlineStr">
        <is>
          <t>Product</t>
        </is>
      </c>
      <c r="O49" s="27" t="inlineStr">
        <is>
          <t>https://alexanderthackery.com/shop</t>
        </is>
      </c>
      <c r="P49" s="27" t="inlineStr">
        <is>
          <t>Editing Backlog &amp; Team Workflow Overhead</t>
        </is>
      </c>
      <c r="Q49" s="27" t="inlineStr">
        <is>
          <t>https://alexanderthackery.com/highlights</t>
        </is>
      </c>
      <c r="R49" s="27" t="inlineStr">
        <is>
          <t>LinkedIn</t>
        </is>
      </c>
      <c r="S49" s="27" t="inlineStr">
        <is>
          <t>https://linkedin.com/in/alexanderthackery</t>
        </is>
      </c>
      <c r="T49" s="27" t="inlineStr">
        <is>
          <t>https://alexanderthackery.com/about</t>
        </is>
      </c>
      <c r="U49" s="27" t="inlineStr">
        <is>
          <t>Email</t>
        </is>
      </c>
      <c r="V49" s="27" t="inlineStr">
        <is>
          <t>b2b marketing &amp; sales frameworks, specifically regarding episode 46 on B2B Marketing &amp; Sales workflow optimization</t>
        </is>
      </c>
      <c r="W49" s="27" t="inlineStr">
        <is>
          <t>Hi Alexander,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9" s="27" t="inlineStr">
        <is>
          <t>2026-10-18</t>
        </is>
      </c>
      <c r="Y49" s="27" t="inlineStr">
        <is>
          <t>B</t>
        </is>
      </c>
      <c r="Z49" s="27" t="n">
        <v>88.40000000000001</v>
      </c>
      <c r="AA49" s="27" t="inlineStr">
        <is>
          <t>Qualified</t>
        </is>
      </c>
      <c r="AB49" s="27" t="inlineStr"/>
      <c r="AC49" s="28">
        <f>IF(A49="","",IF(COUNTIF($H$5:$H$1004,H49)&gt;1,"DUPLICATE","UNIQUE"))</f>
        <v/>
      </c>
      <c r="AD49" s="28">
        <f>IF(A49="","",IF(AA49="Rejected",IF(AB49&lt;&gt;"","REJECTED","ADD REASON"),IF(AND(B49&lt;&gt;"",C49&lt;&gt;"",D49&lt;&gt;"",E49&lt;&gt;"",F49&lt;&gt;"",G49&lt;&gt;"",H49&lt;&gt;"",J49&lt;&gt;"",K49&lt;&gt;"",N49&lt;&gt;"",O49&lt;&gt;"",P49&lt;&gt;"",Q49&lt;&gt;"",R49&lt;&gt;"",S49&lt;&gt;"",T49&lt;&gt;"",V49&lt;&gt;"",W49&lt;&gt;"",X49&lt;&gt;"",Y49&lt;&gt;""),"COMPLETE","MISSING FIELDS")))</f>
        <v/>
      </c>
    </row>
    <row r="50" ht="15" customHeight="1" s="15">
      <c r="A50" s="27" t="inlineStr">
        <is>
          <t>LEAD-0046</t>
        </is>
      </c>
      <c r="B50" s="27" t="inlineStr">
        <is>
          <t>Alexander Underwood</t>
        </is>
      </c>
      <c r="C50" s="27" t="inlineStr">
        <is>
          <t>YouTuber</t>
        </is>
      </c>
      <c r="D50" s="27" t="inlineStr">
        <is>
          <t>US</t>
        </is>
      </c>
      <c r="E50" s="27" t="inlineStr">
        <is>
          <t>English</t>
        </is>
      </c>
      <c r="F50" s="27" t="inlineStr">
        <is>
          <t>YouTube</t>
        </is>
      </c>
      <c r="G50" s="27" t="inlineStr">
        <is>
          <t>https://www.youtube.com/@alexanderunderwood</t>
        </is>
      </c>
      <c r="H50" s="27" t="inlineStr">
        <is>
          <t>UCUS00046670627</t>
        </is>
      </c>
      <c r="I50" s="27" t="inlineStr">
        <is>
          <t>240,000</t>
        </is>
      </c>
      <c r="J50" s="27" t="inlineStr">
        <is>
          <t>2026-10-16</t>
        </is>
      </c>
      <c r="K50" s="27" t="inlineStr">
        <is>
          <t>https://www.youtube.com/watch?v=us00046</t>
        </is>
      </c>
      <c r="L50" s="27" t="n">
        <v>14</v>
      </c>
      <c r="M50" s="27" t="n">
        <v>26</v>
      </c>
      <c r="N50" s="27" t="inlineStr">
        <is>
          <t>Consulting</t>
        </is>
      </c>
      <c r="O50" s="27" t="inlineStr">
        <is>
          <t>https://alexanderunderwood.com/advisory</t>
        </is>
      </c>
      <c r="P50" s="27" t="inlineStr">
        <is>
          <t>Multilingual Audio Dubbing</t>
        </is>
      </c>
      <c r="Q50" s="27" t="inlineStr">
        <is>
          <t>https://alexanderunderwood.com/highlights</t>
        </is>
      </c>
      <c r="R50" s="27" t="inlineStr">
        <is>
          <t>X (Twitter)</t>
        </is>
      </c>
      <c r="S50" s="27" t="inlineStr">
        <is>
          <t>https://x.com/alexanderunderwood</t>
        </is>
      </c>
      <c r="T50" s="27" t="inlineStr">
        <is>
          <t>https://alexanderunderwood.com/links</t>
        </is>
      </c>
      <c r="U50" s="27" t="inlineStr">
        <is>
          <t>LinkedIn</t>
        </is>
      </c>
      <c r="V50" s="27" t="inlineStr">
        <is>
          <t>finance &amp; wealth engineering frameworks, specifically regarding episode 47 on Finance &amp; Wealth Engineering workflow optimization</t>
        </is>
      </c>
      <c r="W50" s="27" t="inlineStr">
        <is>
          <t>Hi Alexander,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0" s="27" t="inlineStr">
        <is>
          <t>2026-10-18</t>
        </is>
      </c>
      <c r="Y50" s="27" t="inlineStr">
        <is>
          <t>B</t>
        </is>
      </c>
      <c r="Z50" s="27" t="n">
        <v>88.3</v>
      </c>
      <c r="AA50" s="27" t="inlineStr">
        <is>
          <t>Qualified</t>
        </is>
      </c>
      <c r="AB50" s="27" t="inlineStr"/>
      <c r="AC50" s="28">
        <f>IF(A50="","",IF(COUNTIF($H$5:$H$1004,H50)&gt;1,"DUPLICATE","UNIQUE"))</f>
        <v/>
      </c>
      <c r="AD50" s="28">
        <f>IF(A50="","",IF(AA50="Rejected",IF(AB50&lt;&gt;"","REJECTED","ADD REASON"),IF(AND(B50&lt;&gt;"",C50&lt;&gt;"",D50&lt;&gt;"",E50&lt;&gt;"",F50&lt;&gt;"",G50&lt;&gt;"",H50&lt;&gt;"",J50&lt;&gt;"",K50&lt;&gt;"",N50&lt;&gt;"",O50&lt;&gt;"",P50&lt;&gt;"",Q50&lt;&gt;"",R50&lt;&gt;"",S50&lt;&gt;"",T50&lt;&gt;"",V50&lt;&gt;"",W50&lt;&gt;"",X50&lt;&gt;"",Y50&lt;&gt;""),"COMPLETE","MISSING FIELDS")))</f>
        <v/>
      </c>
    </row>
    <row r="51" ht="15" customHeight="1" s="15">
      <c r="A51" s="27" t="inlineStr">
        <is>
          <t>LEAD-0047</t>
        </is>
      </c>
      <c r="B51" s="27" t="inlineStr">
        <is>
          <t>Alexander Vanguard</t>
        </is>
      </c>
      <c r="C51" s="27" t="inlineStr">
        <is>
          <t>Podcaster</t>
        </is>
      </c>
      <c r="D51" s="27" t="inlineStr">
        <is>
          <t>US</t>
        </is>
      </c>
      <c r="E51" s="27" t="inlineStr">
        <is>
          <t>English</t>
        </is>
      </c>
      <c r="F51" s="27" t="inlineStr">
        <is>
          <t>Apple Podcasts</t>
        </is>
      </c>
      <c r="G51" s="27" t="inlineStr">
        <is>
          <t>https://podcasts.apple.com/us/podcast/alexandervanguard/id1000047</t>
        </is>
      </c>
      <c r="H51" s="27" t="inlineStr">
        <is>
          <t>AP-US-1000047</t>
        </is>
      </c>
      <c r="I51" s="27" t="inlineStr">
        <is>
          <t>276,000</t>
        </is>
      </c>
      <c r="J51" s="27" t="inlineStr">
        <is>
          <t>2026-10-17</t>
        </is>
      </c>
      <c r="K51" s="27" t="inlineStr">
        <is>
          <t>https://alexandervanguard.com/episodes/48</t>
        </is>
      </c>
      <c r="L51" s="27" t="n">
        <v>15</v>
      </c>
      <c r="M51" s="27" t="n">
        <v>27</v>
      </c>
      <c r="N51" s="27" t="inlineStr">
        <is>
          <t>Newsletter Subscription</t>
        </is>
      </c>
      <c r="O51" s="27" t="inlineStr">
        <is>
          <t>https://alexandervanguard.com/subscribe</t>
        </is>
      </c>
      <c r="P51" s="27" t="inlineStr">
        <is>
          <t>Multilingual Audio Dubbing</t>
        </is>
      </c>
      <c r="Q51" s="27" t="inlineStr">
        <is>
          <t>https://alexandervanguard.com/highlights</t>
        </is>
      </c>
      <c r="R51" s="27" t="inlineStr">
        <is>
          <t>Email</t>
        </is>
      </c>
      <c r="S51" s="27" t="inlineStr">
        <is>
          <t>hello@alexandervanguard.com</t>
        </is>
      </c>
      <c r="T51" s="27" t="inlineStr">
        <is>
          <t>https://alexandervanguard.com/work-with-me</t>
        </is>
      </c>
      <c r="U51" s="27" t="inlineStr">
        <is>
          <t>LinkedIn</t>
        </is>
      </c>
      <c r="V51" s="27" t="inlineStr">
        <is>
          <t>health &amp; longevity science frameworks, specifically regarding episode 48 on Health &amp; Longevity Science workflow optimization</t>
        </is>
      </c>
      <c r="W51" s="27" t="inlineStr">
        <is>
          <t>Hi Alexander,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1" s="27" t="inlineStr">
        <is>
          <t>2026-10-18</t>
        </is>
      </c>
      <c r="Y51" s="27" t="inlineStr">
        <is>
          <t>B</t>
        </is>
      </c>
      <c r="Z51" s="27" t="n">
        <v>88.2</v>
      </c>
      <c r="AA51" s="27" t="inlineStr">
        <is>
          <t>Qualified</t>
        </is>
      </c>
      <c r="AB51" s="27" t="inlineStr"/>
      <c r="AC51" s="28">
        <f>IF(A51="","",IF(COUNTIF($H$5:$H$1004,H51)&gt;1,"DUPLICATE","UNIQUE"))</f>
        <v/>
      </c>
      <c r="AD51" s="28">
        <f>IF(A51="","",IF(AA51="Rejected",IF(AB51&lt;&gt;"","REJECTED","ADD REASON"),IF(AND(B51&lt;&gt;"",C51&lt;&gt;"",D51&lt;&gt;"",E51&lt;&gt;"",F51&lt;&gt;"",G51&lt;&gt;"",H51&lt;&gt;"",J51&lt;&gt;"",K51&lt;&gt;"",N51&lt;&gt;"",O51&lt;&gt;"",P51&lt;&gt;"",Q51&lt;&gt;"",R51&lt;&gt;"",S51&lt;&gt;"",T51&lt;&gt;"",V51&lt;&gt;"",W51&lt;&gt;"",X51&lt;&gt;"",Y51&lt;&gt;""),"COMPLETE","MISSING FIELDS")))</f>
        <v/>
      </c>
    </row>
    <row r="52" ht="15" customHeight="1" s="15">
      <c r="A52" s="27" t="inlineStr">
        <is>
          <t>LEAD-0048</t>
        </is>
      </c>
      <c r="B52" s="27" t="inlineStr">
        <is>
          <t>Alexander Waverly</t>
        </is>
      </c>
      <c r="C52" s="27" t="inlineStr">
        <is>
          <t>YouTuber</t>
        </is>
      </c>
      <c r="D52" s="27" t="inlineStr">
        <is>
          <t>US</t>
        </is>
      </c>
      <c r="E52" s="27" t="inlineStr">
        <is>
          <t>English</t>
        </is>
      </c>
      <c r="F52" s="27" t="inlineStr">
        <is>
          <t>YouTube</t>
        </is>
      </c>
      <c r="G52" s="27" t="inlineStr">
        <is>
          <t>https://www.youtube.com/@alexanderwaverly</t>
        </is>
      </c>
      <c r="H52" s="27" t="inlineStr">
        <is>
          <t>UCUS00048461043</t>
        </is>
      </c>
      <c r="I52" s="27" t="inlineStr">
        <is>
          <t>280,000</t>
        </is>
      </c>
      <c r="J52" s="27" t="inlineStr">
        <is>
          <t>2026-10-10</t>
        </is>
      </c>
      <c r="K52" s="27" t="inlineStr">
        <is>
          <t>https://www.youtube.com/watch?v=us00048</t>
        </is>
      </c>
      <c r="L52" s="27" t="n">
        <v>16</v>
      </c>
      <c r="M52" s="27" t="n">
        <v>28</v>
      </c>
      <c r="N52" s="27" t="inlineStr">
        <is>
          <t>Affiliate</t>
        </is>
      </c>
      <c r="O52" s="27" t="inlineStr">
        <is>
          <t>https://alexanderwaverly.com/resources</t>
        </is>
      </c>
      <c r="P52" s="27" t="inlineStr">
        <is>
          <t>Missing Video Captions &amp; Retention Clips</t>
        </is>
      </c>
      <c r="Q52" s="27" t="inlineStr">
        <is>
          <t>https://alexanderwaverly.com/highlights</t>
        </is>
      </c>
      <c r="R52" s="27" t="inlineStr">
        <is>
          <t>Email</t>
        </is>
      </c>
      <c r="S52" s="27" t="inlineStr">
        <is>
          <t>contact@alexanderwaverly.com</t>
        </is>
      </c>
      <c r="T52" s="27" t="inlineStr">
        <is>
          <t>https://alexanderwaverly.com/contact</t>
        </is>
      </c>
      <c r="U52" s="27" t="inlineStr">
        <is>
          <t>LinkedIn</t>
        </is>
      </c>
      <c r="V52" s="27" t="inlineStr">
        <is>
          <t>education &amp; applied coding frameworks, specifically regarding episode 49 on Education &amp; Applied Coding workflow optimization</t>
        </is>
      </c>
      <c r="W52" s="27" t="inlineStr">
        <is>
          <t>Hi Alexander,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2" s="27" t="inlineStr">
        <is>
          <t>2026-10-18</t>
        </is>
      </c>
      <c r="Y52" s="27" t="inlineStr">
        <is>
          <t>B</t>
        </is>
      </c>
      <c r="Z52" s="27" t="n">
        <v>88.2</v>
      </c>
      <c r="AA52" s="27" t="inlineStr">
        <is>
          <t>Qualified</t>
        </is>
      </c>
      <c r="AB52" s="27" t="inlineStr"/>
      <c r="AC52" s="28">
        <f>IF(A52="","",IF(COUNTIF($H$5:$H$1004,H52)&gt;1,"DUPLICATE","UNIQUE"))</f>
        <v/>
      </c>
      <c r="AD52" s="28">
        <f>IF(A52="","",IF(AA52="Rejected",IF(AB52&lt;&gt;"","REJECTED","ADD REASON"),IF(AND(B52&lt;&gt;"",C52&lt;&gt;"",D52&lt;&gt;"",E52&lt;&gt;"",F52&lt;&gt;"",G52&lt;&gt;"",H52&lt;&gt;"",J52&lt;&gt;"",K52&lt;&gt;"",N52&lt;&gt;"",O52&lt;&gt;"",P52&lt;&gt;"",Q52&lt;&gt;"",R52&lt;&gt;"",S52&lt;&gt;"",T52&lt;&gt;"",V52&lt;&gt;"",W52&lt;&gt;"",X52&lt;&gt;"",Y52&lt;&gt;""),"COMPLETE","MISSING FIELDS")))</f>
        <v/>
      </c>
    </row>
    <row r="53" ht="15" customHeight="1" s="15">
      <c r="A53" s="27" t="inlineStr">
        <is>
          <t>LEAD-0049</t>
        </is>
      </c>
      <c r="B53" s="27" t="inlineStr">
        <is>
          <t>Alexander Yardley</t>
        </is>
      </c>
      <c r="C53" s="27" t="inlineStr">
        <is>
          <t>Podcaster</t>
        </is>
      </c>
      <c r="D53" s="27" t="inlineStr">
        <is>
          <t>US</t>
        </is>
      </c>
      <c r="E53" s="27" t="inlineStr">
        <is>
          <t>English</t>
        </is>
      </c>
      <c r="F53" s="27" t="inlineStr">
        <is>
          <t>Apple Podcasts</t>
        </is>
      </c>
      <c r="G53" s="27" t="inlineStr">
        <is>
          <t>https://podcasts.apple.com/us/podcast/alexanderyardley/id1000049</t>
        </is>
      </c>
      <c r="H53" s="27" t="inlineStr">
        <is>
          <t>AP-US-1000049</t>
        </is>
      </c>
      <c r="I53" s="27" t="inlineStr">
        <is>
          <t>300,000</t>
        </is>
      </c>
      <c r="J53" s="27" t="inlineStr">
        <is>
          <t>2026-10-11</t>
        </is>
      </c>
      <c r="K53" s="27" t="inlineStr">
        <is>
          <t>https://alexanderyardley.com/episodes/50</t>
        </is>
      </c>
      <c r="L53" s="27" t="n">
        <v>17</v>
      </c>
      <c r="M53" s="27" t="n">
        <v>29</v>
      </c>
      <c r="N53" s="27" t="inlineStr">
        <is>
          <t>Course</t>
        </is>
      </c>
      <c r="O53" s="27" t="inlineStr">
        <is>
          <t>https://alexanderyardley.com/academy</t>
        </is>
      </c>
      <c r="P53" s="27" t="inlineStr">
        <is>
          <t>Shorts Repurposing Bottleneck</t>
        </is>
      </c>
      <c r="Q53" s="27" t="inlineStr">
        <is>
          <t>https://alexanderyardley.com/highlights</t>
        </is>
      </c>
      <c r="R53" s="27" t="inlineStr">
        <is>
          <t>LinkedIn</t>
        </is>
      </c>
      <c r="S53" s="27" t="inlineStr">
        <is>
          <t>https://linkedin.com/in/alexanderyardley</t>
        </is>
      </c>
      <c r="T53" s="27" t="inlineStr">
        <is>
          <t>https://alexanderyardley.com/about</t>
        </is>
      </c>
      <c r="U53" s="27" t="inlineStr">
        <is>
          <t>Email</t>
        </is>
      </c>
      <c r="V53" s="27" t="inlineStr">
        <is>
          <t>e-commerce &amp; digital brands frameworks, specifically regarding episode 50 on E-Commerce &amp; Digital Brands workflow optimization</t>
        </is>
      </c>
      <c r="W53" s="27" t="inlineStr">
        <is>
          <t>Hi Alexander,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3" s="27" t="inlineStr">
        <is>
          <t>2026-10-18</t>
        </is>
      </c>
      <c r="Y53" s="27" t="inlineStr">
        <is>
          <t>B</t>
        </is>
      </c>
      <c r="Z53" s="27" t="n">
        <v>88.09999999999999</v>
      </c>
      <c r="AA53" s="27" t="inlineStr">
        <is>
          <t>Qualified</t>
        </is>
      </c>
      <c r="AB53" s="27" t="inlineStr"/>
      <c r="AC53" s="28">
        <f>IF(A53="","",IF(COUNTIF($H$5:$H$1004,H53)&gt;1,"DUPLICATE","UNIQUE"))</f>
        <v/>
      </c>
      <c r="AD53" s="28">
        <f>IF(A53="","",IF(AA53="Rejected",IF(AB53&lt;&gt;"","REJECTED","ADD REASON"),IF(AND(B53&lt;&gt;"",C53&lt;&gt;"",D53&lt;&gt;"",E53&lt;&gt;"",F53&lt;&gt;"",G53&lt;&gt;"",H53&lt;&gt;"",J53&lt;&gt;"",K53&lt;&gt;"",N53&lt;&gt;"",O53&lt;&gt;"",P53&lt;&gt;"",Q53&lt;&gt;"",R53&lt;&gt;"",S53&lt;&gt;"",T53&lt;&gt;"",V53&lt;&gt;"",W53&lt;&gt;"",X53&lt;&gt;"",Y53&lt;&gt;""),"COMPLETE","MISSING FIELDS")))</f>
        <v/>
      </c>
    </row>
    <row r="54" ht="15" customHeight="1" s="15">
      <c r="A54" s="27" t="inlineStr">
        <is>
          <t>LEAD-0050</t>
        </is>
      </c>
      <c r="B54" s="27" t="inlineStr">
        <is>
          <t>Alexander Zimmerman</t>
        </is>
      </c>
      <c r="C54" s="27" t="inlineStr">
        <is>
          <t>YouTuber</t>
        </is>
      </c>
      <c r="D54" s="27" t="inlineStr">
        <is>
          <t>US</t>
        </is>
      </c>
      <c r="E54" s="27" t="inlineStr">
        <is>
          <t>English</t>
        </is>
      </c>
      <c r="F54" s="27" t="inlineStr">
        <is>
          <t>YouTube</t>
        </is>
      </c>
      <c r="G54" s="27" t="inlineStr">
        <is>
          <t>https://www.youtube.com/@alexanderzimmerman</t>
        </is>
      </c>
      <c r="H54" s="27" t="inlineStr">
        <is>
          <t>UCUS00050910539</t>
        </is>
      </c>
      <c r="I54" s="27" t="inlineStr">
        <is>
          <t>320,000</t>
        </is>
      </c>
      <c r="J54" s="27" t="inlineStr">
        <is>
          <t>2026-10-12</t>
        </is>
      </c>
      <c r="K54" s="27" t="inlineStr">
        <is>
          <t>https://www.youtube.com/watch?v=us00050</t>
        </is>
      </c>
      <c r="L54" s="27" t="n">
        <v>8</v>
      </c>
      <c r="M54" s="27" t="n">
        <v>30</v>
      </c>
      <c r="N54" s="27" t="inlineStr">
        <is>
          <t>Sponsor</t>
        </is>
      </c>
      <c r="O54" s="27" t="inlineStr">
        <is>
          <t>https://alexanderzimmerman.com/partners</t>
        </is>
      </c>
      <c r="P54" s="27" t="inlineStr">
        <is>
          <t>Shorts Repurposing Bottleneck</t>
        </is>
      </c>
      <c r="Q54" s="27" t="inlineStr">
        <is>
          <t>https://alexanderzimmerman.com/highlights</t>
        </is>
      </c>
      <c r="R54" s="27" t="inlineStr">
        <is>
          <t>X (Twitter)</t>
        </is>
      </c>
      <c r="S54" s="27" t="inlineStr">
        <is>
          <t>https://x.com/alexanderzimmerman</t>
        </is>
      </c>
      <c r="T54" s="27" t="inlineStr">
        <is>
          <t>https://alexanderzimmerman.com/links</t>
        </is>
      </c>
      <c r="U54" s="27" t="inlineStr">
        <is>
          <t>LinkedIn</t>
        </is>
      </c>
      <c r="V54" s="27" t="inlineStr">
        <is>
          <t>tech &amp; ai frameworks, specifically regarding episode 1 on Tech &amp; AI workflow optimization</t>
        </is>
      </c>
      <c r="W54" s="27" t="inlineStr">
        <is>
          <t>Hi Alexander,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4" s="27" t="inlineStr">
        <is>
          <t>2026-10-18</t>
        </is>
      </c>
      <c r="Y54" s="27" t="inlineStr">
        <is>
          <t>B</t>
        </is>
      </c>
      <c r="Z54" s="27" t="n">
        <v>88</v>
      </c>
      <c r="AA54" s="27" t="inlineStr">
        <is>
          <t>Qualified</t>
        </is>
      </c>
      <c r="AB54" s="27" t="inlineStr"/>
      <c r="AC54" s="28">
        <f>IF(A54="","",IF(COUNTIF($H$5:$H$1004,H54)&gt;1,"DUPLICATE","UNIQUE"))</f>
        <v/>
      </c>
      <c r="AD54" s="28">
        <f>IF(A54="","",IF(AA54="Rejected",IF(AB54&lt;&gt;"","REJECTED","ADD REASON"),IF(AND(B54&lt;&gt;"",C54&lt;&gt;"",D54&lt;&gt;"",E54&lt;&gt;"",F54&lt;&gt;"",G54&lt;&gt;"",H54&lt;&gt;"",J54&lt;&gt;"",K54&lt;&gt;"",N54&lt;&gt;"",O54&lt;&gt;"",P54&lt;&gt;"",Q54&lt;&gt;"",R54&lt;&gt;"",S54&lt;&gt;"",T54&lt;&gt;"",V54&lt;&gt;"",W54&lt;&gt;"",X54&lt;&gt;"",Y54&lt;&gt;""),"COMPLETE","MISSING FIELDS")))</f>
        <v/>
      </c>
    </row>
    <row r="55" ht="15" customHeight="1" s="15">
      <c r="A55" s="27" t="inlineStr">
        <is>
          <t>LEAD-0051</t>
        </is>
      </c>
      <c r="B55" s="27" t="inlineStr">
        <is>
          <t>Alexander Sterling</t>
        </is>
      </c>
      <c r="C55" s="27" t="inlineStr">
        <is>
          <t>Podcaster</t>
        </is>
      </c>
      <c r="D55" s="27" t="inlineStr">
        <is>
          <t>US</t>
        </is>
      </c>
      <c r="E55" s="27" t="inlineStr">
        <is>
          <t>English</t>
        </is>
      </c>
      <c r="F55" s="27" t="inlineStr">
        <is>
          <t>Apple Podcasts</t>
        </is>
      </c>
      <c r="G55" s="27" t="inlineStr">
        <is>
          <t>https://podcasts.apple.com/us/podcast/alexandersterling/id1000051</t>
        </is>
      </c>
      <c r="H55" s="27" t="inlineStr">
        <is>
          <t>AP-US-1000051</t>
        </is>
      </c>
      <c r="I55" s="27" t="inlineStr">
        <is>
          <t>24,000</t>
        </is>
      </c>
      <c r="J55" s="27" t="inlineStr">
        <is>
          <t>2026-10-13</t>
        </is>
      </c>
      <c r="K55" s="27" t="inlineStr">
        <is>
          <t>https://alexandersterling.com/episodes/52</t>
        </is>
      </c>
      <c r="L55" s="27" t="n">
        <v>9</v>
      </c>
      <c r="M55" s="27" t="n">
        <v>31</v>
      </c>
      <c r="N55" s="27" t="inlineStr">
        <is>
          <t>Membership</t>
        </is>
      </c>
      <c r="O55" s="27" t="inlineStr">
        <is>
          <t>https://alexandersterling.com/community</t>
        </is>
      </c>
      <c r="P55" s="27" t="inlineStr">
        <is>
          <t>Missing Video Captions &amp; Retention Clips</t>
        </is>
      </c>
      <c r="Q55" s="27" t="inlineStr">
        <is>
          <t>https://alexandersterling.com/highlights</t>
        </is>
      </c>
      <c r="R55" s="27" t="inlineStr">
        <is>
          <t>Email</t>
        </is>
      </c>
      <c r="S55" s="27" t="inlineStr">
        <is>
          <t>hello@alexandersterling.com</t>
        </is>
      </c>
      <c r="T55" s="27" t="inlineStr">
        <is>
          <t>https://alexandersterling.com/work-with-me</t>
        </is>
      </c>
      <c r="U55" s="27" t="inlineStr">
        <is>
          <t>LinkedIn</t>
        </is>
      </c>
      <c r="V55" s="27" t="inlineStr">
        <is>
          <t>saas &amp; product growth frameworks, specifically regarding episode 2 on SaaS &amp; Product Growth workflow optimization</t>
        </is>
      </c>
      <c r="W55" s="27" t="inlineStr">
        <is>
          <t>Hi Alexander, loved your recent piece on 'saas &amp; product growth frameworks, specifically regarding episode 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5" s="27" t="inlineStr">
        <is>
          <t>2026-10-18</t>
        </is>
      </c>
      <c r="Y55" s="27" t="inlineStr">
        <is>
          <t>B</t>
        </is>
      </c>
      <c r="Z55" s="27" t="n">
        <v>87.90000000000001</v>
      </c>
      <c r="AA55" s="27" t="inlineStr">
        <is>
          <t>Qualified</t>
        </is>
      </c>
      <c r="AB55" s="27" t="inlineStr"/>
      <c r="AC55" s="28">
        <f>IF(A55="","",IF(COUNTIF($H$5:$H$1004,H55)&gt;1,"DUPLICATE","UNIQUE"))</f>
        <v/>
      </c>
      <c r="AD55" s="28">
        <f>IF(A55="","",IF(AA55="Rejected",IF(AB55&lt;&gt;"","REJECTED","ADD REASON"),IF(AND(B55&lt;&gt;"",C55&lt;&gt;"",D55&lt;&gt;"",E55&lt;&gt;"",F55&lt;&gt;"",G55&lt;&gt;"",H55&lt;&gt;"",J55&lt;&gt;"",K55&lt;&gt;"",N55&lt;&gt;"",O55&lt;&gt;"",P55&lt;&gt;"",Q55&lt;&gt;"",R55&lt;&gt;"",S55&lt;&gt;"",T55&lt;&gt;"",V55&lt;&gt;"",W55&lt;&gt;"",X55&lt;&gt;"",Y55&lt;&gt;""),"COMPLETE","MISSING FIELDS")))</f>
        <v/>
      </c>
    </row>
    <row r="56" ht="15" customHeight="1" s="15">
      <c r="A56" s="27" t="inlineStr">
        <is>
          <t>LEAD-0052</t>
        </is>
      </c>
      <c r="B56" s="27" t="inlineStr">
        <is>
          <t>Alexander Cross</t>
        </is>
      </c>
      <c r="C56" s="27" t="inlineStr">
        <is>
          <t>Expert-Led Creator</t>
        </is>
      </c>
      <c r="D56" s="27" t="inlineStr">
        <is>
          <t>US</t>
        </is>
      </c>
      <c r="E56" s="27" t="inlineStr">
        <is>
          <t>English</t>
        </is>
      </c>
      <c r="F56" s="27" t="inlineStr">
        <is>
          <t>YouTube</t>
        </is>
      </c>
      <c r="G56" s="27" t="inlineStr">
        <is>
          <t>https://www.youtube.com/@alexandercross</t>
        </is>
      </c>
      <c r="H56" s="27" t="inlineStr">
        <is>
          <t>UCUS00052264635</t>
        </is>
      </c>
      <c r="I56" s="27" t="inlineStr">
        <is>
          <t>360,000</t>
        </is>
      </c>
      <c r="J56" s="27" t="inlineStr">
        <is>
          <t>2026-10-14</t>
        </is>
      </c>
      <c r="K56" s="27" t="inlineStr">
        <is>
          <t>https://www.youtube.com/watch?v=us00052</t>
        </is>
      </c>
      <c r="L56" s="27" t="n">
        <v>10</v>
      </c>
      <c r="M56" s="27" t="n">
        <v>32</v>
      </c>
      <c r="N56" s="27" t="inlineStr">
        <is>
          <t>Product</t>
        </is>
      </c>
      <c r="O56" s="27" t="inlineStr">
        <is>
          <t>https://alexandercross.com/shop</t>
        </is>
      </c>
      <c r="P56" s="27" t="inlineStr">
        <is>
          <t>Editing Backlog &amp; Team Workflow Overhead</t>
        </is>
      </c>
      <c r="Q56" s="27" t="inlineStr">
        <is>
          <t>https://alexandercross.com/highlights</t>
        </is>
      </c>
      <c r="R56" s="27" t="inlineStr">
        <is>
          <t>Email</t>
        </is>
      </c>
      <c r="S56" s="27" t="inlineStr">
        <is>
          <t>contact@alexandercross.com</t>
        </is>
      </c>
      <c r="T56" s="27" t="inlineStr">
        <is>
          <t>https://alexandercross.com/contact</t>
        </is>
      </c>
      <c r="U56" s="27" t="inlineStr">
        <is>
          <t>LinkedIn</t>
        </is>
      </c>
      <c r="V56" s="27" t="inlineStr">
        <is>
          <t>creator business &amp; monetization frameworks, specifically regarding episode 3 on Creator Business &amp; Monetization workflow optimization</t>
        </is>
      </c>
      <c r="W56" s="27" t="inlineStr">
        <is>
          <t>Hi Alexander, loved your recent piece on 'creator business &amp; monetization frameworks, specifically regarding episode 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6" s="27" t="inlineStr">
        <is>
          <t>2026-10-18</t>
        </is>
      </c>
      <c r="Y56" s="27" t="inlineStr">
        <is>
          <t>B</t>
        </is>
      </c>
      <c r="Z56" s="27" t="n">
        <v>87.8</v>
      </c>
      <c r="AA56" s="27" t="inlineStr">
        <is>
          <t>Qualified</t>
        </is>
      </c>
      <c r="AB56" s="27" t="inlineStr"/>
      <c r="AC56" s="28">
        <f>IF(A56="","",IF(COUNTIF($H$5:$H$1004,H56)&gt;1,"DUPLICATE","UNIQUE"))</f>
        <v/>
      </c>
      <c r="AD56" s="28">
        <f>IF(A56="","",IF(AA56="Rejected",IF(AB56&lt;&gt;"","REJECTED","ADD REASON"),IF(AND(B56&lt;&gt;"",C56&lt;&gt;"",D56&lt;&gt;"",E56&lt;&gt;"",F56&lt;&gt;"",G56&lt;&gt;"",H56&lt;&gt;"",J56&lt;&gt;"",K56&lt;&gt;"",N56&lt;&gt;"",O56&lt;&gt;"",P56&lt;&gt;"",Q56&lt;&gt;"",R56&lt;&gt;"",S56&lt;&gt;"",T56&lt;&gt;"",V56&lt;&gt;"",W56&lt;&gt;"",X56&lt;&gt;"",Y56&lt;&gt;""),"COMPLETE","MISSING FIELDS")))</f>
        <v/>
      </c>
    </row>
    <row r="57" ht="15" customHeight="1" s="15">
      <c r="A57" s="27" t="inlineStr">
        <is>
          <t>LEAD-0053</t>
        </is>
      </c>
      <c r="B57" s="27" t="inlineStr">
        <is>
          <t>Alexander Vance</t>
        </is>
      </c>
      <c r="C57" s="27" t="inlineStr">
        <is>
          <t>YouTuber</t>
        </is>
      </c>
      <c r="D57" s="27" t="inlineStr">
        <is>
          <t>US</t>
        </is>
      </c>
      <c r="E57" s="27" t="inlineStr">
        <is>
          <t>English</t>
        </is>
      </c>
      <c r="F57" s="27" t="inlineStr">
        <is>
          <t>YouTube</t>
        </is>
      </c>
      <c r="G57" s="27" t="inlineStr">
        <is>
          <t>https://www.youtube.com/@alexandervance</t>
        </is>
      </c>
      <c r="H57" s="27" t="inlineStr">
        <is>
          <t>UCUS00053264377</t>
        </is>
      </c>
      <c r="I57" s="27" t="inlineStr">
        <is>
          <t>380,000</t>
        </is>
      </c>
      <c r="J57" s="27" t="inlineStr">
        <is>
          <t>2026-10-15</t>
        </is>
      </c>
      <c r="K57" s="27" t="inlineStr">
        <is>
          <t>https://www.youtube.com/watch?v=us00053</t>
        </is>
      </c>
      <c r="L57" s="27" t="n">
        <v>11</v>
      </c>
      <c r="M57" s="27" t="n">
        <v>33</v>
      </c>
      <c r="N57" s="27" t="inlineStr">
        <is>
          <t>Consulting</t>
        </is>
      </c>
      <c r="O57" s="27" t="inlineStr">
        <is>
          <t>https://alexandervance.com/advisory</t>
        </is>
      </c>
      <c r="P57" s="27" t="inlineStr">
        <is>
          <t>Shorts Repurposing Bottleneck</t>
        </is>
      </c>
      <c r="Q57" s="27" t="inlineStr">
        <is>
          <t>https://alexandervance.com/highlights</t>
        </is>
      </c>
      <c r="R57" s="27" t="inlineStr">
        <is>
          <t>LinkedIn</t>
        </is>
      </c>
      <c r="S57" s="27" t="inlineStr">
        <is>
          <t>https://linkedin.com/in/alexandervance</t>
        </is>
      </c>
      <c r="T57" s="27" t="inlineStr">
        <is>
          <t>https://alexandervance.com/about</t>
        </is>
      </c>
      <c r="U57" s="27" t="inlineStr">
        <is>
          <t>Email</t>
        </is>
      </c>
      <c r="V57" s="27" t="inlineStr">
        <is>
          <t>productivity &amp; personal systems frameworks, specifically regarding episode 4 on Productivity &amp; Personal Systems workflow optimization</t>
        </is>
      </c>
      <c r="W57" s="27" t="inlineStr">
        <is>
          <t>Hi Alexander, loved your recent piece on 'productivity &amp; personal systems frameworks, specifically regarding episode 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7" s="27" t="inlineStr">
        <is>
          <t>2026-10-18</t>
        </is>
      </c>
      <c r="Y57" s="27" t="inlineStr">
        <is>
          <t>B</t>
        </is>
      </c>
      <c r="Z57" s="27" t="n">
        <v>87.8</v>
      </c>
      <c r="AA57" s="27" t="inlineStr">
        <is>
          <t>Qualified</t>
        </is>
      </c>
      <c r="AB57" s="27" t="inlineStr"/>
      <c r="AC57" s="28">
        <f>IF(A57="","",IF(COUNTIF($H$5:$H$1004,H57)&gt;1,"DUPLICATE","UNIQUE"))</f>
        <v/>
      </c>
      <c r="AD57" s="28">
        <f>IF(A57="","",IF(AA57="Rejected",IF(AB57&lt;&gt;"","REJECTED","ADD REASON"),IF(AND(B57&lt;&gt;"",C57&lt;&gt;"",D57&lt;&gt;"",E57&lt;&gt;"",F57&lt;&gt;"",G57&lt;&gt;"",H57&lt;&gt;"",J57&lt;&gt;"",K57&lt;&gt;"",N57&lt;&gt;"",O57&lt;&gt;"",P57&lt;&gt;"",Q57&lt;&gt;"",R57&lt;&gt;"",S57&lt;&gt;"",T57&lt;&gt;"",V57&lt;&gt;"",W57&lt;&gt;"",X57&lt;&gt;"",Y57&lt;&gt;""),"COMPLETE","MISSING FIELDS")))</f>
        <v/>
      </c>
    </row>
    <row r="58" ht="15" customHeight="1" s="15">
      <c r="A58" s="27" t="inlineStr">
        <is>
          <t>LEAD-0054</t>
        </is>
      </c>
      <c r="B58" s="27" t="inlineStr">
        <is>
          <t>Alexander Mercer</t>
        </is>
      </c>
      <c r="C58" s="27" t="inlineStr">
        <is>
          <t>Podcaster</t>
        </is>
      </c>
      <c r="D58" s="27" t="inlineStr">
        <is>
          <t>US</t>
        </is>
      </c>
      <c r="E58" s="27" t="inlineStr">
        <is>
          <t>English</t>
        </is>
      </c>
      <c r="F58" s="27" t="inlineStr">
        <is>
          <t>Apple Podcasts</t>
        </is>
      </c>
      <c r="G58" s="27" t="inlineStr">
        <is>
          <t>https://podcasts.apple.com/us/podcast/alexandermercer/id1000054</t>
        </is>
      </c>
      <c r="H58" s="27" t="inlineStr">
        <is>
          <t>AP-US-1000054</t>
        </is>
      </c>
      <c r="I58" s="27" t="inlineStr">
        <is>
          <t>60,000</t>
        </is>
      </c>
      <c r="J58" s="27" t="inlineStr">
        <is>
          <t>2026-10-16</t>
        </is>
      </c>
      <c r="K58" s="27" t="inlineStr">
        <is>
          <t>https://alexandermercer.com/episodes/55</t>
        </is>
      </c>
      <c r="L58" s="27" t="n">
        <v>12</v>
      </c>
      <c r="M58" s="27" t="n">
        <v>16</v>
      </c>
      <c r="N58" s="27" t="inlineStr">
        <is>
          <t>Newsletter Subscription</t>
        </is>
      </c>
      <c r="O58" s="27" t="inlineStr">
        <is>
          <t>https://alexandermercer.com/subscribe</t>
        </is>
      </c>
      <c r="P58" s="27" t="inlineStr">
        <is>
          <t>Inconsistent Cross-Platform Publishing</t>
        </is>
      </c>
      <c r="Q58" s="27" t="inlineStr">
        <is>
          <t>https://alexandermercer.com/highlights</t>
        </is>
      </c>
      <c r="R58" s="27" t="inlineStr">
        <is>
          <t>X (Twitter)</t>
        </is>
      </c>
      <c r="S58" s="27" t="inlineStr">
        <is>
          <t>https://x.com/alexandermercer</t>
        </is>
      </c>
      <c r="T58" s="27" t="inlineStr">
        <is>
          <t>https://alexandermercer.com/links</t>
        </is>
      </c>
      <c r="U58" s="27" t="inlineStr">
        <is>
          <t>LinkedIn</t>
        </is>
      </c>
      <c r="V58" s="27" t="inlineStr">
        <is>
          <t>leadership &amp; team ops frameworks, specifically regarding episode 5 on Leadership &amp; Team Ops workflow optimization</t>
        </is>
      </c>
      <c r="W58" s="27" t="inlineStr">
        <is>
          <t>Hi Alexander, loved your recent piece on 'leadership &amp; team ops frameworks, specifically regarding episode 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8" s="27" t="inlineStr">
        <is>
          <t>2026-10-18</t>
        </is>
      </c>
      <c r="Y58" s="27" t="inlineStr">
        <is>
          <t>B</t>
        </is>
      </c>
      <c r="Z58" s="27" t="n">
        <v>87.7</v>
      </c>
      <c r="AA58" s="27" t="inlineStr">
        <is>
          <t>Qualified</t>
        </is>
      </c>
      <c r="AB58" s="27" t="inlineStr"/>
      <c r="AC58" s="28">
        <f>IF(A58="","",IF(COUNTIF($H$5:$H$1004,H58)&gt;1,"DUPLICATE","UNIQUE"))</f>
        <v/>
      </c>
      <c r="AD58" s="28">
        <f>IF(A58="","",IF(AA58="Rejected",IF(AB58&lt;&gt;"","REJECTED","ADD REASON"),IF(AND(B58&lt;&gt;"",C58&lt;&gt;"",D58&lt;&gt;"",E58&lt;&gt;"",F58&lt;&gt;"",G58&lt;&gt;"",H58&lt;&gt;"",J58&lt;&gt;"",K58&lt;&gt;"",N58&lt;&gt;"",O58&lt;&gt;"",P58&lt;&gt;"",Q58&lt;&gt;"",R58&lt;&gt;"",S58&lt;&gt;"",T58&lt;&gt;"",V58&lt;&gt;"",W58&lt;&gt;"",X58&lt;&gt;"",Y58&lt;&gt;""),"COMPLETE","MISSING FIELDS")))</f>
        <v/>
      </c>
    </row>
    <row r="59" ht="15" customHeight="1" s="15">
      <c r="A59" s="27" t="inlineStr">
        <is>
          <t>LEAD-0055</t>
        </is>
      </c>
      <c r="B59" s="27" t="inlineStr">
        <is>
          <t>Alexander Sinclair</t>
        </is>
      </c>
      <c r="C59" s="27" t="inlineStr">
        <is>
          <t>Expert-Led Creator</t>
        </is>
      </c>
      <c r="D59" s="27" t="inlineStr">
        <is>
          <t>US</t>
        </is>
      </c>
      <c r="E59" s="27" t="inlineStr">
        <is>
          <t>English</t>
        </is>
      </c>
      <c r="F59" s="27" t="inlineStr">
        <is>
          <t>LinkedIn</t>
        </is>
      </c>
      <c r="G59" s="27" t="inlineStr">
        <is>
          <t>https://www.linkedin.com/in/alexandersinclair</t>
        </is>
      </c>
      <c r="H59" s="27" t="inlineStr">
        <is>
          <t>LI-alexandersinclair-0055</t>
        </is>
      </c>
      <c r="I59" s="27" t="inlineStr">
        <is>
          <t>156,000</t>
        </is>
      </c>
      <c r="J59" s="27" t="inlineStr">
        <is>
          <t>2026-10-17</t>
        </is>
      </c>
      <c r="K59" s="27" t="inlineStr">
        <is>
          <t>https://alexandersinclair.com/posts/56</t>
        </is>
      </c>
      <c r="L59" s="27" t="n">
        <v>13</v>
      </c>
      <c r="M59" s="27" t="n">
        <v>17</v>
      </c>
      <c r="N59" s="27" t="inlineStr">
        <is>
          <t>Affiliate</t>
        </is>
      </c>
      <c r="O59" s="27" t="inlineStr">
        <is>
          <t>https://alexandersinclair.com/resources</t>
        </is>
      </c>
      <c r="P59" s="27" t="inlineStr">
        <is>
          <t>Editing Backlog &amp; Team Workflow Overhead</t>
        </is>
      </c>
      <c r="Q59" s="27" t="inlineStr">
        <is>
          <t>https://alexandersinclair.com/highlights</t>
        </is>
      </c>
      <c r="R59" s="27" t="inlineStr">
        <is>
          <t>Email</t>
        </is>
      </c>
      <c r="S59" s="27" t="inlineStr">
        <is>
          <t>hello@alexandersinclair.com</t>
        </is>
      </c>
      <c r="T59" s="27" t="inlineStr">
        <is>
          <t>https://alexandersinclair.com/work-with-me</t>
        </is>
      </c>
      <c r="U59" s="27" t="inlineStr">
        <is>
          <t>LinkedIn</t>
        </is>
      </c>
      <c r="V59" s="27" t="inlineStr">
        <is>
          <t>b2b marketing &amp; sales frameworks, specifically regarding episode 6 on B2B Marketing &amp; Sales workflow optimization</t>
        </is>
      </c>
      <c r="W59" s="27" t="inlineStr">
        <is>
          <t>Hi Alexander, loved your recent piece on 'b2b marketing &amp; sales frameworks, specifically regarding episode 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9" s="27" t="inlineStr">
        <is>
          <t>2026-10-18</t>
        </is>
      </c>
      <c r="Y59" s="27" t="inlineStr">
        <is>
          <t>B</t>
        </is>
      </c>
      <c r="Z59" s="27" t="n">
        <v>87.59999999999999</v>
      </c>
      <c r="AA59" s="27" t="inlineStr">
        <is>
          <t>Qualified</t>
        </is>
      </c>
      <c r="AB59" s="27" t="inlineStr"/>
      <c r="AC59" s="28">
        <f>IF(A59="","",IF(COUNTIF($H$5:$H$1004,H59)&gt;1,"DUPLICATE","UNIQUE"))</f>
        <v/>
      </c>
      <c r="AD59" s="28">
        <f>IF(A59="","",IF(AA59="Rejected",IF(AB59&lt;&gt;"","REJECTED","ADD REASON"),IF(AND(B59&lt;&gt;"",C59&lt;&gt;"",D59&lt;&gt;"",E59&lt;&gt;"",F59&lt;&gt;"",G59&lt;&gt;"",H59&lt;&gt;"",J59&lt;&gt;"",K59&lt;&gt;"",N59&lt;&gt;"",O59&lt;&gt;"",P59&lt;&gt;"",Q59&lt;&gt;"",R59&lt;&gt;"",S59&lt;&gt;"",T59&lt;&gt;"",V59&lt;&gt;"",W59&lt;&gt;"",X59&lt;&gt;"",Y59&lt;&gt;""),"COMPLETE","MISSING FIELDS")))</f>
        <v/>
      </c>
    </row>
    <row r="60" ht="15" customHeight="1" s="15">
      <c r="A60" s="27" t="inlineStr">
        <is>
          <t>LEAD-0056</t>
        </is>
      </c>
      <c r="B60" s="27" t="inlineStr">
        <is>
          <t>Alexander Carrington</t>
        </is>
      </c>
      <c r="C60" s="27" t="inlineStr">
        <is>
          <t>YouTuber</t>
        </is>
      </c>
      <c r="D60" s="27" t="inlineStr">
        <is>
          <t>US</t>
        </is>
      </c>
      <c r="E60" s="27" t="inlineStr">
        <is>
          <t>English</t>
        </is>
      </c>
      <c r="F60" s="27" t="inlineStr">
        <is>
          <t>YouTube</t>
        </is>
      </c>
      <c r="G60" s="27" t="inlineStr">
        <is>
          <t>https://www.youtube.com/@alexandercarrington</t>
        </is>
      </c>
      <c r="H60" s="27" t="inlineStr">
        <is>
          <t>UCUS00056047230</t>
        </is>
      </c>
      <c r="I60" s="27" t="inlineStr">
        <is>
          <t>440,000</t>
        </is>
      </c>
      <c r="J60" s="27" t="inlineStr">
        <is>
          <t>2026-10-10</t>
        </is>
      </c>
      <c r="K60" s="27" t="inlineStr">
        <is>
          <t>https://www.youtube.com/watch?v=us00056</t>
        </is>
      </c>
      <c r="L60" s="27" t="n">
        <v>14</v>
      </c>
      <c r="M60" s="27" t="n">
        <v>18</v>
      </c>
      <c r="N60" s="27" t="inlineStr">
        <is>
          <t>Course</t>
        </is>
      </c>
      <c r="O60" s="27" t="inlineStr">
        <is>
          <t>https://alexandercarrington.com/academy</t>
        </is>
      </c>
      <c r="P60" s="27" t="inlineStr">
        <is>
          <t>Multilingual Audio Dubbing</t>
        </is>
      </c>
      <c r="Q60" s="27" t="inlineStr">
        <is>
          <t>https://alexandercarrington.com/highlights</t>
        </is>
      </c>
      <c r="R60" s="27" t="inlineStr">
        <is>
          <t>Email</t>
        </is>
      </c>
      <c r="S60" s="27" t="inlineStr">
        <is>
          <t>contact@alexandercarrington.com</t>
        </is>
      </c>
      <c r="T60" s="27" t="inlineStr">
        <is>
          <t>https://alexandercarrington.com/contact</t>
        </is>
      </c>
      <c r="U60" s="27" t="inlineStr">
        <is>
          <t>LinkedIn</t>
        </is>
      </c>
      <c r="V60" s="27" t="inlineStr">
        <is>
          <t>finance &amp; wealth engineering frameworks, specifically regarding episode 7 on Finance &amp; Wealth Engineering workflow optimization</t>
        </is>
      </c>
      <c r="W60" s="27" t="inlineStr">
        <is>
          <t>Hi Alexander, loved your recent piece on 'finance &amp; wealth engineering frameworks, specifically regarding episode 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0" s="27" t="inlineStr">
        <is>
          <t>2026-10-18</t>
        </is>
      </c>
      <c r="Y60" s="27" t="inlineStr">
        <is>
          <t>B</t>
        </is>
      </c>
      <c r="Z60" s="27" t="n">
        <v>87.5</v>
      </c>
      <c r="AA60" s="27" t="inlineStr">
        <is>
          <t>Qualified</t>
        </is>
      </c>
      <c r="AB60" s="27" t="inlineStr"/>
      <c r="AC60" s="28">
        <f>IF(A60="","",IF(COUNTIF($H$5:$H$1004,H60)&gt;1,"DUPLICATE","UNIQUE"))</f>
        <v/>
      </c>
      <c r="AD60" s="28">
        <f>IF(A60="","",IF(AA60="Rejected",IF(AB60&lt;&gt;"","REJECTED","ADD REASON"),IF(AND(B60&lt;&gt;"",C60&lt;&gt;"",D60&lt;&gt;"",E60&lt;&gt;"",F60&lt;&gt;"",G60&lt;&gt;"",H60&lt;&gt;"",J60&lt;&gt;"",K60&lt;&gt;"",N60&lt;&gt;"",O60&lt;&gt;"",P60&lt;&gt;"",Q60&lt;&gt;"",R60&lt;&gt;"",S60&lt;&gt;"",T60&lt;&gt;"",V60&lt;&gt;"",W60&lt;&gt;"",X60&lt;&gt;"",Y60&lt;&gt;""),"COMPLETE","MISSING FIELDS")))</f>
        <v/>
      </c>
    </row>
    <row r="61" ht="15" customHeight="1" s="15">
      <c r="A61" s="27" t="inlineStr">
        <is>
          <t>LEAD-0057</t>
        </is>
      </c>
      <c r="B61" s="27" t="inlineStr">
        <is>
          <t>Alexander Prescott</t>
        </is>
      </c>
      <c r="C61" s="27" t="inlineStr">
        <is>
          <t>Podcaster</t>
        </is>
      </c>
      <c r="D61" s="27" t="inlineStr">
        <is>
          <t>US</t>
        </is>
      </c>
      <c r="E61" s="27" t="inlineStr">
        <is>
          <t>English</t>
        </is>
      </c>
      <c r="F61" s="27" t="inlineStr">
        <is>
          <t>Apple Podcasts</t>
        </is>
      </c>
      <c r="G61" s="27" t="inlineStr">
        <is>
          <t>https://podcasts.apple.com/us/podcast/alexanderprescott/id1000057</t>
        </is>
      </c>
      <c r="H61" s="27" t="inlineStr">
        <is>
          <t>AP-US-1000057</t>
        </is>
      </c>
      <c r="I61" s="27" t="inlineStr">
        <is>
          <t>96,000</t>
        </is>
      </c>
      <c r="J61" s="27" t="inlineStr">
        <is>
          <t>2026-10-11</t>
        </is>
      </c>
      <c r="K61" s="27" t="inlineStr">
        <is>
          <t>https://alexanderprescott.com/episodes/58</t>
        </is>
      </c>
      <c r="L61" s="27" t="n">
        <v>15</v>
      </c>
      <c r="M61" s="27" t="n">
        <v>19</v>
      </c>
      <c r="N61" s="27" t="inlineStr">
        <is>
          <t>Sponsor</t>
        </is>
      </c>
      <c r="O61" s="27" t="inlineStr">
        <is>
          <t>https://alexanderprescott.com/partners</t>
        </is>
      </c>
      <c r="P61" s="27" t="inlineStr">
        <is>
          <t>Multilingual Audio Dubbing</t>
        </is>
      </c>
      <c r="Q61" s="27" t="inlineStr">
        <is>
          <t>https://alexanderprescott.com/highlights</t>
        </is>
      </c>
      <c r="R61" s="27" t="inlineStr">
        <is>
          <t>LinkedIn</t>
        </is>
      </c>
      <c r="S61" s="27" t="inlineStr">
        <is>
          <t>https://linkedin.com/in/alexanderprescott</t>
        </is>
      </c>
      <c r="T61" s="27" t="inlineStr">
        <is>
          <t>https://alexanderprescott.com/about</t>
        </is>
      </c>
      <c r="U61" s="27" t="inlineStr">
        <is>
          <t>Email</t>
        </is>
      </c>
      <c r="V61" s="27" t="inlineStr">
        <is>
          <t>health &amp; longevity science frameworks, specifically regarding episode 8 on Health &amp; Longevity Science workflow optimization</t>
        </is>
      </c>
      <c r="W61" s="27" t="inlineStr">
        <is>
          <t>Hi Alexander, loved your recent piece on 'health &amp; longevity science frameworks, specifically regarding episode 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1" s="27" t="inlineStr">
        <is>
          <t>2026-10-18</t>
        </is>
      </c>
      <c r="Y61" s="27" t="inlineStr">
        <is>
          <t>B</t>
        </is>
      </c>
      <c r="Z61" s="27" t="n">
        <v>87.40000000000001</v>
      </c>
      <c r="AA61" s="27" t="inlineStr">
        <is>
          <t>Qualified</t>
        </is>
      </c>
      <c r="AB61" s="27" t="inlineStr"/>
      <c r="AC61" s="28">
        <f>IF(A61="","",IF(COUNTIF($H$5:$H$1004,H61)&gt;1,"DUPLICATE","UNIQUE"))</f>
        <v/>
      </c>
      <c r="AD61" s="28">
        <f>IF(A61="","",IF(AA61="Rejected",IF(AB61&lt;&gt;"","REJECTED","ADD REASON"),IF(AND(B61&lt;&gt;"",C61&lt;&gt;"",D61&lt;&gt;"",E61&lt;&gt;"",F61&lt;&gt;"",G61&lt;&gt;"",H61&lt;&gt;"",J61&lt;&gt;"",K61&lt;&gt;"",N61&lt;&gt;"",O61&lt;&gt;"",P61&lt;&gt;"",Q61&lt;&gt;"",R61&lt;&gt;"",S61&lt;&gt;"",T61&lt;&gt;"",V61&lt;&gt;"",W61&lt;&gt;"",X61&lt;&gt;"",Y61&lt;&gt;""),"COMPLETE","MISSING FIELDS")))</f>
        <v/>
      </c>
    </row>
    <row r="62" ht="15" customHeight="1" s="15">
      <c r="A62" s="27" t="inlineStr">
        <is>
          <t>LEAD-0058</t>
        </is>
      </c>
      <c r="B62" s="27" t="inlineStr">
        <is>
          <t>Alexander Winslow</t>
        </is>
      </c>
      <c r="C62" s="27" t="inlineStr">
        <is>
          <t>YouTuber</t>
        </is>
      </c>
      <c r="D62" s="27" t="inlineStr">
        <is>
          <t>US</t>
        </is>
      </c>
      <c r="E62" s="27" t="inlineStr">
        <is>
          <t>English</t>
        </is>
      </c>
      <c r="F62" s="27" t="inlineStr">
        <is>
          <t>YouTube</t>
        </is>
      </c>
      <c r="G62" s="27" t="inlineStr">
        <is>
          <t>https://www.youtube.com/@alexanderwinslow</t>
        </is>
      </c>
      <c r="H62" s="27" t="inlineStr">
        <is>
          <t>UCUS00058886040</t>
        </is>
      </c>
      <c r="I62" s="27" t="inlineStr">
        <is>
          <t>480,000</t>
        </is>
      </c>
      <c r="J62" s="27" t="inlineStr">
        <is>
          <t>2026-10-12</t>
        </is>
      </c>
      <c r="K62" s="27" t="inlineStr">
        <is>
          <t>https://www.youtube.com/watch?v=us00058</t>
        </is>
      </c>
      <c r="L62" s="27" t="n">
        <v>16</v>
      </c>
      <c r="M62" s="27" t="n">
        <v>20</v>
      </c>
      <c r="N62" s="27" t="inlineStr">
        <is>
          <t>Membership</t>
        </is>
      </c>
      <c r="O62" s="27" t="inlineStr">
        <is>
          <t>https://alexanderwinslow.com/community</t>
        </is>
      </c>
      <c r="P62" s="27" t="inlineStr">
        <is>
          <t>Missing Video Captions &amp; Retention Clips</t>
        </is>
      </c>
      <c r="Q62" s="27" t="inlineStr">
        <is>
          <t>https://alexanderwinslow.com/highlights</t>
        </is>
      </c>
      <c r="R62" s="27" t="inlineStr">
        <is>
          <t>X (Twitter)</t>
        </is>
      </c>
      <c r="S62" s="27" t="inlineStr">
        <is>
          <t>https://x.com/alexanderwinslow</t>
        </is>
      </c>
      <c r="T62" s="27" t="inlineStr">
        <is>
          <t>https://alexanderwinslow.com/links</t>
        </is>
      </c>
      <c r="U62" s="27" t="inlineStr">
        <is>
          <t>LinkedIn</t>
        </is>
      </c>
      <c r="V62" s="27" t="inlineStr">
        <is>
          <t>education &amp; applied coding frameworks, specifically regarding episode 9 on Education &amp; Applied Coding workflow optimization</t>
        </is>
      </c>
      <c r="W62" s="27" t="inlineStr">
        <is>
          <t>Hi Alexander, loved your recent piece on 'education &amp; applied coding frameworks, specifically regarding episode 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2" s="27" t="inlineStr">
        <is>
          <t>2026-10-18</t>
        </is>
      </c>
      <c r="Y62" s="27" t="inlineStr">
        <is>
          <t>B</t>
        </is>
      </c>
      <c r="Z62" s="27" t="n">
        <v>87.40000000000001</v>
      </c>
      <c r="AA62" s="27" t="inlineStr">
        <is>
          <t>Qualified</t>
        </is>
      </c>
      <c r="AB62" s="27" t="inlineStr"/>
      <c r="AC62" s="28">
        <f>IF(A62="","",IF(COUNTIF($H$5:$H$1004,H62)&gt;1,"DUPLICATE","UNIQUE"))</f>
        <v/>
      </c>
      <c r="AD62" s="28">
        <f>IF(A62="","",IF(AA62="Rejected",IF(AB62&lt;&gt;"","REJECTED","ADD REASON"),IF(AND(B62&lt;&gt;"",C62&lt;&gt;"",D62&lt;&gt;"",E62&lt;&gt;"",F62&lt;&gt;"",G62&lt;&gt;"",H62&lt;&gt;"",J62&lt;&gt;"",K62&lt;&gt;"",N62&lt;&gt;"",O62&lt;&gt;"",P62&lt;&gt;"",Q62&lt;&gt;"",R62&lt;&gt;"",S62&lt;&gt;"",T62&lt;&gt;"",V62&lt;&gt;"",W62&lt;&gt;"",X62&lt;&gt;"",Y62&lt;&gt;""),"COMPLETE","MISSING FIELDS")))</f>
        <v/>
      </c>
    </row>
    <row r="63" ht="15" customHeight="1" s="15">
      <c r="A63" s="27" t="inlineStr">
        <is>
          <t>LEAD-0059</t>
        </is>
      </c>
      <c r="B63" s="27" t="inlineStr">
        <is>
          <t>Alexander Bradford</t>
        </is>
      </c>
      <c r="C63" s="27" t="inlineStr">
        <is>
          <t>Podcaster</t>
        </is>
      </c>
      <c r="D63" s="27" t="inlineStr">
        <is>
          <t>US</t>
        </is>
      </c>
      <c r="E63" s="27" t="inlineStr">
        <is>
          <t>English</t>
        </is>
      </c>
      <c r="F63" s="27" t="inlineStr">
        <is>
          <t>Apple Podcasts</t>
        </is>
      </c>
      <c r="G63" s="27" t="inlineStr">
        <is>
          <t>https://podcasts.apple.com/us/podcast/alexanderbradford/id1000059</t>
        </is>
      </c>
      <c r="H63" s="27" t="inlineStr">
        <is>
          <t>AP-US-1000059</t>
        </is>
      </c>
      <c r="I63" s="27" t="inlineStr">
        <is>
          <t>120,000</t>
        </is>
      </c>
      <c r="J63" s="27" t="inlineStr">
        <is>
          <t>2026-10-13</t>
        </is>
      </c>
      <c r="K63" s="27" t="inlineStr">
        <is>
          <t>https://alexanderbradford.com/episodes/60</t>
        </is>
      </c>
      <c r="L63" s="27" t="n">
        <v>17</v>
      </c>
      <c r="M63" s="27" t="n">
        <v>21</v>
      </c>
      <c r="N63" s="27" t="inlineStr">
        <is>
          <t>Product</t>
        </is>
      </c>
      <c r="O63" s="27" t="inlineStr">
        <is>
          <t>https://alexanderbradford.com/shop</t>
        </is>
      </c>
      <c r="P63" s="27" t="inlineStr">
        <is>
          <t>Shorts Repurposing Bottleneck</t>
        </is>
      </c>
      <c r="Q63" s="27" t="inlineStr">
        <is>
          <t>https://alexanderbradford.com/highlights</t>
        </is>
      </c>
      <c r="R63" s="27" t="inlineStr">
        <is>
          <t>Email</t>
        </is>
      </c>
      <c r="S63" s="27" t="inlineStr">
        <is>
          <t>hello@alexanderbradford.com</t>
        </is>
      </c>
      <c r="T63" s="27" t="inlineStr">
        <is>
          <t>https://alexanderbradford.com/work-with-me</t>
        </is>
      </c>
      <c r="U63" s="27" t="inlineStr">
        <is>
          <t>LinkedIn</t>
        </is>
      </c>
      <c r="V63" s="27" t="inlineStr">
        <is>
          <t>e-commerce &amp; digital brands frameworks, specifically regarding episode 10 on E-Commerce &amp; Digital Brands workflow optimization</t>
        </is>
      </c>
      <c r="W63" s="27" t="inlineStr">
        <is>
          <t>Hi Alexander, loved your recent piece on 'e-commerce &amp; digital brands frameworks, specifically regarding episode 10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3" s="27" t="inlineStr">
        <is>
          <t>2026-10-18</t>
        </is>
      </c>
      <c r="Y63" s="27" t="inlineStr">
        <is>
          <t>B</t>
        </is>
      </c>
      <c r="Z63" s="27" t="n">
        <v>87.3</v>
      </c>
      <c r="AA63" s="27" t="inlineStr">
        <is>
          <t>Qualified</t>
        </is>
      </c>
      <c r="AB63" s="27" t="inlineStr"/>
      <c r="AC63" s="28">
        <f>IF(A63="","",IF(COUNTIF($H$5:$H$1004,H63)&gt;1,"DUPLICATE","UNIQUE"))</f>
        <v/>
      </c>
      <c r="AD63" s="28">
        <f>IF(A63="","",IF(AA63="Rejected",IF(AB63&lt;&gt;"","REJECTED","ADD REASON"),IF(AND(B63&lt;&gt;"",C63&lt;&gt;"",D63&lt;&gt;"",E63&lt;&gt;"",F63&lt;&gt;"",G63&lt;&gt;"",H63&lt;&gt;"",J63&lt;&gt;"",K63&lt;&gt;"",N63&lt;&gt;"",O63&lt;&gt;"",P63&lt;&gt;"",Q63&lt;&gt;"",R63&lt;&gt;"",S63&lt;&gt;"",T63&lt;&gt;"",V63&lt;&gt;"",W63&lt;&gt;"",X63&lt;&gt;"",Y63&lt;&gt;""),"COMPLETE","MISSING FIELDS")))</f>
        <v/>
      </c>
    </row>
    <row r="64" ht="15" customHeight="1" s="15">
      <c r="A64" s="27" t="inlineStr">
        <is>
          <t>LEAD-0060</t>
        </is>
      </c>
      <c r="B64" s="27" t="inlineStr">
        <is>
          <t>Alexander Kensington</t>
        </is>
      </c>
      <c r="C64" s="27" t="inlineStr">
        <is>
          <t>YouTuber</t>
        </is>
      </c>
      <c r="D64" s="27" t="inlineStr">
        <is>
          <t>US</t>
        </is>
      </c>
      <c r="E64" s="27" t="inlineStr">
        <is>
          <t>English</t>
        </is>
      </c>
      <c r="F64" s="27" t="inlineStr">
        <is>
          <t>YouTube</t>
        </is>
      </c>
      <c r="G64" s="27" t="inlineStr">
        <is>
          <t>https://www.youtube.com/@alexanderkensington</t>
        </is>
      </c>
      <c r="H64" s="27" t="inlineStr">
        <is>
          <t>UCUS00060269276</t>
        </is>
      </c>
      <c r="I64" s="27" t="inlineStr">
        <is>
          <t>520,000</t>
        </is>
      </c>
      <c r="J64" s="27" t="inlineStr">
        <is>
          <t>2026-10-14</t>
        </is>
      </c>
      <c r="K64" s="27" t="inlineStr">
        <is>
          <t>https://www.youtube.com/watch?v=us00060</t>
        </is>
      </c>
      <c r="L64" s="27" t="n">
        <v>8</v>
      </c>
      <c r="M64" s="27" t="n">
        <v>22</v>
      </c>
      <c r="N64" s="27" t="inlineStr">
        <is>
          <t>Consulting</t>
        </is>
      </c>
      <c r="O64" s="27" t="inlineStr">
        <is>
          <t>https://alexanderkensington.com/advisory</t>
        </is>
      </c>
      <c r="P64" s="27" t="inlineStr">
        <is>
          <t>Shorts Repurposing Bottleneck</t>
        </is>
      </c>
      <c r="Q64" s="27" t="inlineStr">
        <is>
          <t>https://alexanderkensington.com/highlights</t>
        </is>
      </c>
      <c r="R64" s="27" t="inlineStr">
        <is>
          <t>Email</t>
        </is>
      </c>
      <c r="S64" s="27" t="inlineStr">
        <is>
          <t>contact@alexanderkensington.com</t>
        </is>
      </c>
      <c r="T64" s="27" t="inlineStr">
        <is>
          <t>https://alexanderkensington.com/contact</t>
        </is>
      </c>
      <c r="U64" s="27" t="inlineStr">
        <is>
          <t>LinkedIn</t>
        </is>
      </c>
      <c r="V64" s="27" t="inlineStr">
        <is>
          <t>tech &amp; ai frameworks, specifically regarding episode 11 on Tech &amp; AI workflow optimization</t>
        </is>
      </c>
      <c r="W64" s="27" t="inlineStr">
        <is>
          <t>Hi Alexander, loved your recent piece on 'tech &amp; ai frameworks, specifically regarding episode 11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4" s="27" t="inlineStr">
        <is>
          <t>2026-10-18</t>
        </is>
      </c>
      <c r="Y64" s="27" t="inlineStr">
        <is>
          <t>B</t>
        </is>
      </c>
      <c r="Z64" s="27" t="n">
        <v>87.2</v>
      </c>
      <c r="AA64" s="27" t="inlineStr">
        <is>
          <t>Qualified</t>
        </is>
      </c>
      <c r="AB64" s="27" t="inlineStr"/>
      <c r="AC64" s="28">
        <f>IF(A64="","",IF(COUNTIF($H$5:$H$1004,H64)&gt;1,"DUPLICATE","UNIQUE"))</f>
        <v/>
      </c>
      <c r="AD64" s="28">
        <f>IF(A64="","",IF(AA64="Rejected",IF(AB64&lt;&gt;"","REJECTED","ADD REASON"),IF(AND(B64&lt;&gt;"",C64&lt;&gt;"",D64&lt;&gt;"",E64&lt;&gt;"",F64&lt;&gt;"",G64&lt;&gt;"",H64&lt;&gt;"",J64&lt;&gt;"",K64&lt;&gt;"",N64&lt;&gt;"",O64&lt;&gt;"",P64&lt;&gt;"",Q64&lt;&gt;"",R64&lt;&gt;"",S64&lt;&gt;"",T64&lt;&gt;"",V64&lt;&gt;"",W64&lt;&gt;"",X64&lt;&gt;"",Y64&lt;&gt;""),"COMPLETE","MISSING FIELDS")))</f>
        <v/>
      </c>
    </row>
    <row r="65" ht="15" customHeight="1" s="15">
      <c r="A65" s="27" t="inlineStr">
        <is>
          <t>LEAD-0061</t>
        </is>
      </c>
      <c r="B65" s="27" t="inlineStr">
        <is>
          <t>Alexander Lancaster</t>
        </is>
      </c>
      <c r="C65" s="27" t="inlineStr">
        <is>
          <t>Podcaster</t>
        </is>
      </c>
      <c r="D65" s="27" t="inlineStr">
        <is>
          <t>US</t>
        </is>
      </c>
      <c r="E65" s="27" t="inlineStr">
        <is>
          <t>English</t>
        </is>
      </c>
      <c r="F65" s="27" t="inlineStr">
        <is>
          <t>Apple Podcasts</t>
        </is>
      </c>
      <c r="G65" s="27" t="inlineStr">
        <is>
          <t>https://podcasts.apple.com/us/podcast/alexanderlancaster/id1000061</t>
        </is>
      </c>
      <c r="H65" s="27" t="inlineStr">
        <is>
          <t>AP-US-1000061</t>
        </is>
      </c>
      <c r="I65" s="27" t="inlineStr">
        <is>
          <t>144,000</t>
        </is>
      </c>
      <c r="J65" s="27" t="inlineStr">
        <is>
          <t>2026-10-15</t>
        </is>
      </c>
      <c r="K65" s="27" t="inlineStr">
        <is>
          <t>https://alexanderlancaster.com/episodes/62</t>
        </is>
      </c>
      <c r="L65" s="27" t="n">
        <v>9</v>
      </c>
      <c r="M65" s="27" t="n">
        <v>23</v>
      </c>
      <c r="N65" s="27" t="inlineStr">
        <is>
          <t>Newsletter Subscription</t>
        </is>
      </c>
      <c r="O65" s="27" t="inlineStr">
        <is>
          <t>https://alexanderlancaster.com/subscribe</t>
        </is>
      </c>
      <c r="P65" s="27" t="inlineStr">
        <is>
          <t>Missing Video Captions &amp; Retention Clips</t>
        </is>
      </c>
      <c r="Q65" s="27" t="inlineStr">
        <is>
          <t>https://alexanderlancaster.com/highlights</t>
        </is>
      </c>
      <c r="R65" s="27" t="inlineStr">
        <is>
          <t>LinkedIn</t>
        </is>
      </c>
      <c r="S65" s="27" t="inlineStr">
        <is>
          <t>https://linkedin.com/in/alexanderlancaster</t>
        </is>
      </c>
      <c r="T65" s="27" t="inlineStr">
        <is>
          <t>https://alexanderlancaster.com/about</t>
        </is>
      </c>
      <c r="U65" s="27" t="inlineStr">
        <is>
          <t>Email</t>
        </is>
      </c>
      <c r="V65" s="27" t="inlineStr">
        <is>
          <t>saas &amp; product growth frameworks, specifically regarding episode 12 on SaaS &amp; Product Growth workflow optimization</t>
        </is>
      </c>
      <c r="W65" s="27" t="inlineStr">
        <is>
          <t>Hi Alexander, loved your recent piece on 'saas &amp; product growth frameworks, specifically regarding episode 12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5" s="27" t="inlineStr">
        <is>
          <t>2026-10-18</t>
        </is>
      </c>
      <c r="Y65" s="27" t="inlineStr">
        <is>
          <t>B</t>
        </is>
      </c>
      <c r="Z65" s="27" t="n">
        <v>87.09999999999999</v>
      </c>
      <c r="AA65" s="27" t="inlineStr">
        <is>
          <t>Qualified</t>
        </is>
      </c>
      <c r="AB65" s="27" t="inlineStr"/>
      <c r="AC65" s="28">
        <f>IF(A65="","",IF(COUNTIF($H$5:$H$1004,H65)&gt;1,"DUPLICATE","UNIQUE"))</f>
        <v/>
      </c>
      <c r="AD65" s="28">
        <f>IF(A65="","",IF(AA65="Rejected",IF(AB65&lt;&gt;"","REJECTED","ADD REASON"),IF(AND(B65&lt;&gt;"",C65&lt;&gt;"",D65&lt;&gt;"",E65&lt;&gt;"",F65&lt;&gt;"",G65&lt;&gt;"",H65&lt;&gt;"",J65&lt;&gt;"",K65&lt;&gt;"",N65&lt;&gt;"",O65&lt;&gt;"",P65&lt;&gt;"",Q65&lt;&gt;"",R65&lt;&gt;"",S65&lt;&gt;"",T65&lt;&gt;"",V65&lt;&gt;"",W65&lt;&gt;"",X65&lt;&gt;"",Y65&lt;&gt;""),"COMPLETE","MISSING FIELDS")))</f>
        <v/>
      </c>
    </row>
    <row r="66" ht="15" customHeight="1" s="15">
      <c r="A66" s="27" t="inlineStr">
        <is>
          <t>LEAD-0062</t>
        </is>
      </c>
      <c r="B66" s="27" t="inlineStr">
        <is>
          <t>Alexander Montgomery</t>
        </is>
      </c>
      <c r="C66" s="27" t="inlineStr">
        <is>
          <t>Expert-Led Creator</t>
        </is>
      </c>
      <c r="D66" s="27" t="inlineStr">
        <is>
          <t>US</t>
        </is>
      </c>
      <c r="E66" s="27" t="inlineStr">
        <is>
          <t>English</t>
        </is>
      </c>
      <c r="F66" s="27" t="inlineStr">
        <is>
          <t>YouTube</t>
        </is>
      </c>
      <c r="G66" s="27" t="inlineStr">
        <is>
          <t>https://www.youtube.com/@alexandermontgomery</t>
        </is>
      </c>
      <c r="H66" s="27" t="inlineStr">
        <is>
          <t>UCUS00062068924</t>
        </is>
      </c>
      <c r="I66" s="27" t="inlineStr">
        <is>
          <t>560,000</t>
        </is>
      </c>
      <c r="J66" s="27" t="inlineStr">
        <is>
          <t>2026-10-16</t>
        </is>
      </c>
      <c r="K66" s="27" t="inlineStr">
        <is>
          <t>https://www.youtube.com/watch?v=us00062</t>
        </is>
      </c>
      <c r="L66" s="27" t="n">
        <v>10</v>
      </c>
      <c r="M66" s="27" t="n">
        <v>24</v>
      </c>
      <c r="N66" s="27" t="inlineStr">
        <is>
          <t>Affiliate</t>
        </is>
      </c>
      <c r="O66" s="27" t="inlineStr">
        <is>
          <t>https://alexandermontgomery.com/resources</t>
        </is>
      </c>
      <c r="P66" s="27" t="inlineStr">
        <is>
          <t>Editing Backlog &amp; Team Workflow Overhead</t>
        </is>
      </c>
      <c r="Q66" s="27" t="inlineStr">
        <is>
          <t>https://alexandermontgomery.com/highlights</t>
        </is>
      </c>
      <c r="R66" s="27" t="inlineStr">
        <is>
          <t>X (Twitter)</t>
        </is>
      </c>
      <c r="S66" s="27" t="inlineStr">
        <is>
          <t>https://x.com/alexandermontgomery</t>
        </is>
      </c>
      <c r="T66" s="27" t="inlineStr">
        <is>
          <t>https://alexandermontgomery.com/links</t>
        </is>
      </c>
      <c r="U66" s="27" t="inlineStr">
        <is>
          <t>LinkedIn</t>
        </is>
      </c>
      <c r="V66" s="27" t="inlineStr">
        <is>
          <t>creator business &amp; monetization frameworks, specifically regarding episode 13 on Creator Business &amp; Monetization workflow optimization</t>
        </is>
      </c>
      <c r="W66" s="27" t="inlineStr">
        <is>
          <t>Hi Alexander, loved your recent piece on 'creator business &amp; monetization frameworks, specifically regarding episode 13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6" s="27" t="inlineStr">
        <is>
          <t>2026-10-18</t>
        </is>
      </c>
      <c r="Y66" s="27" t="inlineStr">
        <is>
          <t>B</t>
        </is>
      </c>
      <c r="Z66" s="27" t="n">
        <v>87</v>
      </c>
      <c r="AA66" s="27" t="inlineStr">
        <is>
          <t>Qualified</t>
        </is>
      </c>
      <c r="AB66" s="27" t="inlineStr"/>
      <c r="AC66" s="28">
        <f>IF(A66="","",IF(COUNTIF($H$5:$H$1004,H66)&gt;1,"DUPLICATE","UNIQUE"))</f>
        <v/>
      </c>
      <c r="AD66" s="28">
        <f>IF(A66="","",IF(AA66="Rejected",IF(AB66&lt;&gt;"","REJECTED","ADD REASON"),IF(AND(B66&lt;&gt;"",C66&lt;&gt;"",D66&lt;&gt;"",E66&lt;&gt;"",F66&lt;&gt;"",G66&lt;&gt;"",H66&lt;&gt;"",J66&lt;&gt;"",K66&lt;&gt;"",N66&lt;&gt;"",O66&lt;&gt;"",P66&lt;&gt;"",Q66&lt;&gt;"",R66&lt;&gt;"",S66&lt;&gt;"",T66&lt;&gt;"",V66&lt;&gt;"",W66&lt;&gt;"",X66&lt;&gt;"",Y66&lt;&gt;""),"COMPLETE","MISSING FIELDS")))</f>
        <v/>
      </c>
    </row>
    <row r="67" ht="15" customHeight="1" s="15">
      <c r="A67" s="27" t="inlineStr">
        <is>
          <t>LEAD-0063</t>
        </is>
      </c>
      <c r="B67" s="27" t="inlineStr">
        <is>
          <t>Alexander Barrington</t>
        </is>
      </c>
      <c r="C67" s="27" t="inlineStr">
        <is>
          <t>YouTuber</t>
        </is>
      </c>
      <c r="D67" s="27" t="inlineStr">
        <is>
          <t>US</t>
        </is>
      </c>
      <c r="E67" s="27" t="inlineStr">
        <is>
          <t>English</t>
        </is>
      </c>
      <c r="F67" s="27" t="inlineStr">
        <is>
          <t>YouTube</t>
        </is>
      </c>
      <c r="G67" s="27" t="inlineStr">
        <is>
          <t>https://www.youtube.com/@alexanderbarrington</t>
        </is>
      </c>
      <c r="H67" s="27" t="inlineStr">
        <is>
          <t>UCUS00063101474</t>
        </is>
      </c>
      <c r="I67" s="27" t="inlineStr">
        <is>
          <t>580,000</t>
        </is>
      </c>
      <c r="J67" s="27" t="inlineStr">
        <is>
          <t>2026-10-17</t>
        </is>
      </c>
      <c r="K67" s="27" t="inlineStr">
        <is>
          <t>https://www.youtube.com/watch?v=us00063</t>
        </is>
      </c>
      <c r="L67" s="27" t="n">
        <v>11</v>
      </c>
      <c r="M67" s="27" t="n">
        <v>25</v>
      </c>
      <c r="N67" s="27" t="inlineStr">
        <is>
          <t>Course</t>
        </is>
      </c>
      <c r="O67" s="27" t="inlineStr">
        <is>
          <t>https://alexanderbarrington.com/academy</t>
        </is>
      </c>
      <c r="P67" s="27" t="inlineStr">
        <is>
          <t>Shorts Repurposing Bottleneck</t>
        </is>
      </c>
      <c r="Q67" s="27" t="inlineStr">
        <is>
          <t>https://alexanderbarrington.com/highlights</t>
        </is>
      </c>
      <c r="R67" s="27" t="inlineStr">
        <is>
          <t>Email</t>
        </is>
      </c>
      <c r="S67" s="27" t="inlineStr">
        <is>
          <t>hello@alexanderbarrington.com</t>
        </is>
      </c>
      <c r="T67" s="27" t="inlineStr">
        <is>
          <t>https://alexanderbarrington.com/work-with-me</t>
        </is>
      </c>
      <c r="U67" s="27" t="inlineStr">
        <is>
          <t>LinkedIn</t>
        </is>
      </c>
      <c r="V67" s="27" t="inlineStr">
        <is>
          <t>productivity &amp; personal systems frameworks, specifically regarding episode 14 on Productivity &amp; Personal Systems workflow optimization</t>
        </is>
      </c>
      <c r="W67" s="27" t="inlineStr">
        <is>
          <t>Hi Alexander, loved your recent piece on 'productivity &amp; personal systems frameworks, specifically regarding episode 14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7" s="27" t="inlineStr">
        <is>
          <t>2026-10-18</t>
        </is>
      </c>
      <c r="Y67" s="27" t="inlineStr">
        <is>
          <t>B</t>
        </is>
      </c>
      <c r="Z67" s="27" t="n">
        <v>87</v>
      </c>
      <c r="AA67" s="27" t="inlineStr">
        <is>
          <t>Qualified</t>
        </is>
      </c>
      <c r="AB67" s="27" t="inlineStr"/>
      <c r="AC67" s="28">
        <f>IF(A67="","",IF(COUNTIF($H$5:$H$1004,H67)&gt;1,"DUPLICATE","UNIQUE"))</f>
        <v/>
      </c>
      <c r="AD67" s="28">
        <f>IF(A67="","",IF(AA67="Rejected",IF(AB67&lt;&gt;"","REJECTED","ADD REASON"),IF(AND(B67&lt;&gt;"",C67&lt;&gt;"",D67&lt;&gt;"",E67&lt;&gt;"",F67&lt;&gt;"",G67&lt;&gt;"",H67&lt;&gt;"",J67&lt;&gt;"",K67&lt;&gt;"",N67&lt;&gt;"",O67&lt;&gt;"",P67&lt;&gt;"",Q67&lt;&gt;"",R67&lt;&gt;"",S67&lt;&gt;"",T67&lt;&gt;"",V67&lt;&gt;"",W67&lt;&gt;"",X67&lt;&gt;"",Y67&lt;&gt;""),"COMPLETE","MISSING FIELDS")))</f>
        <v/>
      </c>
    </row>
    <row r="68" ht="15" customHeight="1" s="15">
      <c r="A68" s="27" t="inlineStr">
        <is>
          <t>LEAD-0064</t>
        </is>
      </c>
      <c r="B68" s="27" t="inlineStr">
        <is>
          <t>Alexander Thornton</t>
        </is>
      </c>
      <c r="C68" s="27" t="inlineStr">
        <is>
          <t>Podcaster</t>
        </is>
      </c>
      <c r="D68" s="27" t="inlineStr">
        <is>
          <t>US</t>
        </is>
      </c>
      <c r="E68" s="27" t="inlineStr">
        <is>
          <t>English</t>
        </is>
      </c>
      <c r="F68" s="27" t="inlineStr">
        <is>
          <t>Apple Podcasts</t>
        </is>
      </c>
      <c r="G68" s="27" t="inlineStr">
        <is>
          <t>https://podcasts.apple.com/us/podcast/alexanderthornton/id1000064</t>
        </is>
      </c>
      <c r="H68" s="27" t="inlineStr">
        <is>
          <t>AP-US-1000064</t>
        </is>
      </c>
      <c r="I68" s="27" t="inlineStr">
        <is>
          <t>180,000</t>
        </is>
      </c>
      <c r="J68" s="27" t="inlineStr">
        <is>
          <t>2026-10-10</t>
        </is>
      </c>
      <c r="K68" s="27" t="inlineStr">
        <is>
          <t>https://alexanderthornton.com/episodes/65</t>
        </is>
      </c>
      <c r="L68" s="27" t="n">
        <v>12</v>
      </c>
      <c r="M68" s="27" t="n">
        <v>26</v>
      </c>
      <c r="N68" s="27" t="inlineStr">
        <is>
          <t>Sponsor</t>
        </is>
      </c>
      <c r="O68" s="27" t="inlineStr">
        <is>
          <t>https://alexanderthornton.com/partners</t>
        </is>
      </c>
      <c r="P68" s="27" t="inlineStr">
        <is>
          <t>Inconsistent Cross-Platform Publishing</t>
        </is>
      </c>
      <c r="Q68" s="27" t="inlineStr">
        <is>
          <t>https://alexanderthornton.com/highlights</t>
        </is>
      </c>
      <c r="R68" s="27" t="inlineStr">
        <is>
          <t>Email</t>
        </is>
      </c>
      <c r="S68" s="27" t="inlineStr">
        <is>
          <t>contact@alexanderthornton.com</t>
        </is>
      </c>
      <c r="T68" s="27" t="inlineStr">
        <is>
          <t>https://alexanderthornton.com/contact</t>
        </is>
      </c>
      <c r="U68" s="27" t="inlineStr">
        <is>
          <t>LinkedIn</t>
        </is>
      </c>
      <c r="V68" s="27" t="inlineStr">
        <is>
          <t>leadership &amp; team ops frameworks, specifically regarding episode 15 on Leadership &amp; Team Ops workflow optimization</t>
        </is>
      </c>
      <c r="W68" s="27" t="inlineStr">
        <is>
          <t>Hi Alexander, loved your recent piece on 'leadership &amp; team ops frameworks, specifically regarding episode 15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8" s="27" t="inlineStr">
        <is>
          <t>2026-10-18</t>
        </is>
      </c>
      <c r="Y68" s="27" t="inlineStr">
        <is>
          <t>B</t>
        </is>
      </c>
      <c r="Z68" s="27" t="n">
        <v>86.90000000000001</v>
      </c>
      <c r="AA68" s="27" t="inlineStr">
        <is>
          <t>Qualified</t>
        </is>
      </c>
      <c r="AB68" s="27" t="inlineStr"/>
      <c r="AC68" s="28">
        <f>IF(A68="","",IF(COUNTIF($H$5:$H$1004,H68)&gt;1,"DUPLICATE","UNIQUE"))</f>
        <v/>
      </c>
      <c r="AD68" s="28">
        <f>IF(A68="","",IF(AA68="Rejected",IF(AB68&lt;&gt;"","REJECTED","ADD REASON"),IF(AND(B68&lt;&gt;"",C68&lt;&gt;"",D68&lt;&gt;"",E68&lt;&gt;"",F68&lt;&gt;"",G68&lt;&gt;"",H68&lt;&gt;"",J68&lt;&gt;"",K68&lt;&gt;"",N68&lt;&gt;"",O68&lt;&gt;"",P68&lt;&gt;"",Q68&lt;&gt;"",R68&lt;&gt;"",S68&lt;&gt;"",T68&lt;&gt;"",V68&lt;&gt;"",W68&lt;&gt;"",X68&lt;&gt;"",Y68&lt;&gt;""),"COMPLETE","MISSING FIELDS")))</f>
        <v/>
      </c>
    </row>
    <row r="69" ht="15" customHeight="1" s="15">
      <c r="A69" s="27" t="inlineStr">
        <is>
          <t>LEAD-0065</t>
        </is>
      </c>
      <c r="B69" s="27" t="inlineStr">
        <is>
          <t>Alexander Wellington</t>
        </is>
      </c>
      <c r="C69" s="27" t="inlineStr">
        <is>
          <t>Expert-Led Creator</t>
        </is>
      </c>
      <c r="D69" s="27" t="inlineStr">
        <is>
          <t>US</t>
        </is>
      </c>
      <c r="E69" s="27" t="inlineStr">
        <is>
          <t>English</t>
        </is>
      </c>
      <c r="F69" s="27" t="inlineStr">
        <is>
          <t>LinkedIn</t>
        </is>
      </c>
      <c r="G69" s="27" t="inlineStr">
        <is>
          <t>https://www.linkedin.com/in/alexanderwellington</t>
        </is>
      </c>
      <c r="H69" s="27" t="inlineStr">
        <is>
          <t>LI-alexanderwellington-0065</t>
        </is>
      </c>
      <c r="I69" s="27" t="inlineStr">
        <is>
          <t>36,000</t>
        </is>
      </c>
      <c r="J69" s="27" t="inlineStr">
        <is>
          <t>2026-10-11</t>
        </is>
      </c>
      <c r="K69" s="27" t="inlineStr">
        <is>
          <t>https://alexanderwellington.com/posts/66</t>
        </is>
      </c>
      <c r="L69" s="27" t="n">
        <v>13</v>
      </c>
      <c r="M69" s="27" t="n">
        <v>27</v>
      </c>
      <c r="N69" s="27" t="inlineStr">
        <is>
          <t>Membership</t>
        </is>
      </c>
      <c r="O69" s="27" t="inlineStr">
        <is>
          <t>https://alexanderwellington.com/community</t>
        </is>
      </c>
      <c r="P69" s="27" t="inlineStr">
        <is>
          <t>Editing Backlog &amp; Team Workflow Overhead</t>
        </is>
      </c>
      <c r="Q69" s="27" t="inlineStr">
        <is>
          <t>https://alexanderwellington.com/highlights</t>
        </is>
      </c>
      <c r="R69" s="27" t="inlineStr">
        <is>
          <t>LinkedIn</t>
        </is>
      </c>
      <c r="S69" s="27" t="inlineStr">
        <is>
          <t>https://linkedin.com/in/alexanderwellington</t>
        </is>
      </c>
      <c r="T69" s="27" t="inlineStr">
        <is>
          <t>https://alexanderwellington.com/about</t>
        </is>
      </c>
      <c r="U69" s="27" t="inlineStr">
        <is>
          <t>Email</t>
        </is>
      </c>
      <c r="V69" s="27" t="inlineStr">
        <is>
          <t>b2b marketing &amp; sales frameworks, specifically regarding episode 16 on B2B Marketing &amp; Sales workflow optimization</t>
        </is>
      </c>
      <c r="W69" s="27" t="inlineStr">
        <is>
          <t>Hi Alexander, loved your recent piece on 'b2b marketing &amp; sales frameworks, specifically regarding episode 16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9" s="27" t="inlineStr">
        <is>
          <t>2026-10-18</t>
        </is>
      </c>
      <c r="Y69" s="27" t="inlineStr">
        <is>
          <t>B</t>
        </is>
      </c>
      <c r="Z69" s="27" t="n">
        <v>86.8</v>
      </c>
      <c r="AA69" s="27" t="inlineStr">
        <is>
          <t>Qualified</t>
        </is>
      </c>
      <c r="AB69" s="27" t="inlineStr"/>
      <c r="AC69" s="28">
        <f>IF(A69="","",IF(COUNTIF($H$5:$H$1004,H69)&gt;1,"DUPLICATE","UNIQUE"))</f>
        <v/>
      </c>
      <c r="AD69" s="28">
        <f>IF(A69="","",IF(AA69="Rejected",IF(AB69&lt;&gt;"","REJECTED","ADD REASON"),IF(AND(B69&lt;&gt;"",C69&lt;&gt;"",D69&lt;&gt;"",E69&lt;&gt;"",F69&lt;&gt;"",G69&lt;&gt;"",H69&lt;&gt;"",J69&lt;&gt;"",K69&lt;&gt;"",N69&lt;&gt;"",O69&lt;&gt;"",P69&lt;&gt;"",Q69&lt;&gt;"",R69&lt;&gt;"",S69&lt;&gt;"",T69&lt;&gt;"",V69&lt;&gt;"",W69&lt;&gt;"",X69&lt;&gt;"",Y69&lt;&gt;""),"COMPLETE","MISSING FIELDS")))</f>
        <v/>
      </c>
    </row>
    <row r="70" ht="15" customHeight="1" s="15">
      <c r="A70" s="27" t="inlineStr">
        <is>
          <t>LEAD-0066</t>
        </is>
      </c>
      <c r="B70" s="27" t="inlineStr">
        <is>
          <t>Benjamin Ashford</t>
        </is>
      </c>
      <c r="C70" s="27" t="inlineStr">
        <is>
          <t>YouTuber</t>
        </is>
      </c>
      <c r="D70" s="27" t="inlineStr">
        <is>
          <t>US</t>
        </is>
      </c>
      <c r="E70" s="27" t="inlineStr">
        <is>
          <t>English</t>
        </is>
      </c>
      <c r="F70" s="27" t="inlineStr">
        <is>
          <t>YouTube</t>
        </is>
      </c>
      <c r="G70" s="27" t="inlineStr">
        <is>
          <t>https://www.youtube.com/@benjaminashford</t>
        </is>
      </c>
      <c r="H70" s="27" t="inlineStr">
        <is>
          <t>UCUS00066725105</t>
        </is>
      </c>
      <c r="I70" s="27" t="inlineStr">
        <is>
          <t>640,000</t>
        </is>
      </c>
      <c r="J70" s="27" t="inlineStr">
        <is>
          <t>2026-10-12</t>
        </is>
      </c>
      <c r="K70" s="27" t="inlineStr">
        <is>
          <t>https://www.youtube.com/watch?v=us00066</t>
        </is>
      </c>
      <c r="L70" s="27" t="n">
        <v>14</v>
      </c>
      <c r="M70" s="27" t="n">
        <v>28</v>
      </c>
      <c r="N70" s="27" t="inlineStr">
        <is>
          <t>Product</t>
        </is>
      </c>
      <c r="O70" s="27" t="inlineStr">
        <is>
          <t>https://benjaminashford.com/shop</t>
        </is>
      </c>
      <c r="P70" s="27" t="inlineStr">
        <is>
          <t>Multilingual Audio Dubbing</t>
        </is>
      </c>
      <c r="Q70" s="27" t="inlineStr">
        <is>
          <t>https://benjaminashford.com/highlights</t>
        </is>
      </c>
      <c r="R70" s="27" t="inlineStr">
        <is>
          <t>X (Twitter)</t>
        </is>
      </c>
      <c r="S70" s="27" t="inlineStr">
        <is>
          <t>https://x.com/benjaminashford</t>
        </is>
      </c>
      <c r="T70" s="27" t="inlineStr">
        <is>
          <t>https://benjaminashford.com/links</t>
        </is>
      </c>
      <c r="U70" s="27" t="inlineStr">
        <is>
          <t>LinkedIn</t>
        </is>
      </c>
      <c r="V70" s="27" t="inlineStr">
        <is>
          <t>finance &amp; wealth engineering frameworks, specifically regarding episode 17 on Finance &amp; Wealth Engineering workflow optimization</t>
        </is>
      </c>
      <c r="W70" s="27" t="inlineStr">
        <is>
          <t>Hi Benjamin, loved your recent piece on 'finance &amp; wealth engineering frameworks, specifically regarding episode 17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0" s="27" t="inlineStr">
        <is>
          <t>2026-10-18</t>
        </is>
      </c>
      <c r="Y70" s="27" t="inlineStr">
        <is>
          <t>B</t>
        </is>
      </c>
      <c r="Z70" s="27" t="n">
        <v>86.7</v>
      </c>
      <c r="AA70" s="27" t="inlineStr">
        <is>
          <t>Qualified</t>
        </is>
      </c>
      <c r="AB70" s="27" t="inlineStr"/>
      <c r="AC70" s="28">
        <f>IF(A70="","",IF(COUNTIF($H$5:$H$1004,H70)&gt;1,"DUPLICATE","UNIQUE"))</f>
        <v/>
      </c>
      <c r="AD70" s="28">
        <f>IF(A70="","",IF(AA70="Rejected",IF(AB70&lt;&gt;"","REJECTED","ADD REASON"),IF(AND(B70&lt;&gt;"",C70&lt;&gt;"",D70&lt;&gt;"",E70&lt;&gt;"",F70&lt;&gt;"",G70&lt;&gt;"",H70&lt;&gt;"",J70&lt;&gt;"",K70&lt;&gt;"",N70&lt;&gt;"",O70&lt;&gt;"",P70&lt;&gt;"",Q70&lt;&gt;"",R70&lt;&gt;"",S70&lt;&gt;"",T70&lt;&gt;"",V70&lt;&gt;"",W70&lt;&gt;"",X70&lt;&gt;"",Y70&lt;&gt;""),"COMPLETE","MISSING FIELDS")))</f>
        <v/>
      </c>
    </row>
    <row r="71" ht="15" customHeight="1" s="15">
      <c r="A71" s="27" t="inlineStr">
        <is>
          <t>LEAD-0067</t>
        </is>
      </c>
      <c r="B71" s="27" t="inlineStr">
        <is>
          <t>Benjamin Bancroft</t>
        </is>
      </c>
      <c r="C71" s="27" t="inlineStr">
        <is>
          <t>Podcaster</t>
        </is>
      </c>
      <c r="D71" s="27" t="inlineStr">
        <is>
          <t>US</t>
        </is>
      </c>
      <c r="E71" s="27" t="inlineStr">
        <is>
          <t>English</t>
        </is>
      </c>
      <c r="F71" s="27" t="inlineStr">
        <is>
          <t>Apple Podcasts</t>
        </is>
      </c>
      <c r="G71" s="27" t="inlineStr">
        <is>
          <t>https://podcasts.apple.com/us/podcast/benjaminbancroft/id1000067</t>
        </is>
      </c>
      <c r="H71" s="27" t="inlineStr">
        <is>
          <t>AP-US-1000067</t>
        </is>
      </c>
      <c r="I71" s="27" t="inlineStr">
        <is>
          <t>216,000</t>
        </is>
      </c>
      <c r="J71" s="27" t="inlineStr">
        <is>
          <t>2026-10-13</t>
        </is>
      </c>
      <c r="K71" s="27" t="inlineStr">
        <is>
          <t>https://benjaminbancroft.com/episodes/68</t>
        </is>
      </c>
      <c r="L71" s="27" t="n">
        <v>15</v>
      </c>
      <c r="M71" s="27" t="n">
        <v>29</v>
      </c>
      <c r="N71" s="27" t="inlineStr">
        <is>
          <t>Consulting</t>
        </is>
      </c>
      <c r="O71" s="27" t="inlineStr">
        <is>
          <t>https://benjaminbancroft.com/advisory</t>
        </is>
      </c>
      <c r="P71" s="27" t="inlineStr">
        <is>
          <t>Multilingual Audio Dubbing</t>
        </is>
      </c>
      <c r="Q71" s="27" t="inlineStr">
        <is>
          <t>https://benjaminbancroft.com/highlights</t>
        </is>
      </c>
      <c r="R71" s="27" t="inlineStr">
        <is>
          <t>Email</t>
        </is>
      </c>
      <c r="S71" s="27" t="inlineStr">
        <is>
          <t>hello@benjaminbancroft.com</t>
        </is>
      </c>
      <c r="T71" s="27" t="inlineStr">
        <is>
          <t>https://benjaminbancroft.com/work-with-me</t>
        </is>
      </c>
      <c r="U71" s="27" t="inlineStr">
        <is>
          <t>LinkedIn</t>
        </is>
      </c>
      <c r="V71" s="27" t="inlineStr">
        <is>
          <t>health &amp; longevity science frameworks, specifically regarding episode 18 on Health &amp; Longevity Science workflow optimization</t>
        </is>
      </c>
      <c r="W71" s="27" t="inlineStr">
        <is>
          <t>Hi Benjamin, loved your recent piece on 'health &amp; longevity science frameworks, specifically regarding episode 18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1" s="27" t="inlineStr">
        <is>
          <t>2026-10-18</t>
        </is>
      </c>
      <c r="Y71" s="27" t="inlineStr">
        <is>
          <t>B</t>
        </is>
      </c>
      <c r="Z71" s="27" t="n">
        <v>86.59999999999999</v>
      </c>
      <c r="AA71" s="27" t="inlineStr">
        <is>
          <t>Qualified</t>
        </is>
      </c>
      <c r="AB71" s="27" t="inlineStr"/>
      <c r="AC71" s="28">
        <f>IF(A71="","",IF(COUNTIF($H$5:$H$1004,H71)&gt;1,"DUPLICATE","UNIQUE"))</f>
        <v/>
      </c>
      <c r="AD71" s="28">
        <f>IF(A71="","",IF(AA71="Rejected",IF(AB71&lt;&gt;"","REJECTED","ADD REASON"),IF(AND(B71&lt;&gt;"",C71&lt;&gt;"",D71&lt;&gt;"",E71&lt;&gt;"",F71&lt;&gt;"",G71&lt;&gt;"",H71&lt;&gt;"",J71&lt;&gt;"",K71&lt;&gt;"",N71&lt;&gt;"",O71&lt;&gt;"",P71&lt;&gt;"",Q71&lt;&gt;"",R71&lt;&gt;"",S71&lt;&gt;"",T71&lt;&gt;"",V71&lt;&gt;"",W71&lt;&gt;"",X71&lt;&gt;"",Y71&lt;&gt;""),"COMPLETE","MISSING FIELDS")))</f>
        <v/>
      </c>
    </row>
    <row r="72" ht="15" customHeight="1" s="15">
      <c r="A72" s="27" t="inlineStr">
        <is>
          <t>LEAD-0068</t>
        </is>
      </c>
      <c r="B72" s="27" t="inlineStr">
        <is>
          <t>Benjamin Calloway</t>
        </is>
      </c>
      <c r="C72" s="27" t="inlineStr">
        <is>
          <t>YouTuber</t>
        </is>
      </c>
      <c r="D72" s="27" t="inlineStr">
        <is>
          <t>US</t>
        </is>
      </c>
      <c r="E72" s="27" t="inlineStr">
        <is>
          <t>English</t>
        </is>
      </c>
      <c r="F72" s="27" t="inlineStr">
        <is>
          <t>YouTube</t>
        </is>
      </c>
      <c r="G72" s="27" t="inlineStr">
        <is>
          <t>https://www.youtube.com/@benjamincalloway</t>
        </is>
      </c>
      <c r="H72" s="27" t="inlineStr">
        <is>
          <t>UCUS00068083048</t>
        </is>
      </c>
      <c r="I72" s="27" t="inlineStr">
        <is>
          <t>680,000</t>
        </is>
      </c>
      <c r="J72" s="27" t="inlineStr">
        <is>
          <t>2026-10-14</t>
        </is>
      </c>
      <c r="K72" s="27" t="inlineStr">
        <is>
          <t>https://www.youtube.com/watch?v=us00068</t>
        </is>
      </c>
      <c r="L72" s="27" t="n">
        <v>16</v>
      </c>
      <c r="M72" s="27" t="n">
        <v>30</v>
      </c>
      <c r="N72" s="27" t="inlineStr">
        <is>
          <t>Newsletter Subscription</t>
        </is>
      </c>
      <c r="O72" s="27" t="inlineStr">
        <is>
          <t>https://benjamincalloway.com/subscribe</t>
        </is>
      </c>
      <c r="P72" s="27" t="inlineStr">
        <is>
          <t>Missing Video Captions &amp; Retention Clips</t>
        </is>
      </c>
      <c r="Q72" s="27" t="inlineStr">
        <is>
          <t>https://benjamincalloway.com/highlights</t>
        </is>
      </c>
      <c r="R72" s="27" t="inlineStr">
        <is>
          <t>Email</t>
        </is>
      </c>
      <c r="S72" s="27" t="inlineStr">
        <is>
          <t>contact@benjamincalloway.com</t>
        </is>
      </c>
      <c r="T72" s="27" t="inlineStr">
        <is>
          <t>https://benjamincalloway.com/contact</t>
        </is>
      </c>
      <c r="U72" s="27" t="inlineStr">
        <is>
          <t>LinkedIn</t>
        </is>
      </c>
      <c r="V72" s="27" t="inlineStr">
        <is>
          <t>education &amp; applied coding frameworks, specifically regarding episode 19 on Education &amp; Applied Coding workflow optimization</t>
        </is>
      </c>
      <c r="W72" s="27" t="inlineStr">
        <is>
          <t>Hi Benjamin, loved your recent piece on 'education &amp; applied coding frameworks, specifically regarding episode 19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2" s="27" t="inlineStr">
        <is>
          <t>2026-10-18</t>
        </is>
      </c>
      <c r="Y72" s="27" t="inlineStr">
        <is>
          <t>B</t>
        </is>
      </c>
      <c r="Z72" s="27" t="n">
        <v>86.59999999999999</v>
      </c>
      <c r="AA72" s="27" t="inlineStr">
        <is>
          <t>Qualified</t>
        </is>
      </c>
      <c r="AB72" s="27" t="inlineStr"/>
      <c r="AC72" s="28">
        <f>IF(A72="","",IF(COUNTIF($H$5:$H$1004,H72)&gt;1,"DUPLICATE","UNIQUE"))</f>
        <v/>
      </c>
      <c r="AD72" s="28">
        <f>IF(A72="","",IF(AA72="Rejected",IF(AB72&lt;&gt;"","REJECTED","ADD REASON"),IF(AND(B72&lt;&gt;"",C72&lt;&gt;"",D72&lt;&gt;"",E72&lt;&gt;"",F72&lt;&gt;"",G72&lt;&gt;"",H72&lt;&gt;"",J72&lt;&gt;"",K72&lt;&gt;"",N72&lt;&gt;"",O72&lt;&gt;"",P72&lt;&gt;"",Q72&lt;&gt;"",R72&lt;&gt;"",S72&lt;&gt;"",T72&lt;&gt;"",V72&lt;&gt;"",W72&lt;&gt;"",X72&lt;&gt;"",Y72&lt;&gt;""),"COMPLETE","MISSING FIELDS")))</f>
        <v/>
      </c>
    </row>
    <row r="73" ht="15" customHeight="1" s="15">
      <c r="A73" s="27" t="inlineStr">
        <is>
          <t>LEAD-0069</t>
        </is>
      </c>
      <c r="B73" s="27" t="inlineStr">
        <is>
          <t>Benjamin Delaney</t>
        </is>
      </c>
      <c r="C73" s="27" t="inlineStr">
        <is>
          <t>Podcaster</t>
        </is>
      </c>
      <c r="D73" s="27" t="inlineStr">
        <is>
          <t>US</t>
        </is>
      </c>
      <c r="E73" s="27" t="inlineStr">
        <is>
          <t>English</t>
        </is>
      </c>
      <c r="F73" s="27" t="inlineStr">
        <is>
          <t>Apple Podcasts</t>
        </is>
      </c>
      <c r="G73" s="27" t="inlineStr">
        <is>
          <t>https://podcasts.apple.com/us/podcast/benjamindelaney/id1000069</t>
        </is>
      </c>
      <c r="H73" s="27" t="inlineStr">
        <is>
          <t>AP-US-1000069</t>
        </is>
      </c>
      <c r="I73" s="27" t="inlineStr">
        <is>
          <t>240,000</t>
        </is>
      </c>
      <c r="J73" s="27" t="inlineStr">
        <is>
          <t>2026-10-15</t>
        </is>
      </c>
      <c r="K73" s="27" t="inlineStr">
        <is>
          <t>https://benjamindelaney.com/episodes/70</t>
        </is>
      </c>
      <c r="L73" s="27" t="n">
        <v>17</v>
      </c>
      <c r="M73" s="27" t="n">
        <v>31</v>
      </c>
      <c r="N73" s="27" t="inlineStr">
        <is>
          <t>Affiliate</t>
        </is>
      </c>
      <c r="O73" s="27" t="inlineStr">
        <is>
          <t>https://benjamindelaney.com/resources</t>
        </is>
      </c>
      <c r="P73" s="27" t="inlineStr">
        <is>
          <t>Shorts Repurposing Bottleneck</t>
        </is>
      </c>
      <c r="Q73" s="27" t="inlineStr">
        <is>
          <t>https://benjamindelaney.com/highlights</t>
        </is>
      </c>
      <c r="R73" s="27" t="inlineStr">
        <is>
          <t>LinkedIn</t>
        </is>
      </c>
      <c r="S73" s="27" t="inlineStr">
        <is>
          <t>https://linkedin.com/in/benjamindelaney</t>
        </is>
      </c>
      <c r="T73" s="27" t="inlineStr">
        <is>
          <t>https://benjamindelaney.com/about</t>
        </is>
      </c>
      <c r="U73" s="27" t="inlineStr">
        <is>
          <t>Email</t>
        </is>
      </c>
      <c r="V73" s="27" t="inlineStr">
        <is>
          <t>e-commerce &amp; digital brands frameworks, specifically regarding episode 20 on E-Commerce &amp; Digital Brands workflow optimization</t>
        </is>
      </c>
      <c r="W73" s="27" t="inlineStr">
        <is>
          <t>Hi Benjamin, loved your recent piece on 'e-commerce &amp; digital brands frameworks, specifically regarding episode 20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3" s="27" t="inlineStr">
        <is>
          <t>2026-10-18</t>
        </is>
      </c>
      <c r="Y73" s="27" t="inlineStr">
        <is>
          <t>B</t>
        </is>
      </c>
      <c r="Z73" s="27" t="n">
        <v>86.5</v>
      </c>
      <c r="AA73" s="27" t="inlineStr">
        <is>
          <t>Qualified</t>
        </is>
      </c>
      <c r="AB73" s="27" t="inlineStr"/>
      <c r="AC73" s="28">
        <f>IF(A73="","",IF(COUNTIF($H$5:$H$1004,H73)&gt;1,"DUPLICATE","UNIQUE"))</f>
        <v/>
      </c>
      <c r="AD73" s="28">
        <f>IF(A73="","",IF(AA73="Rejected",IF(AB73&lt;&gt;"","REJECTED","ADD REASON"),IF(AND(B73&lt;&gt;"",C73&lt;&gt;"",D73&lt;&gt;"",E73&lt;&gt;"",F73&lt;&gt;"",G73&lt;&gt;"",H73&lt;&gt;"",J73&lt;&gt;"",K73&lt;&gt;"",N73&lt;&gt;"",O73&lt;&gt;"",P73&lt;&gt;"",Q73&lt;&gt;"",R73&lt;&gt;"",S73&lt;&gt;"",T73&lt;&gt;"",V73&lt;&gt;"",W73&lt;&gt;"",X73&lt;&gt;"",Y73&lt;&gt;""),"COMPLETE","MISSING FIELDS")))</f>
        <v/>
      </c>
    </row>
    <row r="74" ht="15" customHeight="1" s="15">
      <c r="A74" s="27" t="inlineStr">
        <is>
          <t>LEAD-0070</t>
        </is>
      </c>
      <c r="B74" s="27" t="inlineStr">
        <is>
          <t>Benjamin Eastwood</t>
        </is>
      </c>
      <c r="C74" s="27" t="inlineStr">
        <is>
          <t>YouTuber</t>
        </is>
      </c>
      <c r="D74" s="27" t="inlineStr">
        <is>
          <t>US</t>
        </is>
      </c>
      <c r="E74" s="27" t="inlineStr">
        <is>
          <t>English</t>
        </is>
      </c>
      <c r="F74" s="27" t="inlineStr">
        <is>
          <t>YouTube</t>
        </is>
      </c>
      <c r="G74" s="27" t="inlineStr">
        <is>
          <t>https://www.youtube.com/@benjamineastwood</t>
        </is>
      </c>
      <c r="H74" s="27" t="inlineStr">
        <is>
          <t>UCUS00070446847</t>
        </is>
      </c>
      <c r="I74" s="27" t="inlineStr">
        <is>
          <t>20,000</t>
        </is>
      </c>
      <c r="J74" s="27" t="inlineStr">
        <is>
          <t>2026-10-16</t>
        </is>
      </c>
      <c r="K74" s="27" t="inlineStr">
        <is>
          <t>https://www.youtube.com/watch?v=us00070</t>
        </is>
      </c>
      <c r="L74" s="27" t="n">
        <v>8</v>
      </c>
      <c r="M74" s="27" t="n">
        <v>32</v>
      </c>
      <c r="N74" s="27" t="inlineStr">
        <is>
          <t>Course</t>
        </is>
      </c>
      <c r="O74" s="27" t="inlineStr">
        <is>
          <t>https://benjamineastwood.com/academy</t>
        </is>
      </c>
      <c r="P74" s="27" t="inlineStr">
        <is>
          <t>Shorts Repurposing Bottleneck</t>
        </is>
      </c>
      <c r="Q74" s="27" t="inlineStr">
        <is>
          <t>https://benjamineastwood.com/highlights</t>
        </is>
      </c>
      <c r="R74" s="27" t="inlineStr">
        <is>
          <t>X (Twitter)</t>
        </is>
      </c>
      <c r="S74" s="27" t="inlineStr">
        <is>
          <t>https://x.com/benjamineastwood</t>
        </is>
      </c>
      <c r="T74" s="27" t="inlineStr">
        <is>
          <t>https://benjamineastwood.com/links</t>
        </is>
      </c>
      <c r="U74" s="27" t="inlineStr">
        <is>
          <t>LinkedIn</t>
        </is>
      </c>
      <c r="V74" s="27" t="inlineStr">
        <is>
          <t>tech &amp; ai frameworks, specifically regarding episode 21 on Tech &amp; AI workflow optimization</t>
        </is>
      </c>
      <c r="W74" s="27" t="inlineStr">
        <is>
          <t>Hi Benjamin, loved your recent piece on 'tech &amp; ai frameworks, specifically regarding episode 21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4" s="27" t="inlineStr">
        <is>
          <t>2026-10-18</t>
        </is>
      </c>
      <c r="Y74" s="27" t="inlineStr">
        <is>
          <t>B</t>
        </is>
      </c>
      <c r="Z74" s="27" t="n">
        <v>86.40000000000001</v>
      </c>
      <c r="AA74" s="27" t="inlineStr">
        <is>
          <t>Qualified</t>
        </is>
      </c>
      <c r="AB74" s="27" t="inlineStr"/>
      <c r="AC74" s="28">
        <f>IF(A74="","",IF(COUNTIF($H$5:$H$1004,H74)&gt;1,"DUPLICATE","UNIQUE"))</f>
        <v/>
      </c>
      <c r="AD74" s="28">
        <f>IF(A74="","",IF(AA74="Rejected",IF(AB74&lt;&gt;"","REJECTED","ADD REASON"),IF(AND(B74&lt;&gt;"",C74&lt;&gt;"",D74&lt;&gt;"",E74&lt;&gt;"",F74&lt;&gt;"",G74&lt;&gt;"",H74&lt;&gt;"",J74&lt;&gt;"",K74&lt;&gt;"",N74&lt;&gt;"",O74&lt;&gt;"",P74&lt;&gt;"",Q74&lt;&gt;"",R74&lt;&gt;"",S74&lt;&gt;"",T74&lt;&gt;"",V74&lt;&gt;"",W74&lt;&gt;"",X74&lt;&gt;"",Y74&lt;&gt;""),"COMPLETE","MISSING FIELDS")))</f>
        <v/>
      </c>
    </row>
    <row r="75" ht="15" customHeight="1" s="15">
      <c r="A75" s="27" t="inlineStr">
        <is>
          <t>LEAD-0071</t>
        </is>
      </c>
      <c r="B75" s="27" t="inlineStr">
        <is>
          <t>Benjamin Fairchild</t>
        </is>
      </c>
      <c r="C75" s="27" t="inlineStr">
        <is>
          <t>Podcaster</t>
        </is>
      </c>
      <c r="D75" s="27" t="inlineStr">
        <is>
          <t>US</t>
        </is>
      </c>
      <c r="E75" s="27" t="inlineStr">
        <is>
          <t>English</t>
        </is>
      </c>
      <c r="F75" s="27" t="inlineStr">
        <is>
          <t>Apple Podcasts</t>
        </is>
      </c>
      <c r="G75" s="27" t="inlineStr">
        <is>
          <t>https://podcasts.apple.com/us/podcast/benjaminfairchild/id1000071</t>
        </is>
      </c>
      <c r="H75" s="27" t="inlineStr">
        <is>
          <t>AP-US-1000071</t>
        </is>
      </c>
      <c r="I75" s="27" t="inlineStr">
        <is>
          <t>264,000</t>
        </is>
      </c>
      <c r="J75" s="27" t="inlineStr">
        <is>
          <t>2026-10-17</t>
        </is>
      </c>
      <c r="K75" s="27" t="inlineStr">
        <is>
          <t>https://benjaminfairchild.com/episodes/72</t>
        </is>
      </c>
      <c r="L75" s="27" t="n">
        <v>9</v>
      </c>
      <c r="M75" s="27" t="n">
        <v>33</v>
      </c>
      <c r="N75" s="27" t="inlineStr">
        <is>
          <t>Sponsor</t>
        </is>
      </c>
      <c r="O75" s="27" t="inlineStr">
        <is>
          <t>https://benjaminfairchild.com/partners</t>
        </is>
      </c>
      <c r="P75" s="27" t="inlineStr">
        <is>
          <t>Missing Video Captions &amp; Retention Clips</t>
        </is>
      </c>
      <c r="Q75" s="27" t="inlineStr">
        <is>
          <t>https://benjaminfairchild.com/highlights</t>
        </is>
      </c>
      <c r="R75" s="27" t="inlineStr">
        <is>
          <t>Email</t>
        </is>
      </c>
      <c r="S75" s="27" t="inlineStr">
        <is>
          <t>hello@benjaminfairchild.com</t>
        </is>
      </c>
      <c r="T75" s="27" t="inlineStr">
        <is>
          <t>https://benjaminfairchild.com/work-with-me</t>
        </is>
      </c>
      <c r="U75" s="27" t="inlineStr">
        <is>
          <t>LinkedIn</t>
        </is>
      </c>
      <c r="V75" s="27" t="inlineStr">
        <is>
          <t>saas &amp; product growth frameworks, specifically regarding episode 22 on SaaS &amp; Product Growth workflow optimization</t>
        </is>
      </c>
      <c r="W75" s="27" t="inlineStr">
        <is>
          <t>Hi Benjamin, loved your recent piece on 'saas &amp; product growth frameworks, specifically regarding episode 22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5" s="27" t="inlineStr">
        <is>
          <t>2026-10-18</t>
        </is>
      </c>
      <c r="Y75" s="27" t="inlineStr">
        <is>
          <t>B</t>
        </is>
      </c>
      <c r="Z75" s="27" t="n">
        <v>86.3</v>
      </c>
      <c r="AA75" s="27" t="inlineStr">
        <is>
          <t>Qualified</t>
        </is>
      </c>
      <c r="AB75" s="27" t="inlineStr"/>
      <c r="AC75" s="28">
        <f>IF(A75="","",IF(COUNTIF($H$5:$H$1004,H75)&gt;1,"DUPLICATE","UNIQUE"))</f>
        <v/>
      </c>
      <c r="AD75" s="28">
        <f>IF(A75="","",IF(AA75="Rejected",IF(AB75&lt;&gt;"","REJECTED","ADD REASON"),IF(AND(B75&lt;&gt;"",C75&lt;&gt;"",D75&lt;&gt;"",E75&lt;&gt;"",F75&lt;&gt;"",G75&lt;&gt;"",H75&lt;&gt;"",J75&lt;&gt;"",K75&lt;&gt;"",N75&lt;&gt;"",O75&lt;&gt;"",P75&lt;&gt;"",Q75&lt;&gt;"",R75&lt;&gt;"",S75&lt;&gt;"",T75&lt;&gt;"",V75&lt;&gt;"",W75&lt;&gt;"",X75&lt;&gt;"",Y75&lt;&gt;""),"COMPLETE","MISSING FIELDS")))</f>
        <v/>
      </c>
    </row>
    <row r="76" ht="15" customHeight="1" s="15">
      <c r="A76" s="27" t="inlineStr">
        <is>
          <t>LEAD-0072</t>
        </is>
      </c>
      <c r="B76" s="27" t="inlineStr">
        <is>
          <t>Benjamin Gallagher</t>
        </is>
      </c>
      <c r="C76" s="27" t="inlineStr">
        <is>
          <t>Expert-Led Creator</t>
        </is>
      </c>
      <c r="D76" s="27" t="inlineStr">
        <is>
          <t>US</t>
        </is>
      </c>
      <c r="E76" s="27" t="inlineStr">
        <is>
          <t>English</t>
        </is>
      </c>
      <c r="F76" s="27" t="inlineStr">
        <is>
          <t>YouTube</t>
        </is>
      </c>
      <c r="G76" s="27" t="inlineStr">
        <is>
          <t>https://www.youtube.com/@benjamingallagher</t>
        </is>
      </c>
      <c r="H76" s="27" t="inlineStr">
        <is>
          <t>UCUS00072460979</t>
        </is>
      </c>
      <c r="I76" s="27" t="inlineStr">
        <is>
          <t>60,000</t>
        </is>
      </c>
      <c r="J76" s="27" t="inlineStr">
        <is>
          <t>2026-10-10</t>
        </is>
      </c>
      <c r="K76" s="27" t="inlineStr">
        <is>
          <t>https://www.youtube.com/watch?v=us00072</t>
        </is>
      </c>
      <c r="L76" s="27" t="n">
        <v>10</v>
      </c>
      <c r="M76" s="27" t="n">
        <v>16</v>
      </c>
      <c r="N76" s="27" t="inlineStr">
        <is>
          <t>Membership</t>
        </is>
      </c>
      <c r="O76" s="27" t="inlineStr">
        <is>
          <t>https://benjamingallagher.com/community</t>
        </is>
      </c>
      <c r="P76" s="27" t="inlineStr">
        <is>
          <t>Editing Backlog &amp; Team Workflow Overhead</t>
        </is>
      </c>
      <c r="Q76" s="27" t="inlineStr">
        <is>
          <t>https://benjamingallagher.com/highlights</t>
        </is>
      </c>
      <c r="R76" s="27" t="inlineStr">
        <is>
          <t>Email</t>
        </is>
      </c>
      <c r="S76" s="27" t="inlineStr">
        <is>
          <t>contact@benjamingallagher.com</t>
        </is>
      </c>
      <c r="T76" s="27" t="inlineStr">
        <is>
          <t>https://benjamingallagher.com/contact</t>
        </is>
      </c>
      <c r="U76" s="27" t="inlineStr">
        <is>
          <t>LinkedIn</t>
        </is>
      </c>
      <c r="V76" s="27" t="inlineStr">
        <is>
          <t>creator business &amp; monetization frameworks, specifically regarding episode 23 on Creator Business &amp; Monetization workflow optimization</t>
        </is>
      </c>
      <c r="W76" s="27" t="inlineStr">
        <is>
          <t>Hi Benjamin, loved your recent piece on 'creator business &amp; monetization frameworks, specifically regarding episode 23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6" s="27" t="inlineStr">
        <is>
          <t>2026-10-18</t>
        </is>
      </c>
      <c r="Y76" s="27" t="inlineStr">
        <is>
          <t>B</t>
        </is>
      </c>
      <c r="Z76" s="27" t="n">
        <v>86.2</v>
      </c>
      <c r="AA76" s="27" t="inlineStr">
        <is>
          <t>Qualified</t>
        </is>
      </c>
      <c r="AB76" s="27" t="inlineStr"/>
      <c r="AC76" s="28">
        <f>IF(A76="","",IF(COUNTIF($H$5:$H$1004,H76)&gt;1,"DUPLICATE","UNIQUE"))</f>
        <v/>
      </c>
      <c r="AD76" s="28">
        <f>IF(A76="","",IF(AA76="Rejected",IF(AB76&lt;&gt;"","REJECTED","ADD REASON"),IF(AND(B76&lt;&gt;"",C76&lt;&gt;"",D76&lt;&gt;"",E76&lt;&gt;"",F76&lt;&gt;"",G76&lt;&gt;"",H76&lt;&gt;"",J76&lt;&gt;"",K76&lt;&gt;"",N76&lt;&gt;"",O76&lt;&gt;"",P76&lt;&gt;"",Q76&lt;&gt;"",R76&lt;&gt;"",S76&lt;&gt;"",T76&lt;&gt;"",V76&lt;&gt;"",W76&lt;&gt;"",X76&lt;&gt;"",Y76&lt;&gt;""),"COMPLETE","MISSING FIELDS")))</f>
        <v/>
      </c>
    </row>
    <row r="77" ht="15" customHeight="1" s="15">
      <c r="A77" s="27" t="inlineStr">
        <is>
          <t>LEAD-0073</t>
        </is>
      </c>
      <c r="B77" s="27" t="inlineStr">
        <is>
          <t>Benjamin Hawthorne</t>
        </is>
      </c>
      <c r="C77" s="27" t="inlineStr">
        <is>
          <t>YouTuber</t>
        </is>
      </c>
      <c r="D77" s="27" t="inlineStr">
        <is>
          <t>US</t>
        </is>
      </c>
      <c r="E77" s="27" t="inlineStr">
        <is>
          <t>English</t>
        </is>
      </c>
      <c r="F77" s="27" t="inlineStr">
        <is>
          <t>YouTube</t>
        </is>
      </c>
      <c r="G77" s="27" t="inlineStr">
        <is>
          <t>https://www.youtube.com/@benjaminhawthorne</t>
        </is>
      </c>
      <c r="H77" s="27" t="inlineStr">
        <is>
          <t>UCUS00073849307</t>
        </is>
      </c>
      <c r="I77" s="27" t="inlineStr">
        <is>
          <t>80,000</t>
        </is>
      </c>
      <c r="J77" s="27" t="inlineStr">
        <is>
          <t>2026-10-11</t>
        </is>
      </c>
      <c r="K77" s="27" t="inlineStr">
        <is>
          <t>https://www.youtube.com/watch?v=us00073</t>
        </is>
      </c>
      <c r="L77" s="27" t="n">
        <v>11</v>
      </c>
      <c r="M77" s="27" t="n">
        <v>17</v>
      </c>
      <c r="N77" s="27" t="inlineStr">
        <is>
          <t>Product</t>
        </is>
      </c>
      <c r="O77" s="27" t="inlineStr">
        <is>
          <t>https://benjaminhawthorne.com/shop</t>
        </is>
      </c>
      <c r="P77" s="27" t="inlineStr">
        <is>
          <t>Shorts Repurposing Bottleneck</t>
        </is>
      </c>
      <c r="Q77" s="27" t="inlineStr">
        <is>
          <t>https://benjaminhawthorne.com/highlights</t>
        </is>
      </c>
      <c r="R77" s="27" t="inlineStr">
        <is>
          <t>LinkedIn</t>
        </is>
      </c>
      <c r="S77" s="27" t="inlineStr">
        <is>
          <t>https://linkedin.com/in/benjaminhawthorne</t>
        </is>
      </c>
      <c r="T77" s="27" t="inlineStr">
        <is>
          <t>https://benjaminhawthorne.com/about</t>
        </is>
      </c>
      <c r="U77" s="27" t="inlineStr">
        <is>
          <t>Email</t>
        </is>
      </c>
      <c r="V77" s="27" t="inlineStr">
        <is>
          <t>productivity &amp; personal systems frameworks, specifically regarding episode 24 on Productivity &amp; Personal Systems workflow optimization</t>
        </is>
      </c>
      <c r="W77" s="27" t="inlineStr">
        <is>
          <t>Hi Benjamin, loved your recent piece on 'productivity &amp; personal systems frameworks, specifically regarding episode 24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7" s="27" t="inlineStr">
        <is>
          <t>2026-10-18</t>
        </is>
      </c>
      <c r="Y77" s="27" t="inlineStr">
        <is>
          <t>B</t>
        </is>
      </c>
      <c r="Z77" s="27" t="n">
        <v>86.2</v>
      </c>
      <c r="AA77" s="27" t="inlineStr">
        <is>
          <t>Qualified</t>
        </is>
      </c>
      <c r="AB77" s="27" t="inlineStr"/>
      <c r="AC77" s="28">
        <f>IF(A77="","",IF(COUNTIF($H$5:$H$1004,H77)&gt;1,"DUPLICATE","UNIQUE"))</f>
        <v/>
      </c>
      <c r="AD77" s="28">
        <f>IF(A77="","",IF(AA77="Rejected",IF(AB77&lt;&gt;"","REJECTED","ADD REASON"),IF(AND(B77&lt;&gt;"",C77&lt;&gt;"",D77&lt;&gt;"",E77&lt;&gt;"",F77&lt;&gt;"",G77&lt;&gt;"",H77&lt;&gt;"",J77&lt;&gt;"",K77&lt;&gt;"",N77&lt;&gt;"",O77&lt;&gt;"",P77&lt;&gt;"",Q77&lt;&gt;"",R77&lt;&gt;"",S77&lt;&gt;"",T77&lt;&gt;"",V77&lt;&gt;"",W77&lt;&gt;"",X77&lt;&gt;"",Y77&lt;&gt;""),"COMPLETE","MISSING FIELDS")))</f>
        <v/>
      </c>
    </row>
    <row r="78" ht="15" customHeight="1" s="15">
      <c r="A78" s="27" t="inlineStr">
        <is>
          <t>LEAD-0074</t>
        </is>
      </c>
      <c r="B78" s="27" t="inlineStr">
        <is>
          <t>Benjamin Ingram</t>
        </is>
      </c>
      <c r="C78" s="27" t="inlineStr">
        <is>
          <t>Podcaster</t>
        </is>
      </c>
      <c r="D78" s="27" t="inlineStr">
        <is>
          <t>US</t>
        </is>
      </c>
      <c r="E78" s="27" t="inlineStr">
        <is>
          <t>English</t>
        </is>
      </c>
      <c r="F78" s="27" t="inlineStr">
        <is>
          <t>Apple Podcasts</t>
        </is>
      </c>
      <c r="G78" s="27" t="inlineStr">
        <is>
          <t>https://podcasts.apple.com/us/podcast/benjaminingram/id1000074</t>
        </is>
      </c>
      <c r="H78" s="27" t="inlineStr">
        <is>
          <t>AP-US-1000074</t>
        </is>
      </c>
      <c r="I78" s="27" t="inlineStr">
        <is>
          <t>300,000</t>
        </is>
      </c>
      <c r="J78" s="27" t="inlineStr">
        <is>
          <t>2026-10-12</t>
        </is>
      </c>
      <c r="K78" s="27" t="inlineStr">
        <is>
          <t>https://benjaminingram.com/episodes/75</t>
        </is>
      </c>
      <c r="L78" s="27" t="n">
        <v>12</v>
      </c>
      <c r="M78" s="27" t="n">
        <v>18</v>
      </c>
      <c r="N78" s="27" t="inlineStr">
        <is>
          <t>Consulting</t>
        </is>
      </c>
      <c r="O78" s="27" t="inlineStr">
        <is>
          <t>https://benjaminingram.com/advisory</t>
        </is>
      </c>
      <c r="P78" s="27" t="inlineStr">
        <is>
          <t>Inconsistent Cross-Platform Publishing</t>
        </is>
      </c>
      <c r="Q78" s="27" t="inlineStr">
        <is>
          <t>https://benjaminingram.com/highlights</t>
        </is>
      </c>
      <c r="R78" s="27" t="inlineStr">
        <is>
          <t>X (Twitter)</t>
        </is>
      </c>
      <c r="S78" s="27" t="inlineStr">
        <is>
          <t>https://x.com/benjaminingram</t>
        </is>
      </c>
      <c r="T78" s="27" t="inlineStr">
        <is>
          <t>https://benjaminingram.com/links</t>
        </is>
      </c>
      <c r="U78" s="27" t="inlineStr">
        <is>
          <t>LinkedIn</t>
        </is>
      </c>
      <c r="V78" s="27" t="inlineStr">
        <is>
          <t>leadership &amp; team ops frameworks, specifically regarding episode 25 on Leadership &amp; Team Ops workflow optimization</t>
        </is>
      </c>
      <c r="W78" s="27" t="inlineStr">
        <is>
          <t>Hi Benjamin, loved your recent piece on 'leadership &amp; team ops frameworks, specifically regarding episode 25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8" s="27" t="inlineStr">
        <is>
          <t>2026-10-18</t>
        </is>
      </c>
      <c r="Y78" s="27" t="inlineStr">
        <is>
          <t>B</t>
        </is>
      </c>
      <c r="Z78" s="27" t="n">
        <v>86.09999999999999</v>
      </c>
      <c r="AA78" s="27" t="inlineStr">
        <is>
          <t>Qualified</t>
        </is>
      </c>
      <c r="AB78" s="27" t="inlineStr"/>
      <c r="AC78" s="28">
        <f>IF(A78="","",IF(COUNTIF($H$5:$H$1004,H78)&gt;1,"DUPLICATE","UNIQUE"))</f>
        <v/>
      </c>
      <c r="AD78" s="28">
        <f>IF(A78="","",IF(AA78="Rejected",IF(AB78&lt;&gt;"","REJECTED","ADD REASON"),IF(AND(B78&lt;&gt;"",C78&lt;&gt;"",D78&lt;&gt;"",E78&lt;&gt;"",F78&lt;&gt;"",G78&lt;&gt;"",H78&lt;&gt;"",J78&lt;&gt;"",K78&lt;&gt;"",N78&lt;&gt;"",O78&lt;&gt;"",P78&lt;&gt;"",Q78&lt;&gt;"",R78&lt;&gt;"",S78&lt;&gt;"",T78&lt;&gt;"",V78&lt;&gt;"",W78&lt;&gt;"",X78&lt;&gt;"",Y78&lt;&gt;""),"COMPLETE","MISSING FIELDS")))</f>
        <v/>
      </c>
    </row>
    <row r="79" ht="15" customHeight="1" s="15">
      <c r="A79" s="27" t="inlineStr">
        <is>
          <t>LEAD-0075</t>
        </is>
      </c>
      <c r="B79" s="27" t="inlineStr">
        <is>
          <t>Benjamin Jennings</t>
        </is>
      </c>
      <c r="C79" s="27" t="inlineStr">
        <is>
          <t>Expert-Led Creator</t>
        </is>
      </c>
      <c r="D79" s="27" t="inlineStr">
        <is>
          <t>US</t>
        </is>
      </c>
      <c r="E79" s="27" t="inlineStr">
        <is>
          <t>English</t>
        </is>
      </c>
      <c r="F79" s="27" t="inlineStr">
        <is>
          <t>LinkedIn</t>
        </is>
      </c>
      <c r="G79" s="27" t="inlineStr">
        <is>
          <t>https://www.linkedin.com/in/benjaminjennings</t>
        </is>
      </c>
      <c r="H79" s="27" t="inlineStr">
        <is>
          <t>LI-benjaminjennings-0075</t>
        </is>
      </c>
      <c r="I79" s="27" t="inlineStr">
        <is>
          <t>96,000</t>
        </is>
      </c>
      <c r="J79" s="27" t="inlineStr">
        <is>
          <t>2026-10-13</t>
        </is>
      </c>
      <c r="K79" s="27" t="inlineStr">
        <is>
          <t>https://benjaminjennings.com/posts/76</t>
        </is>
      </c>
      <c r="L79" s="27" t="n">
        <v>13</v>
      </c>
      <c r="M79" s="27" t="n">
        <v>19</v>
      </c>
      <c r="N79" s="27" t="inlineStr">
        <is>
          <t>Newsletter Subscription</t>
        </is>
      </c>
      <c r="O79" s="27" t="inlineStr">
        <is>
          <t>https://benjaminjennings.com/subscribe</t>
        </is>
      </c>
      <c r="P79" s="27" t="inlineStr">
        <is>
          <t>Editing Backlog &amp; Team Workflow Overhead</t>
        </is>
      </c>
      <c r="Q79" s="27" t="inlineStr">
        <is>
          <t>https://benjaminjennings.com/highlights</t>
        </is>
      </c>
      <c r="R79" s="27" t="inlineStr">
        <is>
          <t>Email</t>
        </is>
      </c>
      <c r="S79" s="27" t="inlineStr">
        <is>
          <t>hello@benjaminjennings.com</t>
        </is>
      </c>
      <c r="T79" s="27" t="inlineStr">
        <is>
          <t>https://benjaminjennings.com/work-with-me</t>
        </is>
      </c>
      <c r="U79" s="27" t="inlineStr">
        <is>
          <t>LinkedIn</t>
        </is>
      </c>
      <c r="V79" s="27" t="inlineStr">
        <is>
          <t>b2b marketing &amp; sales frameworks, specifically regarding episode 26 on B2B Marketing &amp; Sales workflow optimization</t>
        </is>
      </c>
      <c r="W79" s="27" t="inlineStr">
        <is>
          <t>Hi Benjamin, loved your recent piece on 'b2b marketing &amp; sales frameworks, specifically regarding episode 26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9" s="27" t="inlineStr">
        <is>
          <t>2026-10-18</t>
        </is>
      </c>
      <c r="Y79" s="27" t="inlineStr">
        <is>
          <t>B</t>
        </is>
      </c>
      <c r="Z79" s="27" t="n">
        <v>86</v>
      </c>
      <c r="AA79" s="27" t="inlineStr">
        <is>
          <t>Qualified</t>
        </is>
      </c>
      <c r="AB79" s="27" t="inlineStr"/>
      <c r="AC79" s="28">
        <f>IF(A79="","",IF(COUNTIF($H$5:$H$1004,H79)&gt;1,"DUPLICATE","UNIQUE"))</f>
        <v/>
      </c>
      <c r="AD79" s="28">
        <f>IF(A79="","",IF(AA79="Rejected",IF(AB79&lt;&gt;"","REJECTED","ADD REASON"),IF(AND(B79&lt;&gt;"",C79&lt;&gt;"",D79&lt;&gt;"",E79&lt;&gt;"",F79&lt;&gt;"",G79&lt;&gt;"",H79&lt;&gt;"",J79&lt;&gt;"",K79&lt;&gt;"",N79&lt;&gt;"",O79&lt;&gt;"",P79&lt;&gt;"",Q79&lt;&gt;"",R79&lt;&gt;"",S79&lt;&gt;"",T79&lt;&gt;"",V79&lt;&gt;"",W79&lt;&gt;"",X79&lt;&gt;"",Y79&lt;&gt;""),"COMPLETE","MISSING FIELDS")))</f>
        <v/>
      </c>
    </row>
    <row r="80" ht="15" customHeight="1" s="15">
      <c r="A80" s="27" t="inlineStr">
        <is>
          <t>LEAD-0076</t>
        </is>
      </c>
      <c r="B80" s="27" t="inlineStr">
        <is>
          <t>Benjamin Kingsley</t>
        </is>
      </c>
      <c r="C80" s="27" t="inlineStr">
        <is>
          <t>YouTuber</t>
        </is>
      </c>
      <c r="D80" s="27" t="inlineStr">
        <is>
          <t>US</t>
        </is>
      </c>
      <c r="E80" s="27" t="inlineStr">
        <is>
          <t>English</t>
        </is>
      </c>
      <c r="F80" s="27" t="inlineStr">
        <is>
          <t>YouTube</t>
        </is>
      </c>
      <c r="G80" s="27" t="inlineStr">
        <is>
          <t>https://www.youtube.com/@benjaminkingsley</t>
        </is>
      </c>
      <c r="H80" s="27" t="inlineStr">
        <is>
          <t>UCUS00076812885</t>
        </is>
      </c>
      <c r="I80" s="27" t="inlineStr">
        <is>
          <t>140,000</t>
        </is>
      </c>
      <c r="J80" s="27" t="inlineStr">
        <is>
          <t>2026-10-14</t>
        </is>
      </c>
      <c r="K80" s="27" t="inlineStr">
        <is>
          <t>https://www.youtube.com/watch?v=us00076</t>
        </is>
      </c>
      <c r="L80" s="27" t="n">
        <v>14</v>
      </c>
      <c r="M80" s="27" t="n">
        <v>20</v>
      </c>
      <c r="N80" s="27" t="inlineStr">
        <is>
          <t>Affiliate</t>
        </is>
      </c>
      <c r="O80" s="27" t="inlineStr">
        <is>
          <t>https://benjaminkingsley.com/resources</t>
        </is>
      </c>
      <c r="P80" s="27" t="inlineStr">
        <is>
          <t>Multilingual Audio Dubbing</t>
        </is>
      </c>
      <c r="Q80" s="27" t="inlineStr">
        <is>
          <t>https://benjaminkingsley.com/highlights</t>
        </is>
      </c>
      <c r="R80" s="27" t="inlineStr">
        <is>
          <t>Email</t>
        </is>
      </c>
      <c r="S80" s="27" t="inlineStr">
        <is>
          <t>contact@benjaminkingsley.com</t>
        </is>
      </c>
      <c r="T80" s="27" t="inlineStr">
        <is>
          <t>https://benjaminkingsley.com/contact</t>
        </is>
      </c>
      <c r="U80" s="27" t="inlineStr">
        <is>
          <t>LinkedIn</t>
        </is>
      </c>
      <c r="V80" s="27" t="inlineStr">
        <is>
          <t>finance &amp; wealth engineering frameworks, specifically regarding episode 27 on Finance &amp; Wealth Engineering workflow optimization</t>
        </is>
      </c>
      <c r="W80" s="27" t="inlineStr">
        <is>
          <t>Hi Benjamin,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0" s="27" t="inlineStr">
        <is>
          <t>2026-10-18</t>
        </is>
      </c>
      <c r="Y80" s="27" t="inlineStr">
        <is>
          <t>B</t>
        </is>
      </c>
      <c r="Z80" s="27" t="n">
        <v>85.90000000000001</v>
      </c>
      <c r="AA80" s="27" t="inlineStr">
        <is>
          <t>Qualified</t>
        </is>
      </c>
      <c r="AB80" s="27" t="inlineStr"/>
      <c r="AC80" s="28">
        <f>IF(A80="","",IF(COUNTIF($H$5:$H$1004,H80)&gt;1,"DUPLICATE","UNIQUE"))</f>
        <v/>
      </c>
      <c r="AD80" s="28">
        <f>IF(A80="","",IF(AA80="Rejected",IF(AB80&lt;&gt;"","REJECTED","ADD REASON"),IF(AND(B80&lt;&gt;"",C80&lt;&gt;"",D80&lt;&gt;"",E80&lt;&gt;"",F80&lt;&gt;"",G80&lt;&gt;"",H80&lt;&gt;"",J80&lt;&gt;"",K80&lt;&gt;"",N80&lt;&gt;"",O80&lt;&gt;"",P80&lt;&gt;"",Q80&lt;&gt;"",R80&lt;&gt;"",S80&lt;&gt;"",T80&lt;&gt;"",V80&lt;&gt;"",W80&lt;&gt;"",X80&lt;&gt;"",Y80&lt;&gt;""),"COMPLETE","MISSING FIELDS")))</f>
        <v/>
      </c>
    </row>
    <row r="81" ht="15" customHeight="1" s="15">
      <c r="A81" s="27" t="inlineStr">
        <is>
          <t>LEAD-0077</t>
        </is>
      </c>
      <c r="B81" s="27" t="inlineStr">
        <is>
          <t>Benjamin Lockwood</t>
        </is>
      </c>
      <c r="C81" s="27" t="inlineStr">
        <is>
          <t>Podcaster</t>
        </is>
      </c>
      <c r="D81" s="27" t="inlineStr">
        <is>
          <t>US</t>
        </is>
      </c>
      <c r="E81" s="27" t="inlineStr">
        <is>
          <t>English</t>
        </is>
      </c>
      <c r="F81" s="27" t="inlineStr">
        <is>
          <t>Apple Podcasts</t>
        </is>
      </c>
      <c r="G81" s="27" t="inlineStr">
        <is>
          <t>https://podcasts.apple.com/us/podcast/benjaminlockwood/id1000077</t>
        </is>
      </c>
      <c r="H81" s="27" t="inlineStr">
        <is>
          <t>AP-US-1000077</t>
        </is>
      </c>
      <c r="I81" s="27" t="inlineStr">
        <is>
          <t>36,000</t>
        </is>
      </c>
      <c r="J81" s="27" t="inlineStr">
        <is>
          <t>2026-10-15</t>
        </is>
      </c>
      <c r="K81" s="27" t="inlineStr">
        <is>
          <t>https://benjaminlockwood.com/episodes/78</t>
        </is>
      </c>
      <c r="L81" s="27" t="n">
        <v>15</v>
      </c>
      <c r="M81" s="27" t="n">
        <v>21</v>
      </c>
      <c r="N81" s="27" t="inlineStr">
        <is>
          <t>Course</t>
        </is>
      </c>
      <c r="O81" s="27" t="inlineStr">
        <is>
          <t>https://benjaminlockwood.com/academy</t>
        </is>
      </c>
      <c r="P81" s="27" t="inlineStr">
        <is>
          <t>Multilingual Audio Dubbing</t>
        </is>
      </c>
      <c r="Q81" s="27" t="inlineStr">
        <is>
          <t>https://benjaminlockwood.com/highlights</t>
        </is>
      </c>
      <c r="R81" s="27" t="inlineStr">
        <is>
          <t>LinkedIn</t>
        </is>
      </c>
      <c r="S81" s="27" t="inlineStr">
        <is>
          <t>https://linkedin.com/in/benjaminlockwood</t>
        </is>
      </c>
      <c r="T81" s="27" t="inlineStr">
        <is>
          <t>https://benjaminlockwood.com/about</t>
        </is>
      </c>
      <c r="U81" s="27" t="inlineStr">
        <is>
          <t>Email</t>
        </is>
      </c>
      <c r="V81" s="27" t="inlineStr">
        <is>
          <t>health &amp; longevity science frameworks, specifically regarding episode 28 on Health &amp; Longevity Science workflow optimization</t>
        </is>
      </c>
      <c r="W81" s="27" t="inlineStr">
        <is>
          <t>Hi Benjamin,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1" s="27" t="inlineStr">
        <is>
          <t>2026-10-18</t>
        </is>
      </c>
      <c r="Y81" s="27" t="inlineStr">
        <is>
          <t>B</t>
        </is>
      </c>
      <c r="Z81" s="27" t="n">
        <v>85.8</v>
      </c>
      <c r="AA81" s="27" t="inlineStr">
        <is>
          <t>Qualified</t>
        </is>
      </c>
      <c r="AB81" s="27" t="inlineStr"/>
      <c r="AC81" s="28">
        <f>IF(A81="","",IF(COUNTIF($H$5:$H$1004,H81)&gt;1,"DUPLICATE","UNIQUE"))</f>
        <v/>
      </c>
      <c r="AD81" s="28">
        <f>IF(A81="","",IF(AA81="Rejected",IF(AB81&lt;&gt;"","REJECTED","ADD REASON"),IF(AND(B81&lt;&gt;"",C81&lt;&gt;"",D81&lt;&gt;"",E81&lt;&gt;"",F81&lt;&gt;"",G81&lt;&gt;"",H81&lt;&gt;"",J81&lt;&gt;"",K81&lt;&gt;"",N81&lt;&gt;"",O81&lt;&gt;"",P81&lt;&gt;"",Q81&lt;&gt;"",R81&lt;&gt;"",S81&lt;&gt;"",T81&lt;&gt;"",V81&lt;&gt;"",W81&lt;&gt;"",X81&lt;&gt;"",Y81&lt;&gt;""),"COMPLETE","MISSING FIELDS")))</f>
        <v/>
      </c>
    </row>
    <row r="82" ht="15" customHeight="1" s="15">
      <c r="A82" s="27" t="inlineStr">
        <is>
          <t>LEAD-0078</t>
        </is>
      </c>
      <c r="B82" s="27" t="inlineStr">
        <is>
          <t>Benjamin Montague</t>
        </is>
      </c>
      <c r="C82" s="27" t="inlineStr">
        <is>
          <t>YouTuber</t>
        </is>
      </c>
      <c r="D82" s="27" t="inlineStr">
        <is>
          <t>US</t>
        </is>
      </c>
      <c r="E82" s="27" t="inlineStr">
        <is>
          <t>English</t>
        </is>
      </c>
      <c r="F82" s="27" t="inlineStr">
        <is>
          <t>YouTube</t>
        </is>
      </c>
      <c r="G82" s="27" t="inlineStr">
        <is>
          <t>https://www.youtube.com/@benjaminmontague</t>
        </is>
      </c>
      <c r="H82" s="27" t="inlineStr">
        <is>
          <t>UCUS00078694045</t>
        </is>
      </c>
      <c r="I82" s="27" t="inlineStr">
        <is>
          <t>180,000</t>
        </is>
      </c>
      <c r="J82" s="27" t="inlineStr">
        <is>
          <t>2026-10-16</t>
        </is>
      </c>
      <c r="K82" s="27" t="inlineStr">
        <is>
          <t>https://www.youtube.com/watch?v=us00078</t>
        </is>
      </c>
      <c r="L82" s="27" t="n">
        <v>16</v>
      </c>
      <c r="M82" s="27" t="n">
        <v>22</v>
      </c>
      <c r="N82" s="27" t="inlineStr">
        <is>
          <t>Sponsor</t>
        </is>
      </c>
      <c r="O82" s="27" t="inlineStr">
        <is>
          <t>https://benjaminmontague.com/partners</t>
        </is>
      </c>
      <c r="P82" s="27" t="inlineStr">
        <is>
          <t>Missing Video Captions &amp; Retention Clips</t>
        </is>
      </c>
      <c r="Q82" s="27" t="inlineStr">
        <is>
          <t>https://benjaminmontague.com/highlights</t>
        </is>
      </c>
      <c r="R82" s="27" t="inlineStr">
        <is>
          <t>X (Twitter)</t>
        </is>
      </c>
      <c r="S82" s="27" t="inlineStr">
        <is>
          <t>https://x.com/benjaminmontague</t>
        </is>
      </c>
      <c r="T82" s="27" t="inlineStr">
        <is>
          <t>https://benjaminmontague.com/links</t>
        </is>
      </c>
      <c r="U82" s="27" t="inlineStr">
        <is>
          <t>LinkedIn</t>
        </is>
      </c>
      <c r="V82" s="27" t="inlineStr">
        <is>
          <t>education &amp; applied coding frameworks, specifically regarding episode 29 on Education &amp; Applied Coding workflow optimization</t>
        </is>
      </c>
      <c r="W82" s="27" t="inlineStr">
        <is>
          <t>Hi Benjamin,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2" s="27" t="inlineStr">
        <is>
          <t>2026-10-18</t>
        </is>
      </c>
      <c r="Y82" s="27" t="inlineStr">
        <is>
          <t>B</t>
        </is>
      </c>
      <c r="Z82" s="27" t="n">
        <v>85.8</v>
      </c>
      <c r="AA82" s="27" t="inlineStr">
        <is>
          <t>Qualified</t>
        </is>
      </c>
      <c r="AB82" s="27" t="inlineStr"/>
      <c r="AC82" s="28">
        <f>IF(A82="","",IF(COUNTIF($H$5:$H$1004,H82)&gt;1,"DUPLICATE","UNIQUE"))</f>
        <v/>
      </c>
      <c r="AD82" s="28">
        <f>IF(A82="","",IF(AA82="Rejected",IF(AB82&lt;&gt;"","REJECTED","ADD REASON"),IF(AND(B82&lt;&gt;"",C82&lt;&gt;"",D82&lt;&gt;"",E82&lt;&gt;"",F82&lt;&gt;"",G82&lt;&gt;"",H82&lt;&gt;"",J82&lt;&gt;"",K82&lt;&gt;"",N82&lt;&gt;"",O82&lt;&gt;"",P82&lt;&gt;"",Q82&lt;&gt;"",R82&lt;&gt;"",S82&lt;&gt;"",T82&lt;&gt;"",V82&lt;&gt;"",W82&lt;&gt;"",X82&lt;&gt;"",Y82&lt;&gt;""),"COMPLETE","MISSING FIELDS")))</f>
        <v/>
      </c>
    </row>
    <row r="83" ht="15" customHeight="1" s="15">
      <c r="A83" s="27" t="inlineStr">
        <is>
          <t>LEAD-0079</t>
        </is>
      </c>
      <c r="B83" s="27" t="inlineStr">
        <is>
          <t>Benjamin Northwood</t>
        </is>
      </c>
      <c r="C83" s="27" t="inlineStr">
        <is>
          <t>Podcaster</t>
        </is>
      </c>
      <c r="D83" s="27" t="inlineStr">
        <is>
          <t>US</t>
        </is>
      </c>
      <c r="E83" s="27" t="inlineStr">
        <is>
          <t>English</t>
        </is>
      </c>
      <c r="F83" s="27" t="inlineStr">
        <is>
          <t>Apple Podcasts</t>
        </is>
      </c>
      <c r="G83" s="27" t="inlineStr">
        <is>
          <t>https://podcasts.apple.com/us/podcast/benjaminnorthwood/id1000079</t>
        </is>
      </c>
      <c r="H83" s="27" t="inlineStr">
        <is>
          <t>AP-US-1000079</t>
        </is>
      </c>
      <c r="I83" s="27" t="inlineStr">
        <is>
          <t>60,000</t>
        </is>
      </c>
      <c r="J83" s="27" t="inlineStr">
        <is>
          <t>2026-10-17</t>
        </is>
      </c>
      <c r="K83" s="27" t="inlineStr">
        <is>
          <t>https://benjaminnorthwood.com/episodes/80</t>
        </is>
      </c>
      <c r="L83" s="27" t="n">
        <v>17</v>
      </c>
      <c r="M83" s="27" t="n">
        <v>23</v>
      </c>
      <c r="N83" s="27" t="inlineStr">
        <is>
          <t>Membership</t>
        </is>
      </c>
      <c r="O83" s="27" t="inlineStr">
        <is>
          <t>https://benjaminnorthwood.com/community</t>
        </is>
      </c>
      <c r="P83" s="27" t="inlineStr">
        <is>
          <t>Shorts Repurposing Bottleneck</t>
        </is>
      </c>
      <c r="Q83" s="27" t="inlineStr">
        <is>
          <t>https://benjaminnorthwood.com/highlights</t>
        </is>
      </c>
      <c r="R83" s="27" t="inlineStr">
        <is>
          <t>Email</t>
        </is>
      </c>
      <c r="S83" s="27" t="inlineStr">
        <is>
          <t>hello@benjaminnorthwood.com</t>
        </is>
      </c>
      <c r="T83" s="27" t="inlineStr">
        <is>
          <t>https://benjaminnorthwood.com/work-with-me</t>
        </is>
      </c>
      <c r="U83" s="27" t="inlineStr">
        <is>
          <t>LinkedIn</t>
        </is>
      </c>
      <c r="V83" s="27" t="inlineStr">
        <is>
          <t>e-commerce &amp; digital brands frameworks, specifically regarding episode 30 on E-Commerce &amp; Digital Brands workflow optimization</t>
        </is>
      </c>
      <c r="W83" s="27" t="inlineStr">
        <is>
          <t>Hi Benjamin,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3" s="27" t="inlineStr">
        <is>
          <t>2026-10-18</t>
        </is>
      </c>
      <c r="Y83" s="27" t="inlineStr">
        <is>
          <t>B</t>
        </is>
      </c>
      <c r="Z83" s="27" t="n">
        <v>85.7</v>
      </c>
      <c r="AA83" s="27" t="inlineStr">
        <is>
          <t>Qualified</t>
        </is>
      </c>
      <c r="AB83" s="27" t="inlineStr"/>
      <c r="AC83" s="28">
        <f>IF(A83="","",IF(COUNTIF($H$5:$H$1004,H83)&gt;1,"DUPLICATE","UNIQUE"))</f>
        <v/>
      </c>
      <c r="AD83" s="28">
        <f>IF(A83="","",IF(AA83="Rejected",IF(AB83&lt;&gt;"","REJECTED","ADD REASON"),IF(AND(B83&lt;&gt;"",C83&lt;&gt;"",D83&lt;&gt;"",E83&lt;&gt;"",F83&lt;&gt;"",G83&lt;&gt;"",H83&lt;&gt;"",J83&lt;&gt;"",K83&lt;&gt;"",N83&lt;&gt;"",O83&lt;&gt;"",P83&lt;&gt;"",Q83&lt;&gt;"",R83&lt;&gt;"",S83&lt;&gt;"",T83&lt;&gt;"",V83&lt;&gt;"",W83&lt;&gt;"",X83&lt;&gt;"",Y83&lt;&gt;""),"COMPLETE","MISSING FIELDS")))</f>
        <v/>
      </c>
    </row>
    <row r="84" ht="15" customHeight="1" s="15">
      <c r="A84" s="27" t="inlineStr">
        <is>
          <t>LEAD-0080</t>
        </is>
      </c>
      <c r="B84" s="27" t="inlineStr">
        <is>
          <t>Benjamin Oakley</t>
        </is>
      </c>
      <c r="C84" s="27" t="inlineStr">
        <is>
          <t>YouTuber</t>
        </is>
      </c>
      <c r="D84" s="27" t="inlineStr">
        <is>
          <t>US</t>
        </is>
      </c>
      <c r="E84" s="27" t="inlineStr">
        <is>
          <t>English</t>
        </is>
      </c>
      <c r="F84" s="27" t="inlineStr">
        <is>
          <t>YouTube</t>
        </is>
      </c>
      <c r="G84" s="27" t="inlineStr">
        <is>
          <t>https://www.youtube.com/@benjaminoakley</t>
        </is>
      </c>
      <c r="H84" s="27" t="inlineStr">
        <is>
          <t>UCUS00080284257</t>
        </is>
      </c>
      <c r="I84" s="27" t="inlineStr">
        <is>
          <t>220,000</t>
        </is>
      </c>
      <c r="J84" s="27" t="inlineStr">
        <is>
          <t>2026-10-10</t>
        </is>
      </c>
      <c r="K84" s="27" t="inlineStr">
        <is>
          <t>https://www.youtube.com/watch?v=us00080</t>
        </is>
      </c>
      <c r="L84" s="27" t="n">
        <v>8</v>
      </c>
      <c r="M84" s="27" t="n">
        <v>24</v>
      </c>
      <c r="N84" s="27" t="inlineStr">
        <is>
          <t>Product</t>
        </is>
      </c>
      <c r="O84" s="27" t="inlineStr">
        <is>
          <t>https://benjaminoakley.com/shop</t>
        </is>
      </c>
      <c r="P84" s="27" t="inlineStr">
        <is>
          <t>Shorts Repurposing Bottleneck</t>
        </is>
      </c>
      <c r="Q84" s="27" t="inlineStr">
        <is>
          <t>https://benjaminoakley.com/highlights</t>
        </is>
      </c>
      <c r="R84" s="27" t="inlineStr">
        <is>
          <t>Email</t>
        </is>
      </c>
      <c r="S84" s="27" t="inlineStr">
        <is>
          <t>contact@benjaminoakley.com</t>
        </is>
      </c>
      <c r="T84" s="27" t="inlineStr">
        <is>
          <t>https://benjaminoakley.com/contact</t>
        </is>
      </c>
      <c r="U84" s="27" t="inlineStr">
        <is>
          <t>LinkedIn</t>
        </is>
      </c>
      <c r="V84" s="27" t="inlineStr">
        <is>
          <t>tech &amp; ai frameworks, specifically regarding episode 31 on Tech &amp; AI workflow optimization</t>
        </is>
      </c>
      <c r="W84" s="27" t="inlineStr">
        <is>
          <t>Hi Benjamin,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4" s="27" t="inlineStr">
        <is>
          <t>2026-10-18</t>
        </is>
      </c>
      <c r="Y84" s="27" t="inlineStr">
        <is>
          <t>B</t>
        </is>
      </c>
      <c r="Z84" s="27" t="n">
        <v>85.59999999999999</v>
      </c>
      <c r="AA84" s="27" t="inlineStr">
        <is>
          <t>Qualified</t>
        </is>
      </c>
      <c r="AB84" s="27" t="inlineStr"/>
      <c r="AC84" s="28">
        <f>IF(A84="","",IF(COUNTIF($H$5:$H$1004,H84)&gt;1,"DUPLICATE","UNIQUE"))</f>
        <v/>
      </c>
      <c r="AD84" s="28">
        <f>IF(A84="","",IF(AA84="Rejected",IF(AB84&lt;&gt;"","REJECTED","ADD REASON"),IF(AND(B84&lt;&gt;"",C84&lt;&gt;"",D84&lt;&gt;"",E84&lt;&gt;"",F84&lt;&gt;"",G84&lt;&gt;"",H84&lt;&gt;"",J84&lt;&gt;"",K84&lt;&gt;"",N84&lt;&gt;"",O84&lt;&gt;"",P84&lt;&gt;"",Q84&lt;&gt;"",R84&lt;&gt;"",S84&lt;&gt;"",T84&lt;&gt;"",V84&lt;&gt;"",W84&lt;&gt;"",X84&lt;&gt;"",Y84&lt;&gt;""),"COMPLETE","MISSING FIELDS")))</f>
        <v/>
      </c>
    </row>
    <row r="85" ht="15" customHeight="1" s="15">
      <c r="A85" s="27" t="inlineStr">
        <is>
          <t>LEAD-0081</t>
        </is>
      </c>
      <c r="B85" s="27" t="inlineStr">
        <is>
          <t>Benjamin Pemberton</t>
        </is>
      </c>
      <c r="C85" s="27" t="inlineStr">
        <is>
          <t>Podcaster</t>
        </is>
      </c>
      <c r="D85" s="27" t="inlineStr">
        <is>
          <t>US</t>
        </is>
      </c>
      <c r="E85" s="27" t="inlineStr">
        <is>
          <t>English</t>
        </is>
      </c>
      <c r="F85" s="27" t="inlineStr">
        <is>
          <t>Apple Podcasts</t>
        </is>
      </c>
      <c r="G85" s="27" t="inlineStr">
        <is>
          <t>https://podcasts.apple.com/us/podcast/benjaminpemberton/id1000081</t>
        </is>
      </c>
      <c r="H85" s="27" t="inlineStr">
        <is>
          <t>AP-US-1000081</t>
        </is>
      </c>
      <c r="I85" s="27" t="inlineStr">
        <is>
          <t>84,000</t>
        </is>
      </c>
      <c r="J85" s="27" t="inlineStr">
        <is>
          <t>2026-10-11</t>
        </is>
      </c>
      <c r="K85" s="27" t="inlineStr">
        <is>
          <t>https://benjaminpemberton.com/episodes/82</t>
        </is>
      </c>
      <c r="L85" s="27" t="n">
        <v>9</v>
      </c>
      <c r="M85" s="27" t="n">
        <v>25</v>
      </c>
      <c r="N85" s="27" t="inlineStr">
        <is>
          <t>Consulting</t>
        </is>
      </c>
      <c r="O85" s="27" t="inlineStr">
        <is>
          <t>https://benjaminpemberton.com/advisory</t>
        </is>
      </c>
      <c r="P85" s="27" t="inlineStr">
        <is>
          <t>Missing Video Captions &amp; Retention Clips</t>
        </is>
      </c>
      <c r="Q85" s="27" t="inlineStr">
        <is>
          <t>https://benjaminpemberton.com/highlights</t>
        </is>
      </c>
      <c r="R85" s="27" t="inlineStr">
        <is>
          <t>LinkedIn</t>
        </is>
      </c>
      <c r="S85" s="27" t="inlineStr">
        <is>
          <t>https://linkedin.com/in/benjaminpemberton</t>
        </is>
      </c>
      <c r="T85" s="27" t="inlineStr">
        <is>
          <t>https://benjaminpemberton.com/about</t>
        </is>
      </c>
      <c r="U85" s="27" t="inlineStr">
        <is>
          <t>Email</t>
        </is>
      </c>
      <c r="V85" s="27" t="inlineStr">
        <is>
          <t>saas &amp; product growth frameworks, specifically regarding episode 32 on SaaS &amp; Product Growth workflow optimization</t>
        </is>
      </c>
      <c r="W85" s="27" t="inlineStr">
        <is>
          <t>Hi Benjamin,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5" s="27" t="inlineStr">
        <is>
          <t>2026-10-18</t>
        </is>
      </c>
      <c r="Y85" s="27" t="inlineStr">
        <is>
          <t>B</t>
        </is>
      </c>
      <c r="Z85" s="27" t="n">
        <v>85.5</v>
      </c>
      <c r="AA85" s="27" t="inlineStr">
        <is>
          <t>Qualified</t>
        </is>
      </c>
      <c r="AB85" s="27" t="inlineStr"/>
      <c r="AC85" s="28">
        <f>IF(A85="","",IF(COUNTIF($H$5:$H$1004,H85)&gt;1,"DUPLICATE","UNIQUE"))</f>
        <v/>
      </c>
      <c r="AD85" s="28">
        <f>IF(A85="","",IF(AA85="Rejected",IF(AB85&lt;&gt;"","REJECTED","ADD REASON"),IF(AND(B85&lt;&gt;"",C85&lt;&gt;"",D85&lt;&gt;"",E85&lt;&gt;"",F85&lt;&gt;"",G85&lt;&gt;"",H85&lt;&gt;"",J85&lt;&gt;"",K85&lt;&gt;"",N85&lt;&gt;"",O85&lt;&gt;"",P85&lt;&gt;"",Q85&lt;&gt;"",R85&lt;&gt;"",S85&lt;&gt;"",T85&lt;&gt;"",V85&lt;&gt;"",W85&lt;&gt;"",X85&lt;&gt;"",Y85&lt;&gt;""),"COMPLETE","MISSING FIELDS")))</f>
        <v/>
      </c>
    </row>
    <row r="86" ht="15" customHeight="1" s="15">
      <c r="A86" s="27" t="inlineStr">
        <is>
          <t>LEAD-0082</t>
        </is>
      </c>
      <c r="B86" s="27" t="inlineStr">
        <is>
          <t>Benjamin Quatermain</t>
        </is>
      </c>
      <c r="C86" s="27" t="inlineStr">
        <is>
          <t>Expert-Led Creator</t>
        </is>
      </c>
      <c r="D86" s="27" t="inlineStr">
        <is>
          <t>US</t>
        </is>
      </c>
      <c r="E86" s="27" t="inlineStr">
        <is>
          <t>English</t>
        </is>
      </c>
      <c r="F86" s="27" t="inlineStr">
        <is>
          <t>YouTube</t>
        </is>
      </c>
      <c r="G86" s="27" t="inlineStr">
        <is>
          <t>https://www.youtube.com/@benjaminquatermain</t>
        </is>
      </c>
      <c r="H86" s="27" t="inlineStr">
        <is>
          <t>UCUS00082070279</t>
        </is>
      </c>
      <c r="I86" s="27" t="inlineStr">
        <is>
          <t>260,000</t>
        </is>
      </c>
      <c r="J86" s="27" t="inlineStr">
        <is>
          <t>2026-10-12</t>
        </is>
      </c>
      <c r="K86" s="27" t="inlineStr">
        <is>
          <t>https://www.youtube.com/watch?v=us00082</t>
        </is>
      </c>
      <c r="L86" s="27" t="n">
        <v>10</v>
      </c>
      <c r="M86" s="27" t="n">
        <v>26</v>
      </c>
      <c r="N86" s="27" t="inlineStr">
        <is>
          <t>Newsletter Subscription</t>
        </is>
      </c>
      <c r="O86" s="27" t="inlineStr">
        <is>
          <t>https://benjaminquatermain.com/subscribe</t>
        </is>
      </c>
      <c r="P86" s="27" t="inlineStr">
        <is>
          <t>Editing Backlog &amp; Team Workflow Overhead</t>
        </is>
      </c>
      <c r="Q86" s="27" t="inlineStr">
        <is>
          <t>https://benjaminquatermain.com/highlights</t>
        </is>
      </c>
      <c r="R86" s="27" t="inlineStr">
        <is>
          <t>X (Twitter)</t>
        </is>
      </c>
      <c r="S86" s="27" t="inlineStr">
        <is>
          <t>https://x.com/benjaminquatermain</t>
        </is>
      </c>
      <c r="T86" s="27" t="inlineStr">
        <is>
          <t>https://benjaminquatermain.com/links</t>
        </is>
      </c>
      <c r="U86" s="27" t="inlineStr">
        <is>
          <t>LinkedIn</t>
        </is>
      </c>
      <c r="V86" s="27" t="inlineStr">
        <is>
          <t>creator business &amp; monetization frameworks, specifically regarding episode 33 on Creator Business &amp; Monetization workflow optimization</t>
        </is>
      </c>
      <c r="W86" s="27" t="inlineStr">
        <is>
          <t>Hi Benjamin,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6" s="27" t="inlineStr">
        <is>
          <t>2026-10-18</t>
        </is>
      </c>
      <c r="Y86" s="27" t="inlineStr">
        <is>
          <t>B</t>
        </is>
      </c>
      <c r="Z86" s="27" t="n">
        <v>85.40000000000001</v>
      </c>
      <c r="AA86" s="27" t="inlineStr">
        <is>
          <t>Qualified</t>
        </is>
      </c>
      <c r="AB86" s="27" t="inlineStr"/>
      <c r="AC86" s="28">
        <f>IF(A86="","",IF(COUNTIF($H$5:$H$1004,H86)&gt;1,"DUPLICATE","UNIQUE"))</f>
        <v/>
      </c>
      <c r="AD86" s="28">
        <f>IF(A86="","",IF(AA86="Rejected",IF(AB86&lt;&gt;"","REJECTED","ADD REASON"),IF(AND(B86&lt;&gt;"",C86&lt;&gt;"",D86&lt;&gt;"",E86&lt;&gt;"",F86&lt;&gt;"",G86&lt;&gt;"",H86&lt;&gt;"",J86&lt;&gt;"",K86&lt;&gt;"",N86&lt;&gt;"",O86&lt;&gt;"",P86&lt;&gt;"",Q86&lt;&gt;"",R86&lt;&gt;"",S86&lt;&gt;"",T86&lt;&gt;"",V86&lt;&gt;"",W86&lt;&gt;"",X86&lt;&gt;"",Y86&lt;&gt;""),"COMPLETE","MISSING FIELDS")))</f>
        <v/>
      </c>
    </row>
    <row r="87" ht="15" customHeight="1" s="15">
      <c r="A87" s="27" t="inlineStr">
        <is>
          <t>LEAD-0083</t>
        </is>
      </c>
      <c r="B87" s="27" t="inlineStr">
        <is>
          <t>Benjamin Radcliffe</t>
        </is>
      </c>
      <c r="C87" s="27" t="inlineStr">
        <is>
          <t>YouTuber</t>
        </is>
      </c>
      <c r="D87" s="27" t="inlineStr">
        <is>
          <t>US</t>
        </is>
      </c>
      <c r="E87" s="27" t="inlineStr">
        <is>
          <t>English</t>
        </is>
      </c>
      <c r="F87" s="27" t="inlineStr">
        <is>
          <t>YouTube</t>
        </is>
      </c>
      <c r="G87" s="27" t="inlineStr">
        <is>
          <t>https://www.youtube.com/@benjaminradcliffe</t>
        </is>
      </c>
      <c r="H87" s="27" t="inlineStr">
        <is>
          <t>UCUS00083797309</t>
        </is>
      </c>
      <c r="I87" s="27" t="inlineStr">
        <is>
          <t>280,000</t>
        </is>
      </c>
      <c r="J87" s="27" t="inlineStr">
        <is>
          <t>2026-10-13</t>
        </is>
      </c>
      <c r="K87" s="27" t="inlineStr">
        <is>
          <t>https://www.youtube.com/watch?v=us00083</t>
        </is>
      </c>
      <c r="L87" s="27" t="n">
        <v>11</v>
      </c>
      <c r="M87" s="27" t="n">
        <v>27</v>
      </c>
      <c r="N87" s="27" t="inlineStr">
        <is>
          <t>Affiliate</t>
        </is>
      </c>
      <c r="O87" s="27" t="inlineStr">
        <is>
          <t>https://benjaminradcliffe.com/resources</t>
        </is>
      </c>
      <c r="P87" s="27" t="inlineStr">
        <is>
          <t>Shorts Repurposing Bottleneck</t>
        </is>
      </c>
      <c r="Q87" s="27" t="inlineStr">
        <is>
          <t>https://benjaminradcliffe.com/highlights</t>
        </is>
      </c>
      <c r="R87" s="27" t="inlineStr">
        <is>
          <t>Email</t>
        </is>
      </c>
      <c r="S87" s="27" t="inlineStr">
        <is>
          <t>hello@benjaminradcliffe.com</t>
        </is>
      </c>
      <c r="T87" s="27" t="inlineStr">
        <is>
          <t>https://benjaminradcliffe.com/work-with-me</t>
        </is>
      </c>
      <c r="U87" s="27" t="inlineStr">
        <is>
          <t>LinkedIn</t>
        </is>
      </c>
      <c r="V87" s="27" t="inlineStr">
        <is>
          <t>productivity &amp; personal systems frameworks, specifically regarding episode 34 on Productivity &amp; Personal Systems workflow optimization</t>
        </is>
      </c>
      <c r="W87" s="27" t="inlineStr">
        <is>
          <t>Hi Benjamin,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7" s="27" t="inlineStr">
        <is>
          <t>2026-10-18</t>
        </is>
      </c>
      <c r="Y87" s="27" t="inlineStr">
        <is>
          <t>B</t>
        </is>
      </c>
      <c r="Z87" s="27" t="n">
        <v>85.40000000000001</v>
      </c>
      <c r="AA87" s="27" t="inlineStr">
        <is>
          <t>Qualified</t>
        </is>
      </c>
      <c r="AB87" s="27" t="inlineStr"/>
      <c r="AC87" s="28">
        <f>IF(A87="","",IF(COUNTIF($H$5:$H$1004,H87)&gt;1,"DUPLICATE","UNIQUE"))</f>
        <v/>
      </c>
      <c r="AD87" s="28">
        <f>IF(A87="","",IF(AA87="Rejected",IF(AB87&lt;&gt;"","REJECTED","ADD REASON"),IF(AND(B87&lt;&gt;"",C87&lt;&gt;"",D87&lt;&gt;"",E87&lt;&gt;"",F87&lt;&gt;"",G87&lt;&gt;"",H87&lt;&gt;"",J87&lt;&gt;"",K87&lt;&gt;"",N87&lt;&gt;"",O87&lt;&gt;"",P87&lt;&gt;"",Q87&lt;&gt;"",R87&lt;&gt;"",S87&lt;&gt;"",T87&lt;&gt;"",V87&lt;&gt;"",W87&lt;&gt;"",X87&lt;&gt;"",Y87&lt;&gt;""),"COMPLETE","MISSING FIELDS")))</f>
        <v/>
      </c>
    </row>
    <row r="88" ht="15" customHeight="1" s="15">
      <c r="A88" s="27" t="inlineStr">
        <is>
          <t>LEAD-0084</t>
        </is>
      </c>
      <c r="B88" s="27" t="inlineStr">
        <is>
          <t>Benjamin Stanhope</t>
        </is>
      </c>
      <c r="C88" s="27" t="inlineStr">
        <is>
          <t>Podcaster</t>
        </is>
      </c>
      <c r="D88" s="27" t="inlineStr">
        <is>
          <t>US</t>
        </is>
      </c>
      <c r="E88" s="27" t="inlineStr">
        <is>
          <t>English</t>
        </is>
      </c>
      <c r="F88" s="27" t="inlineStr">
        <is>
          <t>Apple Podcasts</t>
        </is>
      </c>
      <c r="G88" s="27" t="inlineStr">
        <is>
          <t>https://podcasts.apple.com/us/podcast/benjaminstanhope/id1000084</t>
        </is>
      </c>
      <c r="H88" s="27" t="inlineStr">
        <is>
          <t>AP-US-1000084</t>
        </is>
      </c>
      <c r="I88" s="27" t="inlineStr">
        <is>
          <t>120,000</t>
        </is>
      </c>
      <c r="J88" s="27" t="inlineStr">
        <is>
          <t>2026-10-14</t>
        </is>
      </c>
      <c r="K88" s="27" t="inlineStr">
        <is>
          <t>https://benjaminstanhope.com/episodes/85</t>
        </is>
      </c>
      <c r="L88" s="27" t="n">
        <v>12</v>
      </c>
      <c r="M88" s="27" t="n">
        <v>28</v>
      </c>
      <c r="N88" s="27" t="inlineStr">
        <is>
          <t>Course</t>
        </is>
      </c>
      <c r="O88" s="27" t="inlineStr">
        <is>
          <t>https://benjaminstanhope.com/academy</t>
        </is>
      </c>
      <c r="P88" s="27" t="inlineStr">
        <is>
          <t>Inconsistent Cross-Platform Publishing</t>
        </is>
      </c>
      <c r="Q88" s="27" t="inlineStr">
        <is>
          <t>https://benjaminstanhope.com/highlights</t>
        </is>
      </c>
      <c r="R88" s="27" t="inlineStr">
        <is>
          <t>Email</t>
        </is>
      </c>
      <c r="S88" s="27" t="inlineStr">
        <is>
          <t>contact@benjaminstanhope.com</t>
        </is>
      </c>
      <c r="T88" s="27" t="inlineStr">
        <is>
          <t>https://benjaminstanhope.com/contact</t>
        </is>
      </c>
      <c r="U88" s="27" t="inlineStr">
        <is>
          <t>LinkedIn</t>
        </is>
      </c>
      <c r="V88" s="27" t="inlineStr">
        <is>
          <t>leadership &amp; team ops frameworks, specifically regarding episode 35 on Leadership &amp; Team Ops workflow optimization</t>
        </is>
      </c>
      <c r="W88" s="27" t="inlineStr">
        <is>
          <t>Hi Benjamin,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8" s="27" t="inlineStr">
        <is>
          <t>2026-10-18</t>
        </is>
      </c>
      <c r="Y88" s="27" t="inlineStr">
        <is>
          <t>B</t>
        </is>
      </c>
      <c r="Z88" s="27" t="n">
        <v>85.3</v>
      </c>
      <c r="AA88" s="27" t="inlineStr">
        <is>
          <t>Qualified</t>
        </is>
      </c>
      <c r="AB88" s="27" t="inlineStr"/>
      <c r="AC88" s="28">
        <f>IF(A88="","",IF(COUNTIF($H$5:$H$1004,H88)&gt;1,"DUPLICATE","UNIQUE"))</f>
        <v/>
      </c>
      <c r="AD88" s="28">
        <f>IF(A88="","",IF(AA88="Rejected",IF(AB88&lt;&gt;"","REJECTED","ADD REASON"),IF(AND(B88&lt;&gt;"",C88&lt;&gt;"",D88&lt;&gt;"",E88&lt;&gt;"",F88&lt;&gt;"",G88&lt;&gt;"",H88&lt;&gt;"",J88&lt;&gt;"",K88&lt;&gt;"",N88&lt;&gt;"",O88&lt;&gt;"",P88&lt;&gt;"",Q88&lt;&gt;"",R88&lt;&gt;"",S88&lt;&gt;"",T88&lt;&gt;"",V88&lt;&gt;"",W88&lt;&gt;"",X88&lt;&gt;"",Y88&lt;&gt;""),"COMPLETE","MISSING FIELDS")))</f>
        <v/>
      </c>
    </row>
    <row r="89" ht="15" customHeight="1" s="15">
      <c r="A89" s="27" t="inlineStr">
        <is>
          <t>LEAD-0085</t>
        </is>
      </c>
      <c r="B89" s="27" t="inlineStr">
        <is>
          <t>Benjamin Thackery</t>
        </is>
      </c>
      <c r="C89" s="27" t="inlineStr">
        <is>
          <t>Expert-Led Creator</t>
        </is>
      </c>
      <c r="D89" s="27" t="inlineStr">
        <is>
          <t>US</t>
        </is>
      </c>
      <c r="E89" s="27" t="inlineStr">
        <is>
          <t>English</t>
        </is>
      </c>
      <c r="F89" s="27" t="inlineStr">
        <is>
          <t>LinkedIn</t>
        </is>
      </c>
      <c r="G89" s="27" t="inlineStr">
        <is>
          <t>https://www.linkedin.com/in/benjaminthackery</t>
        </is>
      </c>
      <c r="H89" s="27" t="inlineStr">
        <is>
          <t>LI-benjaminthackery-0085</t>
        </is>
      </c>
      <c r="I89" s="27" t="inlineStr">
        <is>
          <t>156,000</t>
        </is>
      </c>
      <c r="J89" s="27" t="inlineStr">
        <is>
          <t>2026-10-15</t>
        </is>
      </c>
      <c r="K89" s="27" t="inlineStr">
        <is>
          <t>https://benjaminthackery.com/posts/86</t>
        </is>
      </c>
      <c r="L89" s="27" t="n">
        <v>13</v>
      </c>
      <c r="M89" s="27" t="n">
        <v>29</v>
      </c>
      <c r="N89" s="27" t="inlineStr">
        <is>
          <t>Sponsor</t>
        </is>
      </c>
      <c r="O89" s="27" t="inlineStr">
        <is>
          <t>https://benjaminthackery.com/partners</t>
        </is>
      </c>
      <c r="P89" s="27" t="inlineStr">
        <is>
          <t>Editing Backlog &amp; Team Workflow Overhead</t>
        </is>
      </c>
      <c r="Q89" s="27" t="inlineStr">
        <is>
          <t>https://benjaminthackery.com/highlights</t>
        </is>
      </c>
      <c r="R89" s="27" t="inlineStr">
        <is>
          <t>LinkedIn</t>
        </is>
      </c>
      <c r="S89" s="27" t="inlineStr">
        <is>
          <t>https://linkedin.com/in/benjaminthackery</t>
        </is>
      </c>
      <c r="T89" s="27" t="inlineStr">
        <is>
          <t>https://benjaminthackery.com/about</t>
        </is>
      </c>
      <c r="U89" s="27" t="inlineStr">
        <is>
          <t>Email</t>
        </is>
      </c>
      <c r="V89" s="27" t="inlineStr">
        <is>
          <t>b2b marketing &amp; sales frameworks, specifically regarding episode 36 on B2B Marketing &amp; Sales workflow optimization</t>
        </is>
      </c>
      <c r="W89" s="27" t="inlineStr">
        <is>
          <t>Hi Benjamin,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9" s="27" t="inlineStr">
        <is>
          <t>2026-10-18</t>
        </is>
      </c>
      <c r="Y89" s="27" t="inlineStr">
        <is>
          <t>B</t>
        </is>
      </c>
      <c r="Z89" s="27" t="n">
        <v>85.2</v>
      </c>
      <c r="AA89" s="27" t="inlineStr">
        <is>
          <t>Qualified</t>
        </is>
      </c>
      <c r="AB89" s="27" t="inlineStr"/>
      <c r="AC89" s="28">
        <f>IF(A89="","",IF(COUNTIF($H$5:$H$1004,H89)&gt;1,"DUPLICATE","UNIQUE"))</f>
        <v/>
      </c>
      <c r="AD89" s="28">
        <f>IF(A89="","",IF(AA89="Rejected",IF(AB89&lt;&gt;"","REJECTED","ADD REASON"),IF(AND(B89&lt;&gt;"",C89&lt;&gt;"",D89&lt;&gt;"",E89&lt;&gt;"",F89&lt;&gt;"",G89&lt;&gt;"",H89&lt;&gt;"",J89&lt;&gt;"",K89&lt;&gt;"",N89&lt;&gt;"",O89&lt;&gt;"",P89&lt;&gt;"",Q89&lt;&gt;"",R89&lt;&gt;"",S89&lt;&gt;"",T89&lt;&gt;"",V89&lt;&gt;"",W89&lt;&gt;"",X89&lt;&gt;"",Y89&lt;&gt;""),"COMPLETE","MISSING FIELDS")))</f>
        <v/>
      </c>
    </row>
    <row r="90" ht="15" customHeight="1" s="15">
      <c r="A90" s="27" t="inlineStr">
        <is>
          <t>LEAD-0086</t>
        </is>
      </c>
      <c r="B90" s="27" t="inlineStr">
        <is>
          <t>Benjamin Underwood</t>
        </is>
      </c>
      <c r="C90" s="27" t="inlineStr">
        <is>
          <t>YouTuber</t>
        </is>
      </c>
      <c r="D90" s="27" t="inlineStr">
        <is>
          <t>US</t>
        </is>
      </c>
      <c r="E90" s="27" t="inlineStr">
        <is>
          <t>English</t>
        </is>
      </c>
      <c r="F90" s="27" t="inlineStr">
        <is>
          <t>YouTube</t>
        </is>
      </c>
      <c r="G90" s="27" t="inlineStr">
        <is>
          <t>https://www.youtube.com/@benjaminunderwood</t>
        </is>
      </c>
      <c r="H90" s="27" t="inlineStr">
        <is>
          <t>UCUS00086376771</t>
        </is>
      </c>
      <c r="I90" s="27" t="inlineStr">
        <is>
          <t>340,000</t>
        </is>
      </c>
      <c r="J90" s="27" t="inlineStr">
        <is>
          <t>2026-10-16</t>
        </is>
      </c>
      <c r="K90" s="27" t="inlineStr">
        <is>
          <t>https://www.youtube.com/watch?v=us00086</t>
        </is>
      </c>
      <c r="L90" s="27" t="n">
        <v>14</v>
      </c>
      <c r="M90" s="27" t="n">
        <v>30</v>
      </c>
      <c r="N90" s="27" t="inlineStr">
        <is>
          <t>Membership</t>
        </is>
      </c>
      <c r="O90" s="27" t="inlineStr">
        <is>
          <t>https://benjaminunderwood.com/community</t>
        </is>
      </c>
      <c r="P90" s="27" t="inlineStr">
        <is>
          <t>Multilingual Audio Dubbing</t>
        </is>
      </c>
      <c r="Q90" s="27" t="inlineStr">
        <is>
          <t>https://benjaminunderwood.com/highlights</t>
        </is>
      </c>
      <c r="R90" s="27" t="inlineStr">
        <is>
          <t>X (Twitter)</t>
        </is>
      </c>
      <c r="S90" s="27" t="inlineStr">
        <is>
          <t>https://x.com/benjaminunderwood</t>
        </is>
      </c>
      <c r="T90" s="27" t="inlineStr">
        <is>
          <t>https://benjaminunderwood.com/links</t>
        </is>
      </c>
      <c r="U90" s="27" t="inlineStr">
        <is>
          <t>LinkedIn</t>
        </is>
      </c>
      <c r="V90" s="27" t="inlineStr">
        <is>
          <t>finance &amp; wealth engineering frameworks, specifically regarding episode 37 on Finance &amp; Wealth Engineering workflow optimization</t>
        </is>
      </c>
      <c r="W90" s="27" t="inlineStr">
        <is>
          <t>Hi Benjamin,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0" s="27" t="inlineStr">
        <is>
          <t>2026-10-18</t>
        </is>
      </c>
      <c r="Y90" s="27" t="inlineStr">
        <is>
          <t>B</t>
        </is>
      </c>
      <c r="Z90" s="27" t="n">
        <v>85.09999999999999</v>
      </c>
      <c r="AA90" s="27" t="inlineStr">
        <is>
          <t>Qualified</t>
        </is>
      </c>
      <c r="AB90" s="27" t="inlineStr"/>
      <c r="AC90" s="28">
        <f>IF(A90="","",IF(COUNTIF($H$5:$H$1004,H90)&gt;1,"DUPLICATE","UNIQUE"))</f>
        <v/>
      </c>
      <c r="AD90" s="28">
        <f>IF(A90="","",IF(AA90="Rejected",IF(AB90&lt;&gt;"","REJECTED","ADD REASON"),IF(AND(B90&lt;&gt;"",C90&lt;&gt;"",D90&lt;&gt;"",E90&lt;&gt;"",F90&lt;&gt;"",G90&lt;&gt;"",H90&lt;&gt;"",J90&lt;&gt;"",K90&lt;&gt;"",N90&lt;&gt;"",O90&lt;&gt;"",P90&lt;&gt;"",Q90&lt;&gt;"",R90&lt;&gt;"",S90&lt;&gt;"",T90&lt;&gt;"",V90&lt;&gt;"",W90&lt;&gt;"",X90&lt;&gt;"",Y90&lt;&gt;""),"COMPLETE","MISSING FIELDS")))</f>
        <v/>
      </c>
    </row>
    <row r="91" ht="15" customHeight="1" s="15">
      <c r="A91" s="27" t="inlineStr">
        <is>
          <t>LEAD-0087</t>
        </is>
      </c>
      <c r="B91" s="27" t="inlineStr">
        <is>
          <t>Benjamin Vanguard</t>
        </is>
      </c>
      <c r="C91" s="27" t="inlineStr">
        <is>
          <t>Podcaster</t>
        </is>
      </c>
      <c r="D91" s="27" t="inlineStr">
        <is>
          <t>US</t>
        </is>
      </c>
      <c r="E91" s="27" t="inlineStr">
        <is>
          <t>English</t>
        </is>
      </c>
      <c r="F91" s="27" t="inlineStr">
        <is>
          <t>Apple Podcasts</t>
        </is>
      </c>
      <c r="G91" s="27" t="inlineStr">
        <is>
          <t>https://podcasts.apple.com/us/podcast/benjaminvanguard/id1000087</t>
        </is>
      </c>
      <c r="H91" s="27" t="inlineStr">
        <is>
          <t>AP-US-1000087</t>
        </is>
      </c>
      <c r="I91" s="27" t="inlineStr">
        <is>
          <t>156,000</t>
        </is>
      </c>
      <c r="J91" s="27" t="inlineStr">
        <is>
          <t>2026-10-17</t>
        </is>
      </c>
      <c r="K91" s="27" t="inlineStr">
        <is>
          <t>https://benjaminvanguard.com/episodes/88</t>
        </is>
      </c>
      <c r="L91" s="27" t="n">
        <v>15</v>
      </c>
      <c r="M91" s="27" t="n">
        <v>31</v>
      </c>
      <c r="N91" s="27" t="inlineStr">
        <is>
          <t>Product</t>
        </is>
      </c>
      <c r="O91" s="27" t="inlineStr">
        <is>
          <t>https://benjaminvanguard.com/shop</t>
        </is>
      </c>
      <c r="P91" s="27" t="inlineStr">
        <is>
          <t>Multilingual Audio Dubbing</t>
        </is>
      </c>
      <c r="Q91" s="27" t="inlineStr">
        <is>
          <t>https://benjaminvanguard.com/highlights</t>
        </is>
      </c>
      <c r="R91" s="27" t="inlineStr">
        <is>
          <t>Email</t>
        </is>
      </c>
      <c r="S91" s="27" t="inlineStr">
        <is>
          <t>hello@benjaminvanguard.com</t>
        </is>
      </c>
      <c r="T91" s="27" t="inlineStr">
        <is>
          <t>https://benjaminvanguard.com/work-with-me</t>
        </is>
      </c>
      <c r="U91" s="27" t="inlineStr">
        <is>
          <t>LinkedIn</t>
        </is>
      </c>
      <c r="V91" s="27" t="inlineStr">
        <is>
          <t>health &amp; longevity science frameworks, specifically regarding episode 38 on Health &amp; Longevity Science workflow optimization</t>
        </is>
      </c>
      <c r="W91" s="27" t="inlineStr">
        <is>
          <t>Hi Benjamin,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1" s="27" t="inlineStr">
        <is>
          <t>2026-10-18</t>
        </is>
      </c>
      <c r="Y91" s="27" t="inlineStr">
        <is>
          <t>B</t>
        </is>
      </c>
      <c r="Z91" s="27" t="n">
        <v>85</v>
      </c>
      <c r="AA91" s="27" t="inlineStr">
        <is>
          <t>Qualified</t>
        </is>
      </c>
      <c r="AB91" s="27" t="inlineStr"/>
      <c r="AC91" s="28">
        <f>IF(A91="","",IF(COUNTIF($H$5:$H$1004,H91)&gt;1,"DUPLICATE","UNIQUE"))</f>
        <v/>
      </c>
      <c r="AD91" s="28">
        <f>IF(A91="","",IF(AA91="Rejected",IF(AB91&lt;&gt;"","REJECTED","ADD REASON"),IF(AND(B91&lt;&gt;"",C91&lt;&gt;"",D91&lt;&gt;"",E91&lt;&gt;"",F91&lt;&gt;"",G91&lt;&gt;"",H91&lt;&gt;"",J91&lt;&gt;"",K91&lt;&gt;"",N91&lt;&gt;"",O91&lt;&gt;"",P91&lt;&gt;"",Q91&lt;&gt;"",R91&lt;&gt;"",S91&lt;&gt;"",T91&lt;&gt;"",V91&lt;&gt;"",W91&lt;&gt;"",X91&lt;&gt;"",Y91&lt;&gt;""),"COMPLETE","MISSING FIELDS")))</f>
        <v/>
      </c>
    </row>
    <row r="92" ht="15" customHeight="1" s="15">
      <c r="A92" s="27" t="inlineStr">
        <is>
          <t>LEAD-0088</t>
        </is>
      </c>
      <c r="B92" s="27" t="inlineStr">
        <is>
          <t>Benjamin Waverly</t>
        </is>
      </c>
      <c r="C92" s="27" t="inlineStr">
        <is>
          <t>YouTuber</t>
        </is>
      </c>
      <c r="D92" s="27" t="inlineStr">
        <is>
          <t>US</t>
        </is>
      </c>
      <c r="E92" s="27" t="inlineStr">
        <is>
          <t>English</t>
        </is>
      </c>
      <c r="F92" s="27" t="inlineStr">
        <is>
          <t>YouTube</t>
        </is>
      </c>
      <c r="G92" s="27" t="inlineStr">
        <is>
          <t>https://www.youtube.com/@benjaminwaverly</t>
        </is>
      </c>
      <c r="H92" s="27" t="inlineStr">
        <is>
          <t>UCUS00088065893</t>
        </is>
      </c>
      <c r="I92" s="27" t="inlineStr">
        <is>
          <t>380,000</t>
        </is>
      </c>
      <c r="J92" s="27" t="inlineStr">
        <is>
          <t>2026-10-10</t>
        </is>
      </c>
      <c r="K92" s="27" t="inlineStr">
        <is>
          <t>https://www.youtube.com/watch?v=us00088</t>
        </is>
      </c>
      <c r="L92" s="27" t="n">
        <v>16</v>
      </c>
      <c r="M92" s="27" t="n">
        <v>32</v>
      </c>
      <c r="N92" s="27" t="inlineStr">
        <is>
          <t>Consulting</t>
        </is>
      </c>
      <c r="O92" s="27" t="inlineStr">
        <is>
          <t>https://benjaminwaverly.com/advisory</t>
        </is>
      </c>
      <c r="P92" s="27" t="inlineStr">
        <is>
          <t>Missing Video Captions &amp; Retention Clips</t>
        </is>
      </c>
      <c r="Q92" s="27" t="inlineStr">
        <is>
          <t>https://benjaminwaverly.com/highlights</t>
        </is>
      </c>
      <c r="R92" s="27" t="inlineStr">
        <is>
          <t>Email</t>
        </is>
      </c>
      <c r="S92" s="27" t="inlineStr">
        <is>
          <t>contact@benjaminwaverly.com</t>
        </is>
      </c>
      <c r="T92" s="27" t="inlineStr">
        <is>
          <t>https://benjaminwaverly.com/contact</t>
        </is>
      </c>
      <c r="U92" s="27" t="inlineStr">
        <is>
          <t>LinkedIn</t>
        </is>
      </c>
      <c r="V92" s="27" t="inlineStr">
        <is>
          <t>education &amp; applied coding frameworks, specifically regarding episode 39 on Education &amp; Applied Coding workflow optimization</t>
        </is>
      </c>
      <c r="W92" s="27" t="inlineStr">
        <is>
          <t>Hi Benjamin,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2" s="27" t="inlineStr">
        <is>
          <t>2026-10-18</t>
        </is>
      </c>
      <c r="Y92" s="27" t="inlineStr">
        <is>
          <t>B</t>
        </is>
      </c>
      <c r="Z92" s="27" t="n">
        <v>85</v>
      </c>
      <c r="AA92" s="27" t="inlineStr">
        <is>
          <t>Qualified</t>
        </is>
      </c>
      <c r="AB92" s="27" t="inlineStr"/>
      <c r="AC92" s="28">
        <f>IF(A92="","",IF(COUNTIF($H$5:$H$1004,H92)&gt;1,"DUPLICATE","UNIQUE"))</f>
        <v/>
      </c>
      <c r="AD92" s="28">
        <f>IF(A92="","",IF(AA92="Rejected",IF(AB92&lt;&gt;"","REJECTED","ADD REASON"),IF(AND(B92&lt;&gt;"",C92&lt;&gt;"",D92&lt;&gt;"",E92&lt;&gt;"",F92&lt;&gt;"",G92&lt;&gt;"",H92&lt;&gt;"",J92&lt;&gt;"",K92&lt;&gt;"",N92&lt;&gt;"",O92&lt;&gt;"",P92&lt;&gt;"",Q92&lt;&gt;"",R92&lt;&gt;"",S92&lt;&gt;"",T92&lt;&gt;"",V92&lt;&gt;"",W92&lt;&gt;"",X92&lt;&gt;"",Y92&lt;&gt;""),"COMPLETE","MISSING FIELDS")))</f>
        <v/>
      </c>
    </row>
    <row r="93" ht="15" customHeight="1" s="15">
      <c r="A93" s="27" t="inlineStr">
        <is>
          <t>LEAD-0089</t>
        </is>
      </c>
      <c r="B93" s="27" t="inlineStr">
        <is>
          <t>Benjamin Yardley</t>
        </is>
      </c>
      <c r="C93" s="27" t="inlineStr">
        <is>
          <t>Podcaster</t>
        </is>
      </c>
      <c r="D93" s="27" t="inlineStr">
        <is>
          <t>US</t>
        </is>
      </c>
      <c r="E93" s="27" t="inlineStr">
        <is>
          <t>English</t>
        </is>
      </c>
      <c r="F93" s="27" t="inlineStr">
        <is>
          <t>Apple Podcasts</t>
        </is>
      </c>
      <c r="G93" s="27" t="inlineStr">
        <is>
          <t>https://podcasts.apple.com/us/podcast/benjaminyardley/id1000089</t>
        </is>
      </c>
      <c r="H93" s="27" t="inlineStr">
        <is>
          <t>AP-US-1000089</t>
        </is>
      </c>
      <c r="I93" s="27" t="inlineStr">
        <is>
          <t>180,000</t>
        </is>
      </c>
      <c r="J93" s="27" t="inlineStr">
        <is>
          <t>2026-10-11</t>
        </is>
      </c>
      <c r="K93" s="27" t="inlineStr">
        <is>
          <t>https://benjaminyardley.com/episodes/90</t>
        </is>
      </c>
      <c r="L93" s="27" t="n">
        <v>17</v>
      </c>
      <c r="M93" s="27" t="n">
        <v>33</v>
      </c>
      <c r="N93" s="27" t="inlineStr">
        <is>
          <t>Newsletter Subscription</t>
        </is>
      </c>
      <c r="O93" s="27" t="inlineStr">
        <is>
          <t>https://benjaminyardley.com/subscribe</t>
        </is>
      </c>
      <c r="P93" s="27" t="inlineStr">
        <is>
          <t>Shorts Repurposing Bottleneck</t>
        </is>
      </c>
      <c r="Q93" s="27" t="inlineStr">
        <is>
          <t>https://benjaminyardley.com/highlights</t>
        </is>
      </c>
      <c r="R93" s="27" t="inlineStr">
        <is>
          <t>LinkedIn</t>
        </is>
      </c>
      <c r="S93" s="27" t="inlineStr">
        <is>
          <t>https://linkedin.com/in/benjaminyardley</t>
        </is>
      </c>
      <c r="T93" s="27" t="inlineStr">
        <is>
          <t>https://benjaminyardley.com/about</t>
        </is>
      </c>
      <c r="U93" s="27" t="inlineStr">
        <is>
          <t>Email</t>
        </is>
      </c>
      <c r="V93" s="27" t="inlineStr">
        <is>
          <t>e-commerce &amp; digital brands frameworks, specifically regarding episode 40 on E-Commerce &amp; Digital Brands workflow optimization</t>
        </is>
      </c>
      <c r="W93" s="27" t="inlineStr">
        <is>
          <t>Hi Benjamin,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3" s="27" t="inlineStr">
        <is>
          <t>2026-10-18</t>
        </is>
      </c>
      <c r="Y93" s="27" t="inlineStr">
        <is>
          <t>B</t>
        </is>
      </c>
      <c r="Z93" s="27" t="n">
        <v>84.90000000000001</v>
      </c>
      <c r="AA93" s="27" t="inlineStr">
        <is>
          <t>Qualified</t>
        </is>
      </c>
      <c r="AB93" s="27" t="inlineStr"/>
      <c r="AC93" s="28">
        <f>IF(A93="","",IF(COUNTIF($H$5:$H$1004,H93)&gt;1,"DUPLICATE","UNIQUE"))</f>
        <v/>
      </c>
      <c r="AD93" s="28">
        <f>IF(A93="","",IF(AA93="Rejected",IF(AB93&lt;&gt;"","REJECTED","ADD REASON"),IF(AND(B93&lt;&gt;"",C93&lt;&gt;"",D93&lt;&gt;"",E93&lt;&gt;"",F93&lt;&gt;"",G93&lt;&gt;"",H93&lt;&gt;"",J93&lt;&gt;"",K93&lt;&gt;"",N93&lt;&gt;"",O93&lt;&gt;"",P93&lt;&gt;"",Q93&lt;&gt;"",R93&lt;&gt;"",S93&lt;&gt;"",T93&lt;&gt;"",V93&lt;&gt;"",W93&lt;&gt;"",X93&lt;&gt;"",Y93&lt;&gt;""),"COMPLETE","MISSING FIELDS")))</f>
        <v/>
      </c>
    </row>
    <row r="94" ht="15" customHeight="1" s="15">
      <c r="A94" s="27" t="inlineStr">
        <is>
          <t>LEAD-0090</t>
        </is>
      </c>
      <c r="B94" s="27" t="inlineStr">
        <is>
          <t>Benjamin Zimmerman</t>
        </is>
      </c>
      <c r="C94" s="27" t="inlineStr">
        <is>
          <t>YouTuber</t>
        </is>
      </c>
      <c r="D94" s="27" t="inlineStr">
        <is>
          <t>US</t>
        </is>
      </c>
      <c r="E94" s="27" t="inlineStr">
        <is>
          <t>English</t>
        </is>
      </c>
      <c r="F94" s="27" t="inlineStr">
        <is>
          <t>YouTube</t>
        </is>
      </c>
      <c r="G94" s="27" t="inlineStr">
        <is>
          <t>https://www.youtube.com/@benjaminzimmerman</t>
        </is>
      </c>
      <c r="H94" s="27" t="inlineStr">
        <is>
          <t>UCUS00090920503</t>
        </is>
      </c>
      <c r="I94" s="27" t="inlineStr">
        <is>
          <t>420,000</t>
        </is>
      </c>
      <c r="J94" s="27" t="inlineStr">
        <is>
          <t>2026-10-12</t>
        </is>
      </c>
      <c r="K94" s="27" t="inlineStr">
        <is>
          <t>https://www.youtube.com/watch?v=us00090</t>
        </is>
      </c>
      <c r="L94" s="27" t="n">
        <v>8</v>
      </c>
      <c r="M94" s="27" t="n">
        <v>16</v>
      </c>
      <c r="N94" s="27" t="inlineStr">
        <is>
          <t>Affiliate</t>
        </is>
      </c>
      <c r="O94" s="27" t="inlineStr">
        <is>
          <t>https://benjaminzimmerman.com/resources</t>
        </is>
      </c>
      <c r="P94" s="27" t="inlineStr">
        <is>
          <t>Shorts Repurposing Bottleneck</t>
        </is>
      </c>
      <c r="Q94" s="27" t="inlineStr">
        <is>
          <t>https://benjaminzimmerman.com/highlights</t>
        </is>
      </c>
      <c r="R94" s="27" t="inlineStr">
        <is>
          <t>X (Twitter)</t>
        </is>
      </c>
      <c r="S94" s="27" t="inlineStr">
        <is>
          <t>https://x.com/benjaminzimmerman</t>
        </is>
      </c>
      <c r="T94" s="27" t="inlineStr">
        <is>
          <t>https://benjaminzimmerman.com/links</t>
        </is>
      </c>
      <c r="U94" s="27" t="inlineStr">
        <is>
          <t>LinkedIn</t>
        </is>
      </c>
      <c r="V94" s="27" t="inlineStr">
        <is>
          <t>tech &amp; ai frameworks, specifically regarding episode 41 on Tech &amp; AI workflow optimization</t>
        </is>
      </c>
      <c r="W94" s="27" t="inlineStr">
        <is>
          <t>Hi Benjamin,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4" s="27" t="inlineStr">
        <is>
          <t>2026-10-18</t>
        </is>
      </c>
      <c r="Y94" s="27" t="inlineStr">
        <is>
          <t>B</t>
        </is>
      </c>
      <c r="Z94" s="27" t="n">
        <v>84.8</v>
      </c>
      <c r="AA94" s="27" t="inlineStr">
        <is>
          <t>Qualified</t>
        </is>
      </c>
      <c r="AB94" s="27" t="inlineStr"/>
      <c r="AC94" s="28">
        <f>IF(A94="","",IF(COUNTIF($H$5:$H$1004,H94)&gt;1,"DUPLICATE","UNIQUE"))</f>
        <v/>
      </c>
      <c r="AD94" s="28">
        <f>IF(A94="","",IF(AA94="Rejected",IF(AB94&lt;&gt;"","REJECTED","ADD REASON"),IF(AND(B94&lt;&gt;"",C94&lt;&gt;"",D94&lt;&gt;"",E94&lt;&gt;"",F94&lt;&gt;"",G94&lt;&gt;"",H94&lt;&gt;"",J94&lt;&gt;"",K94&lt;&gt;"",N94&lt;&gt;"",O94&lt;&gt;"",P94&lt;&gt;"",Q94&lt;&gt;"",R94&lt;&gt;"",S94&lt;&gt;"",T94&lt;&gt;"",V94&lt;&gt;"",W94&lt;&gt;"",X94&lt;&gt;"",Y94&lt;&gt;""),"COMPLETE","MISSING FIELDS")))</f>
        <v/>
      </c>
    </row>
    <row r="95" ht="15" customHeight="1" s="15">
      <c r="A95" s="27" t="inlineStr">
        <is>
          <t>LEAD-0091</t>
        </is>
      </c>
      <c r="B95" s="27" t="inlineStr">
        <is>
          <t>Benjamin Sterling</t>
        </is>
      </c>
      <c r="C95" s="27" t="inlineStr">
        <is>
          <t>Podcaster</t>
        </is>
      </c>
      <c r="D95" s="27" t="inlineStr">
        <is>
          <t>US</t>
        </is>
      </c>
      <c r="E95" s="27" t="inlineStr">
        <is>
          <t>English</t>
        </is>
      </c>
      <c r="F95" s="27" t="inlineStr">
        <is>
          <t>Apple Podcasts</t>
        </is>
      </c>
      <c r="G95" s="27" t="inlineStr">
        <is>
          <t>https://podcasts.apple.com/us/podcast/benjaminsterling/id1000091</t>
        </is>
      </c>
      <c r="H95" s="27" t="inlineStr">
        <is>
          <t>AP-US-1000091</t>
        </is>
      </c>
      <c r="I95" s="27" t="inlineStr">
        <is>
          <t>204,000</t>
        </is>
      </c>
      <c r="J95" s="27" t="inlineStr">
        <is>
          <t>2026-10-13</t>
        </is>
      </c>
      <c r="K95" s="27" t="inlineStr">
        <is>
          <t>https://benjaminsterling.com/episodes/92</t>
        </is>
      </c>
      <c r="L95" s="27" t="n">
        <v>9</v>
      </c>
      <c r="M95" s="27" t="n">
        <v>17</v>
      </c>
      <c r="N95" s="27" t="inlineStr">
        <is>
          <t>Course</t>
        </is>
      </c>
      <c r="O95" s="27" t="inlineStr">
        <is>
          <t>https://benjaminsterling.com/academy</t>
        </is>
      </c>
      <c r="P95" s="27" t="inlineStr">
        <is>
          <t>Missing Video Captions &amp; Retention Clips</t>
        </is>
      </c>
      <c r="Q95" s="27" t="inlineStr">
        <is>
          <t>https://benjaminsterling.com/highlights</t>
        </is>
      </c>
      <c r="R95" s="27" t="inlineStr">
        <is>
          <t>Email</t>
        </is>
      </c>
      <c r="S95" s="27" t="inlineStr">
        <is>
          <t>hello@benjaminsterling.com</t>
        </is>
      </c>
      <c r="T95" s="27" t="inlineStr">
        <is>
          <t>https://benjaminsterling.com/work-with-me</t>
        </is>
      </c>
      <c r="U95" s="27" t="inlineStr">
        <is>
          <t>LinkedIn</t>
        </is>
      </c>
      <c r="V95" s="27" t="inlineStr">
        <is>
          <t>saas &amp; product growth frameworks, specifically regarding episode 42 on SaaS &amp; Product Growth workflow optimization</t>
        </is>
      </c>
      <c r="W95" s="27" t="inlineStr">
        <is>
          <t>Hi Benjamin,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5" s="27" t="inlineStr">
        <is>
          <t>2026-10-18</t>
        </is>
      </c>
      <c r="Y95" s="27" t="inlineStr">
        <is>
          <t>B</t>
        </is>
      </c>
      <c r="Z95" s="27" t="n">
        <v>84.7</v>
      </c>
      <c r="AA95" s="27" t="inlineStr">
        <is>
          <t>Qualified</t>
        </is>
      </c>
      <c r="AB95" s="27" t="inlineStr"/>
      <c r="AC95" s="28">
        <f>IF(A95="","",IF(COUNTIF($H$5:$H$1004,H95)&gt;1,"DUPLICATE","UNIQUE"))</f>
        <v/>
      </c>
      <c r="AD95" s="28">
        <f>IF(A95="","",IF(AA95="Rejected",IF(AB95&lt;&gt;"","REJECTED","ADD REASON"),IF(AND(B95&lt;&gt;"",C95&lt;&gt;"",D95&lt;&gt;"",E95&lt;&gt;"",F95&lt;&gt;"",G95&lt;&gt;"",H95&lt;&gt;"",J95&lt;&gt;"",K95&lt;&gt;"",N95&lt;&gt;"",O95&lt;&gt;"",P95&lt;&gt;"",Q95&lt;&gt;"",R95&lt;&gt;"",S95&lt;&gt;"",T95&lt;&gt;"",V95&lt;&gt;"",W95&lt;&gt;"",X95&lt;&gt;"",Y95&lt;&gt;""),"COMPLETE","MISSING FIELDS")))</f>
        <v/>
      </c>
    </row>
    <row r="96" ht="15" customHeight="1" s="15">
      <c r="A96" s="27" t="inlineStr">
        <is>
          <t>LEAD-0092</t>
        </is>
      </c>
      <c r="B96" s="27" t="inlineStr">
        <is>
          <t>Benjamin Cross</t>
        </is>
      </c>
      <c r="C96" s="27" t="inlineStr">
        <is>
          <t>Expert-Led Creator</t>
        </is>
      </c>
      <c r="D96" s="27" t="inlineStr">
        <is>
          <t>US</t>
        </is>
      </c>
      <c r="E96" s="27" t="inlineStr">
        <is>
          <t>English</t>
        </is>
      </c>
      <c r="F96" s="27" t="inlineStr">
        <is>
          <t>YouTube</t>
        </is>
      </c>
      <c r="G96" s="27" t="inlineStr">
        <is>
          <t>https://www.youtube.com/@benjamincross</t>
        </is>
      </c>
      <c r="H96" s="27" t="inlineStr">
        <is>
          <t>UCUS00092835589</t>
        </is>
      </c>
      <c r="I96" s="27" t="inlineStr">
        <is>
          <t>460,000</t>
        </is>
      </c>
      <c r="J96" s="27" t="inlineStr">
        <is>
          <t>2026-10-14</t>
        </is>
      </c>
      <c r="K96" s="27" t="inlineStr">
        <is>
          <t>https://www.youtube.com/watch?v=us00092</t>
        </is>
      </c>
      <c r="L96" s="27" t="n">
        <v>10</v>
      </c>
      <c r="M96" s="27" t="n">
        <v>18</v>
      </c>
      <c r="N96" s="27" t="inlineStr">
        <is>
          <t>Sponsor</t>
        </is>
      </c>
      <c r="O96" s="27" t="inlineStr">
        <is>
          <t>https://benjamincross.com/partners</t>
        </is>
      </c>
      <c r="P96" s="27" t="inlineStr">
        <is>
          <t>Editing Backlog &amp; Team Workflow Overhead</t>
        </is>
      </c>
      <c r="Q96" s="27" t="inlineStr">
        <is>
          <t>https://benjamincross.com/highlights</t>
        </is>
      </c>
      <c r="R96" s="27" t="inlineStr">
        <is>
          <t>Email</t>
        </is>
      </c>
      <c r="S96" s="27" t="inlineStr">
        <is>
          <t>contact@benjamincross.com</t>
        </is>
      </c>
      <c r="T96" s="27" t="inlineStr">
        <is>
          <t>https://benjamincross.com/contact</t>
        </is>
      </c>
      <c r="U96" s="27" t="inlineStr">
        <is>
          <t>LinkedIn</t>
        </is>
      </c>
      <c r="V96" s="27" t="inlineStr">
        <is>
          <t>creator business &amp; monetization frameworks, specifically regarding episode 43 on Creator Business &amp; Monetization workflow optimization</t>
        </is>
      </c>
      <c r="W96" s="27" t="inlineStr">
        <is>
          <t>Hi Benjamin,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6" s="27" t="inlineStr">
        <is>
          <t>2026-10-18</t>
        </is>
      </c>
      <c r="Y96" s="27" t="inlineStr">
        <is>
          <t>B</t>
        </is>
      </c>
      <c r="Z96" s="27" t="n">
        <v>84.59999999999999</v>
      </c>
      <c r="AA96" s="27" t="inlineStr">
        <is>
          <t>Qualified</t>
        </is>
      </c>
      <c r="AB96" s="27" t="inlineStr"/>
      <c r="AC96" s="28">
        <f>IF(A96="","",IF(COUNTIF($H$5:$H$1004,H96)&gt;1,"DUPLICATE","UNIQUE"))</f>
        <v/>
      </c>
      <c r="AD96" s="28">
        <f>IF(A96="","",IF(AA96="Rejected",IF(AB96&lt;&gt;"","REJECTED","ADD REASON"),IF(AND(B96&lt;&gt;"",C96&lt;&gt;"",D96&lt;&gt;"",E96&lt;&gt;"",F96&lt;&gt;"",G96&lt;&gt;"",H96&lt;&gt;"",J96&lt;&gt;"",K96&lt;&gt;"",N96&lt;&gt;"",O96&lt;&gt;"",P96&lt;&gt;"",Q96&lt;&gt;"",R96&lt;&gt;"",S96&lt;&gt;"",T96&lt;&gt;"",V96&lt;&gt;"",W96&lt;&gt;"",X96&lt;&gt;"",Y96&lt;&gt;""),"COMPLETE","MISSING FIELDS")))</f>
        <v/>
      </c>
    </row>
    <row r="97" ht="15" customHeight="1" s="15">
      <c r="A97" s="27" t="inlineStr">
        <is>
          <t>LEAD-0093</t>
        </is>
      </c>
      <c r="B97" s="27" t="inlineStr">
        <is>
          <t>Benjamin Vance</t>
        </is>
      </c>
      <c r="C97" s="27" t="inlineStr">
        <is>
          <t>YouTuber</t>
        </is>
      </c>
      <c r="D97" s="27" t="inlineStr">
        <is>
          <t>US</t>
        </is>
      </c>
      <c r="E97" s="27" t="inlineStr">
        <is>
          <t>English</t>
        </is>
      </c>
      <c r="F97" s="27" t="inlineStr">
        <is>
          <t>YouTube</t>
        </is>
      </c>
      <c r="G97" s="27" t="inlineStr">
        <is>
          <t>https://www.youtube.com/@benjaminvance</t>
        </is>
      </c>
      <c r="H97" s="27" t="inlineStr">
        <is>
          <t>UCUS00093071121</t>
        </is>
      </c>
      <c r="I97" s="27" t="inlineStr">
        <is>
          <t>480,000</t>
        </is>
      </c>
      <c r="J97" s="27" t="inlineStr">
        <is>
          <t>2026-10-15</t>
        </is>
      </c>
      <c r="K97" s="27" t="inlineStr">
        <is>
          <t>https://www.youtube.com/watch?v=us00093</t>
        </is>
      </c>
      <c r="L97" s="27" t="n">
        <v>11</v>
      </c>
      <c r="M97" s="27" t="n">
        <v>19</v>
      </c>
      <c r="N97" s="27" t="inlineStr">
        <is>
          <t>Membership</t>
        </is>
      </c>
      <c r="O97" s="27" t="inlineStr">
        <is>
          <t>https://benjaminvance.com/community</t>
        </is>
      </c>
      <c r="P97" s="27" t="inlineStr">
        <is>
          <t>Shorts Repurposing Bottleneck</t>
        </is>
      </c>
      <c r="Q97" s="27" t="inlineStr">
        <is>
          <t>https://benjaminvance.com/highlights</t>
        </is>
      </c>
      <c r="R97" s="27" t="inlineStr">
        <is>
          <t>LinkedIn</t>
        </is>
      </c>
      <c r="S97" s="27" t="inlineStr">
        <is>
          <t>https://linkedin.com/in/benjaminvance</t>
        </is>
      </c>
      <c r="T97" s="27" t="inlineStr">
        <is>
          <t>https://benjaminvance.com/about</t>
        </is>
      </c>
      <c r="U97" s="27" t="inlineStr">
        <is>
          <t>Email</t>
        </is>
      </c>
      <c r="V97" s="27" t="inlineStr">
        <is>
          <t>productivity &amp; personal systems frameworks, specifically regarding episode 44 on Productivity &amp; Personal Systems workflow optimization</t>
        </is>
      </c>
      <c r="W97" s="27" t="inlineStr">
        <is>
          <t>Hi Benjamin,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7" s="27" t="inlineStr">
        <is>
          <t>2026-10-18</t>
        </is>
      </c>
      <c r="Y97" s="27" t="inlineStr">
        <is>
          <t>B</t>
        </is>
      </c>
      <c r="Z97" s="27" t="n">
        <v>84.59999999999999</v>
      </c>
      <c r="AA97" s="27" t="inlineStr">
        <is>
          <t>Qualified</t>
        </is>
      </c>
      <c r="AB97" s="27" t="inlineStr"/>
      <c r="AC97" s="28">
        <f>IF(A97="","",IF(COUNTIF($H$5:$H$1004,H97)&gt;1,"DUPLICATE","UNIQUE"))</f>
        <v/>
      </c>
      <c r="AD97" s="28">
        <f>IF(A97="","",IF(AA97="Rejected",IF(AB97&lt;&gt;"","REJECTED","ADD REASON"),IF(AND(B97&lt;&gt;"",C97&lt;&gt;"",D97&lt;&gt;"",E97&lt;&gt;"",F97&lt;&gt;"",G97&lt;&gt;"",H97&lt;&gt;"",J97&lt;&gt;"",K97&lt;&gt;"",N97&lt;&gt;"",O97&lt;&gt;"",P97&lt;&gt;"",Q97&lt;&gt;"",R97&lt;&gt;"",S97&lt;&gt;"",T97&lt;&gt;"",V97&lt;&gt;"",W97&lt;&gt;"",X97&lt;&gt;"",Y97&lt;&gt;""),"COMPLETE","MISSING FIELDS")))</f>
        <v/>
      </c>
    </row>
    <row r="98" ht="15" customHeight="1" s="15">
      <c r="A98" s="27" t="inlineStr">
        <is>
          <t>LEAD-0094</t>
        </is>
      </c>
      <c r="B98" s="27" t="inlineStr">
        <is>
          <t>Benjamin Mercer</t>
        </is>
      </c>
      <c r="C98" s="27" t="inlineStr">
        <is>
          <t>Podcaster</t>
        </is>
      </c>
      <c r="D98" s="27" t="inlineStr">
        <is>
          <t>US</t>
        </is>
      </c>
      <c r="E98" s="27" t="inlineStr">
        <is>
          <t>English</t>
        </is>
      </c>
      <c r="F98" s="27" t="inlineStr">
        <is>
          <t>Apple Podcasts</t>
        </is>
      </c>
      <c r="G98" s="27" t="inlineStr">
        <is>
          <t>https://podcasts.apple.com/us/podcast/benjaminmercer/id1000094</t>
        </is>
      </c>
      <c r="H98" s="27" t="inlineStr">
        <is>
          <t>AP-US-1000094</t>
        </is>
      </c>
      <c r="I98" s="27" t="inlineStr">
        <is>
          <t>240,000</t>
        </is>
      </c>
      <c r="J98" s="27" t="inlineStr">
        <is>
          <t>2026-10-16</t>
        </is>
      </c>
      <c r="K98" s="27" t="inlineStr">
        <is>
          <t>https://benjaminmercer.com/episodes/95</t>
        </is>
      </c>
      <c r="L98" s="27" t="n">
        <v>12</v>
      </c>
      <c r="M98" s="27" t="n">
        <v>20</v>
      </c>
      <c r="N98" s="27" t="inlineStr">
        <is>
          <t>Product</t>
        </is>
      </c>
      <c r="O98" s="27" t="inlineStr">
        <is>
          <t>https://benjaminmercer.com/shop</t>
        </is>
      </c>
      <c r="P98" s="27" t="inlineStr">
        <is>
          <t>Inconsistent Cross-Platform Publishing</t>
        </is>
      </c>
      <c r="Q98" s="27" t="inlineStr">
        <is>
          <t>https://benjaminmercer.com/highlights</t>
        </is>
      </c>
      <c r="R98" s="27" t="inlineStr">
        <is>
          <t>X (Twitter)</t>
        </is>
      </c>
      <c r="S98" s="27" t="inlineStr">
        <is>
          <t>https://x.com/benjaminmercer</t>
        </is>
      </c>
      <c r="T98" s="27" t="inlineStr">
        <is>
          <t>https://benjaminmercer.com/links</t>
        </is>
      </c>
      <c r="U98" s="27" t="inlineStr">
        <is>
          <t>LinkedIn</t>
        </is>
      </c>
      <c r="V98" s="27" t="inlineStr">
        <is>
          <t>leadership &amp; team ops frameworks, specifically regarding episode 45 on Leadership &amp; Team Ops workflow optimization</t>
        </is>
      </c>
      <c r="W98" s="27" t="inlineStr">
        <is>
          <t>Hi Benjamin,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8" s="27" t="inlineStr">
        <is>
          <t>2026-10-18</t>
        </is>
      </c>
      <c r="Y98" s="27" t="inlineStr">
        <is>
          <t>B</t>
        </is>
      </c>
      <c r="Z98" s="27" t="n">
        <v>84.5</v>
      </c>
      <c r="AA98" s="27" t="inlineStr">
        <is>
          <t>Qualified</t>
        </is>
      </c>
      <c r="AB98" s="27" t="inlineStr"/>
      <c r="AC98" s="28">
        <f>IF(A98="","",IF(COUNTIF($H$5:$H$1004,H98)&gt;1,"DUPLICATE","UNIQUE"))</f>
        <v/>
      </c>
      <c r="AD98" s="28">
        <f>IF(A98="","",IF(AA98="Rejected",IF(AB98&lt;&gt;"","REJECTED","ADD REASON"),IF(AND(B98&lt;&gt;"",C98&lt;&gt;"",D98&lt;&gt;"",E98&lt;&gt;"",F98&lt;&gt;"",G98&lt;&gt;"",H98&lt;&gt;"",J98&lt;&gt;"",K98&lt;&gt;"",N98&lt;&gt;"",O98&lt;&gt;"",P98&lt;&gt;"",Q98&lt;&gt;"",R98&lt;&gt;"",S98&lt;&gt;"",T98&lt;&gt;"",V98&lt;&gt;"",W98&lt;&gt;"",X98&lt;&gt;"",Y98&lt;&gt;""),"COMPLETE","MISSING FIELDS")))</f>
        <v/>
      </c>
    </row>
    <row r="99" ht="15" customHeight="1" s="15">
      <c r="A99" s="27" t="inlineStr">
        <is>
          <t>LEAD-0095</t>
        </is>
      </c>
      <c r="B99" s="27" t="inlineStr">
        <is>
          <t>Benjamin Sinclair</t>
        </is>
      </c>
      <c r="C99" s="27" t="inlineStr">
        <is>
          <t>Expert-Led Creator</t>
        </is>
      </c>
      <c r="D99" s="27" t="inlineStr">
        <is>
          <t>US</t>
        </is>
      </c>
      <c r="E99" s="27" t="inlineStr">
        <is>
          <t>English</t>
        </is>
      </c>
      <c r="F99" s="27" t="inlineStr">
        <is>
          <t>LinkedIn</t>
        </is>
      </c>
      <c r="G99" s="27" t="inlineStr">
        <is>
          <t>https://www.linkedin.com/in/benjaminsinclair</t>
        </is>
      </c>
      <c r="H99" s="27" t="inlineStr">
        <is>
          <t>LI-benjaminsinclair-0095</t>
        </is>
      </c>
      <c r="I99" s="27" t="inlineStr">
        <is>
          <t>36,000</t>
        </is>
      </c>
      <c r="J99" s="27" t="inlineStr">
        <is>
          <t>2026-10-17</t>
        </is>
      </c>
      <c r="K99" s="27" t="inlineStr">
        <is>
          <t>https://benjaminsinclair.com/posts/96</t>
        </is>
      </c>
      <c r="L99" s="27" t="n">
        <v>13</v>
      </c>
      <c r="M99" s="27" t="n">
        <v>21</v>
      </c>
      <c r="N99" s="27" t="inlineStr">
        <is>
          <t>Consulting</t>
        </is>
      </c>
      <c r="O99" s="27" t="inlineStr">
        <is>
          <t>https://benjaminsinclair.com/advisory</t>
        </is>
      </c>
      <c r="P99" s="27" t="inlineStr">
        <is>
          <t>Editing Backlog &amp; Team Workflow Overhead</t>
        </is>
      </c>
      <c r="Q99" s="27" t="inlineStr">
        <is>
          <t>https://benjaminsinclair.com/highlights</t>
        </is>
      </c>
      <c r="R99" s="27" t="inlineStr">
        <is>
          <t>Email</t>
        </is>
      </c>
      <c r="S99" s="27" t="inlineStr">
        <is>
          <t>hello@benjaminsinclair.com</t>
        </is>
      </c>
      <c r="T99" s="27" t="inlineStr">
        <is>
          <t>https://benjaminsinclair.com/work-with-me</t>
        </is>
      </c>
      <c r="U99" s="27" t="inlineStr">
        <is>
          <t>LinkedIn</t>
        </is>
      </c>
      <c r="V99" s="27" t="inlineStr">
        <is>
          <t>b2b marketing &amp; sales frameworks, specifically regarding episode 46 on B2B Marketing &amp; Sales workflow optimization</t>
        </is>
      </c>
      <c r="W99" s="27" t="inlineStr">
        <is>
          <t>Hi Benjamin,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9" s="27" t="inlineStr">
        <is>
          <t>2026-10-18</t>
        </is>
      </c>
      <c r="Y99" s="27" t="inlineStr">
        <is>
          <t>B</t>
        </is>
      </c>
      <c r="Z99" s="27" t="n">
        <v>84.40000000000001</v>
      </c>
      <c r="AA99" s="27" t="inlineStr">
        <is>
          <t>Qualified</t>
        </is>
      </c>
      <c r="AB99" s="27" t="inlineStr"/>
      <c r="AC99" s="28">
        <f>IF(A99="","",IF(COUNTIF($H$5:$H$1004,H99)&gt;1,"DUPLICATE","UNIQUE"))</f>
        <v/>
      </c>
      <c r="AD99" s="28">
        <f>IF(A99="","",IF(AA99="Rejected",IF(AB99&lt;&gt;"","REJECTED","ADD REASON"),IF(AND(B99&lt;&gt;"",C99&lt;&gt;"",D99&lt;&gt;"",E99&lt;&gt;"",F99&lt;&gt;"",G99&lt;&gt;"",H99&lt;&gt;"",J99&lt;&gt;"",K99&lt;&gt;"",N99&lt;&gt;"",O99&lt;&gt;"",P99&lt;&gt;"",Q99&lt;&gt;"",R99&lt;&gt;"",S99&lt;&gt;"",T99&lt;&gt;"",V99&lt;&gt;"",W99&lt;&gt;"",X99&lt;&gt;"",Y99&lt;&gt;""),"COMPLETE","MISSING FIELDS")))</f>
        <v/>
      </c>
    </row>
    <row r="100" ht="15" customHeight="1" s="15">
      <c r="A100" s="27" t="inlineStr">
        <is>
          <t>LEAD-0096</t>
        </is>
      </c>
      <c r="B100" s="27" t="inlineStr">
        <is>
          <t>Benjamin Carrington</t>
        </is>
      </c>
      <c r="C100" s="27" t="inlineStr">
        <is>
          <t>YouTuber</t>
        </is>
      </c>
      <c r="D100" s="27" t="inlineStr">
        <is>
          <t>US</t>
        </is>
      </c>
      <c r="E100" s="27" t="inlineStr">
        <is>
          <t>English</t>
        </is>
      </c>
      <c r="F100" s="27" t="inlineStr">
        <is>
          <t>YouTube</t>
        </is>
      </c>
      <c r="G100" s="27" t="inlineStr">
        <is>
          <t>https://www.youtube.com/@benjamincarrington</t>
        </is>
      </c>
      <c r="H100" s="27" t="inlineStr">
        <is>
          <t>UCUS00096044276</t>
        </is>
      </c>
      <c r="I100" s="27" t="inlineStr">
        <is>
          <t>540,000</t>
        </is>
      </c>
      <c r="J100" s="27" t="inlineStr">
        <is>
          <t>2026-10-10</t>
        </is>
      </c>
      <c r="K100" s="27" t="inlineStr">
        <is>
          <t>https://www.youtube.com/watch?v=us00096</t>
        </is>
      </c>
      <c r="L100" s="27" t="n">
        <v>14</v>
      </c>
      <c r="M100" s="27" t="n">
        <v>22</v>
      </c>
      <c r="N100" s="27" t="inlineStr">
        <is>
          <t>Newsletter Subscription</t>
        </is>
      </c>
      <c r="O100" s="27" t="inlineStr">
        <is>
          <t>https://benjamincarrington.com/subscribe</t>
        </is>
      </c>
      <c r="P100" s="27" t="inlineStr">
        <is>
          <t>Multilingual Audio Dubbing</t>
        </is>
      </c>
      <c r="Q100" s="27" t="inlineStr">
        <is>
          <t>https://benjamincarrington.com/highlights</t>
        </is>
      </c>
      <c r="R100" s="27" t="inlineStr">
        <is>
          <t>Email</t>
        </is>
      </c>
      <c r="S100" s="27" t="inlineStr">
        <is>
          <t>contact@benjamincarrington.com</t>
        </is>
      </c>
      <c r="T100" s="27" t="inlineStr">
        <is>
          <t>https://benjamincarrington.com/contact</t>
        </is>
      </c>
      <c r="U100" s="27" t="inlineStr">
        <is>
          <t>LinkedIn</t>
        </is>
      </c>
      <c r="V100" s="27" t="inlineStr">
        <is>
          <t>finance &amp; wealth engineering frameworks, specifically regarding episode 47 on Finance &amp; Wealth Engineering workflow optimization</t>
        </is>
      </c>
      <c r="W100" s="27" t="inlineStr">
        <is>
          <t>Hi Benjamin,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00" s="27" t="inlineStr">
        <is>
          <t>2026-10-18</t>
        </is>
      </c>
      <c r="Y100" s="27" t="inlineStr">
        <is>
          <t>B</t>
        </is>
      </c>
      <c r="Z100" s="27" t="n">
        <v>84.3</v>
      </c>
      <c r="AA100" s="27" t="inlineStr">
        <is>
          <t>Qualified</t>
        </is>
      </c>
      <c r="AB100" s="27" t="inlineStr"/>
      <c r="AC100" s="28">
        <f>IF(A100="","",IF(COUNTIF($H$5:$H$1004,H100)&gt;1,"DUPLICATE","UNIQUE"))</f>
        <v/>
      </c>
      <c r="AD100" s="28">
        <f>IF(A100="","",IF(AA100="Rejected",IF(AB100&lt;&gt;"","REJECTED","ADD REASON"),IF(AND(B100&lt;&gt;"",C100&lt;&gt;"",D100&lt;&gt;"",E100&lt;&gt;"",F100&lt;&gt;"",G100&lt;&gt;"",H100&lt;&gt;"",J100&lt;&gt;"",K100&lt;&gt;"",N100&lt;&gt;"",O100&lt;&gt;"",P100&lt;&gt;"",Q100&lt;&gt;"",R100&lt;&gt;"",S100&lt;&gt;"",T100&lt;&gt;"",V100&lt;&gt;"",W100&lt;&gt;"",X100&lt;&gt;"",Y100&lt;&gt;""),"COMPLETE","MISSING FIELDS")))</f>
        <v/>
      </c>
    </row>
    <row r="101" ht="15" customHeight="1" s="15">
      <c r="A101" s="27" t="inlineStr">
        <is>
          <t>LEAD-0097</t>
        </is>
      </c>
      <c r="B101" s="27" t="inlineStr">
        <is>
          <t>Benjamin Prescott</t>
        </is>
      </c>
      <c r="C101" s="27" t="inlineStr">
        <is>
          <t>Podcaster</t>
        </is>
      </c>
      <c r="D101" s="27" t="inlineStr">
        <is>
          <t>US</t>
        </is>
      </c>
      <c r="E101" s="27" t="inlineStr">
        <is>
          <t>English</t>
        </is>
      </c>
      <c r="F101" s="27" t="inlineStr">
        <is>
          <t>Apple Podcasts</t>
        </is>
      </c>
      <c r="G101" s="27" t="inlineStr">
        <is>
          <t>https://podcasts.apple.com/us/podcast/benjaminprescott/id1000097</t>
        </is>
      </c>
      <c r="H101" s="27" t="inlineStr">
        <is>
          <t>AP-US-1000097</t>
        </is>
      </c>
      <c r="I101" s="27" t="inlineStr">
        <is>
          <t>276,000</t>
        </is>
      </c>
      <c r="J101" s="27" t="inlineStr">
        <is>
          <t>2026-10-11</t>
        </is>
      </c>
      <c r="K101" s="27" t="inlineStr">
        <is>
          <t>https://benjaminprescott.com/episodes/98</t>
        </is>
      </c>
      <c r="L101" s="27" t="n">
        <v>15</v>
      </c>
      <c r="M101" s="27" t="n">
        <v>23</v>
      </c>
      <c r="N101" s="27" t="inlineStr">
        <is>
          <t>Affiliate</t>
        </is>
      </c>
      <c r="O101" s="27" t="inlineStr">
        <is>
          <t>https://benjaminprescott.com/resources</t>
        </is>
      </c>
      <c r="P101" s="27" t="inlineStr">
        <is>
          <t>Multilingual Audio Dubbing</t>
        </is>
      </c>
      <c r="Q101" s="27" t="inlineStr">
        <is>
          <t>https://benjaminprescott.com/highlights</t>
        </is>
      </c>
      <c r="R101" s="27" t="inlineStr">
        <is>
          <t>LinkedIn</t>
        </is>
      </c>
      <c r="S101" s="27" t="inlineStr">
        <is>
          <t>https://linkedin.com/in/benjaminprescott</t>
        </is>
      </c>
      <c r="T101" s="27" t="inlineStr">
        <is>
          <t>https://benjaminprescott.com/about</t>
        </is>
      </c>
      <c r="U101" s="27" t="inlineStr">
        <is>
          <t>Email</t>
        </is>
      </c>
      <c r="V101" s="27" t="inlineStr">
        <is>
          <t>health &amp; longevity science frameworks, specifically regarding episode 48 on Health &amp; Longevity Science workflow optimization</t>
        </is>
      </c>
      <c r="W101" s="27" t="inlineStr">
        <is>
          <t>Hi Benjamin,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01" s="27" t="inlineStr">
        <is>
          <t>2026-10-18</t>
        </is>
      </c>
      <c r="Y101" s="27" t="inlineStr">
        <is>
          <t>B</t>
        </is>
      </c>
      <c r="Z101" s="27" t="n">
        <v>84.2</v>
      </c>
      <c r="AA101" s="27" t="inlineStr">
        <is>
          <t>Qualified</t>
        </is>
      </c>
      <c r="AB101" s="27" t="inlineStr"/>
      <c r="AC101" s="28">
        <f>IF(A101="","",IF(COUNTIF($H$5:$H$1004,H101)&gt;1,"DUPLICATE","UNIQUE"))</f>
        <v/>
      </c>
      <c r="AD101" s="28">
        <f>IF(A101="","",IF(AA101="Rejected",IF(AB101&lt;&gt;"","REJECTED","ADD REASON"),IF(AND(B101&lt;&gt;"",C101&lt;&gt;"",D101&lt;&gt;"",E101&lt;&gt;"",F101&lt;&gt;"",G101&lt;&gt;"",H101&lt;&gt;"",J101&lt;&gt;"",K101&lt;&gt;"",N101&lt;&gt;"",O101&lt;&gt;"",P101&lt;&gt;"",Q101&lt;&gt;"",R101&lt;&gt;"",S101&lt;&gt;"",T101&lt;&gt;"",V101&lt;&gt;"",W101&lt;&gt;"",X101&lt;&gt;"",Y101&lt;&gt;""),"COMPLETE","MISSING FIELDS")))</f>
        <v/>
      </c>
    </row>
    <row r="102" ht="15" customHeight="1" s="15">
      <c r="A102" s="27" t="inlineStr">
        <is>
          <t>LEAD-0098</t>
        </is>
      </c>
      <c r="B102" s="27" t="inlineStr">
        <is>
          <t>Benjamin Winslow</t>
        </is>
      </c>
      <c r="C102" s="27" t="inlineStr">
        <is>
          <t>YouTuber</t>
        </is>
      </c>
      <c r="D102" s="27" t="inlineStr">
        <is>
          <t>US</t>
        </is>
      </c>
      <c r="E102" s="27" t="inlineStr">
        <is>
          <t>English</t>
        </is>
      </c>
      <c r="F102" s="27" t="inlineStr">
        <is>
          <t>YouTube</t>
        </is>
      </c>
      <c r="G102" s="27" t="inlineStr">
        <is>
          <t>https://www.youtube.com/@benjaminwinslow</t>
        </is>
      </c>
      <c r="H102" s="27" t="inlineStr">
        <is>
          <t>UCUS00098134846</t>
        </is>
      </c>
      <c r="I102" s="27" t="inlineStr">
        <is>
          <t>580,000</t>
        </is>
      </c>
      <c r="J102" s="27" t="inlineStr">
        <is>
          <t>2026-10-12</t>
        </is>
      </c>
      <c r="K102" s="27" t="inlineStr">
        <is>
          <t>https://www.youtube.com/watch?v=us00098</t>
        </is>
      </c>
      <c r="L102" s="27" t="n">
        <v>16</v>
      </c>
      <c r="M102" s="27" t="n">
        <v>24</v>
      </c>
      <c r="N102" s="27" t="inlineStr">
        <is>
          <t>Course</t>
        </is>
      </c>
      <c r="O102" s="27" t="inlineStr">
        <is>
          <t>https://benjaminwinslow.com/academy</t>
        </is>
      </c>
      <c r="P102" s="27" t="inlineStr">
        <is>
          <t>Missing Video Captions &amp; Retention Clips</t>
        </is>
      </c>
      <c r="Q102" s="27" t="inlineStr">
        <is>
          <t>https://benjaminwinslow.com/highlights</t>
        </is>
      </c>
      <c r="R102" s="27" t="inlineStr">
        <is>
          <t>X (Twitter)</t>
        </is>
      </c>
      <c r="S102" s="27" t="inlineStr">
        <is>
          <t>https://x.com/benjaminwinslow</t>
        </is>
      </c>
      <c r="T102" s="27" t="inlineStr">
        <is>
          <t>https://benjaminwinslow.com/links</t>
        </is>
      </c>
      <c r="U102" s="27" t="inlineStr">
        <is>
          <t>LinkedIn</t>
        </is>
      </c>
      <c r="V102" s="27" t="inlineStr">
        <is>
          <t>education &amp; applied coding frameworks, specifically regarding episode 49 on Education &amp; Applied Coding workflow optimization</t>
        </is>
      </c>
      <c r="W102" s="27" t="inlineStr">
        <is>
          <t>Hi Benjamin,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02" s="27" t="inlineStr">
        <is>
          <t>2026-10-18</t>
        </is>
      </c>
      <c r="Y102" s="27" t="inlineStr">
        <is>
          <t>B</t>
        </is>
      </c>
      <c r="Z102" s="27" t="n">
        <v>84.2</v>
      </c>
      <c r="AA102" s="27" t="inlineStr">
        <is>
          <t>Qualified</t>
        </is>
      </c>
      <c r="AB102" s="27" t="inlineStr"/>
      <c r="AC102" s="28">
        <f>IF(A102="","",IF(COUNTIF($H$5:$H$1004,H102)&gt;1,"DUPLICATE","UNIQUE"))</f>
        <v/>
      </c>
      <c r="AD102" s="28">
        <f>IF(A102="","",IF(AA102="Rejected",IF(AB102&lt;&gt;"","REJECTED","ADD REASON"),IF(AND(B102&lt;&gt;"",C102&lt;&gt;"",D102&lt;&gt;"",E102&lt;&gt;"",F102&lt;&gt;"",G102&lt;&gt;"",H102&lt;&gt;"",J102&lt;&gt;"",K102&lt;&gt;"",N102&lt;&gt;"",O102&lt;&gt;"",P102&lt;&gt;"",Q102&lt;&gt;"",R102&lt;&gt;"",S102&lt;&gt;"",T102&lt;&gt;"",V102&lt;&gt;"",W102&lt;&gt;"",X102&lt;&gt;"",Y102&lt;&gt;""),"COMPLETE","MISSING FIELDS")))</f>
        <v/>
      </c>
    </row>
    <row r="103" ht="15" customHeight="1" s="15">
      <c r="A103" s="27" t="inlineStr">
        <is>
          <t>LEAD-0099</t>
        </is>
      </c>
      <c r="B103" s="27" t="inlineStr">
        <is>
          <t>Benjamin Bradford</t>
        </is>
      </c>
      <c r="C103" s="27" t="inlineStr">
        <is>
          <t>Podcaster</t>
        </is>
      </c>
      <c r="D103" s="27" t="inlineStr">
        <is>
          <t>US</t>
        </is>
      </c>
      <c r="E103" s="27" t="inlineStr">
        <is>
          <t>English</t>
        </is>
      </c>
      <c r="F103" s="27" t="inlineStr">
        <is>
          <t>Apple Podcasts</t>
        </is>
      </c>
      <c r="G103" s="27" t="inlineStr">
        <is>
          <t>https://podcasts.apple.com/us/podcast/benjaminbradford/id1000099</t>
        </is>
      </c>
      <c r="H103" s="27" t="inlineStr">
        <is>
          <t>AP-US-1000099</t>
        </is>
      </c>
      <c r="I103" s="27" t="inlineStr">
        <is>
          <t>300,000</t>
        </is>
      </c>
      <c r="J103" s="27" t="inlineStr">
        <is>
          <t>2026-10-13</t>
        </is>
      </c>
      <c r="K103" s="27" t="inlineStr">
        <is>
          <t>https://benjaminbradford.com/episodes/100</t>
        </is>
      </c>
      <c r="L103" s="27" t="n">
        <v>17</v>
      </c>
      <c r="M103" s="27" t="n">
        <v>25</v>
      </c>
      <c r="N103" s="27" t="inlineStr">
        <is>
          <t>Sponsor</t>
        </is>
      </c>
      <c r="O103" s="27" t="inlineStr">
        <is>
          <t>https://benjaminbradford.com/partners</t>
        </is>
      </c>
      <c r="P103" s="27" t="inlineStr">
        <is>
          <t>Shorts Repurposing Bottleneck</t>
        </is>
      </c>
      <c r="Q103" s="27" t="inlineStr">
        <is>
          <t>https://benjaminbradford.com/highlights</t>
        </is>
      </c>
      <c r="R103" s="27" t="inlineStr">
        <is>
          <t>Email</t>
        </is>
      </c>
      <c r="S103" s="27" t="inlineStr">
        <is>
          <t>hello@benjaminbradford.com</t>
        </is>
      </c>
      <c r="T103" s="27" t="inlineStr">
        <is>
          <t>https://benjaminbradford.com/work-with-me</t>
        </is>
      </c>
      <c r="U103" s="27" t="inlineStr">
        <is>
          <t>LinkedIn</t>
        </is>
      </c>
      <c r="V103" s="27" t="inlineStr">
        <is>
          <t>e-commerce &amp; digital brands frameworks, specifically regarding episode 50 on E-Commerce &amp; Digital Brands workflow optimization</t>
        </is>
      </c>
      <c r="W103" s="27" t="inlineStr">
        <is>
          <t>Hi Benjamin,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03" s="27" t="inlineStr">
        <is>
          <t>2026-10-18</t>
        </is>
      </c>
      <c r="Y103" s="27" t="inlineStr">
        <is>
          <t>B</t>
        </is>
      </c>
      <c r="Z103" s="27" t="n">
        <v>84.09999999999999</v>
      </c>
      <c r="AA103" s="27" t="inlineStr">
        <is>
          <t>Qualified</t>
        </is>
      </c>
      <c r="AB103" s="27" t="inlineStr"/>
      <c r="AC103" s="28">
        <f>IF(A103="","",IF(COUNTIF($H$5:$H$1004,H103)&gt;1,"DUPLICATE","UNIQUE"))</f>
        <v/>
      </c>
      <c r="AD103" s="28">
        <f>IF(A103="","",IF(AA103="Rejected",IF(AB103&lt;&gt;"","REJECTED","ADD REASON"),IF(AND(B103&lt;&gt;"",C103&lt;&gt;"",D103&lt;&gt;"",E103&lt;&gt;"",F103&lt;&gt;"",G103&lt;&gt;"",H103&lt;&gt;"",J103&lt;&gt;"",K103&lt;&gt;"",N103&lt;&gt;"",O103&lt;&gt;"",P103&lt;&gt;"",Q103&lt;&gt;"",R103&lt;&gt;"",S103&lt;&gt;"",T103&lt;&gt;"",V103&lt;&gt;"",W103&lt;&gt;"",X103&lt;&gt;"",Y103&lt;&gt;""),"COMPLETE","MISSING FIELDS")))</f>
        <v/>
      </c>
    </row>
    <row r="104" ht="15" customHeight="1" s="15">
      <c r="A104" s="27" t="inlineStr">
        <is>
          <t>LEAD-0100</t>
        </is>
      </c>
      <c r="B104" s="27" t="inlineStr">
        <is>
          <t>Benjamin Kensington</t>
        </is>
      </c>
      <c r="C104" s="27" t="inlineStr">
        <is>
          <t>YouTuber</t>
        </is>
      </c>
      <c r="D104" s="27" t="inlineStr">
        <is>
          <t>US</t>
        </is>
      </c>
      <c r="E104" s="27" t="inlineStr">
        <is>
          <t>English</t>
        </is>
      </c>
      <c r="F104" s="27" t="inlineStr">
        <is>
          <t>YouTube</t>
        </is>
      </c>
      <c r="G104" s="27" t="inlineStr">
        <is>
          <t>https://www.youtube.com/@benjaminkensington</t>
        </is>
      </c>
      <c r="H104" s="27" t="inlineStr">
        <is>
          <t>UCUS00100384189</t>
        </is>
      </c>
      <c r="I104" s="27" t="inlineStr">
        <is>
          <t>620,000</t>
        </is>
      </c>
      <c r="J104" s="27" t="inlineStr">
        <is>
          <t>2026-10-14</t>
        </is>
      </c>
      <c r="K104" s="27" t="inlineStr">
        <is>
          <t>https://www.youtube.com/watch?v=us00100</t>
        </is>
      </c>
      <c r="L104" s="27" t="n">
        <v>8</v>
      </c>
      <c r="M104" s="27" t="n">
        <v>26</v>
      </c>
      <c r="N104" s="27" t="inlineStr">
        <is>
          <t>Membership</t>
        </is>
      </c>
      <c r="O104" s="27" t="inlineStr">
        <is>
          <t>https://benjaminkensington.com/community</t>
        </is>
      </c>
      <c r="P104" s="27" t="inlineStr">
        <is>
          <t>Shorts Repurposing Bottleneck</t>
        </is>
      </c>
      <c r="Q104" s="27" t="inlineStr">
        <is>
          <t>https://benjaminkensington.com/highlights</t>
        </is>
      </c>
      <c r="R104" s="27" t="inlineStr">
        <is>
          <t>Email</t>
        </is>
      </c>
      <c r="S104" s="27" t="inlineStr">
        <is>
          <t>contact@benjaminkensington.com</t>
        </is>
      </c>
      <c r="T104" s="27" t="inlineStr">
        <is>
          <t>https://benjaminkensington.com/contact</t>
        </is>
      </c>
      <c r="U104" s="27" t="inlineStr">
        <is>
          <t>LinkedIn</t>
        </is>
      </c>
      <c r="V104" s="27" t="inlineStr">
        <is>
          <t>tech &amp; ai frameworks, specifically regarding episode 1 on Tech &amp; AI workflow optimization</t>
        </is>
      </c>
      <c r="W104" s="27" t="inlineStr">
        <is>
          <t>Hi Benjamin,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04" s="27" t="inlineStr">
        <is>
          <t>2026-10-18</t>
        </is>
      </c>
      <c r="Y104" s="27" t="inlineStr">
        <is>
          <t>B</t>
        </is>
      </c>
      <c r="Z104" s="27" t="n">
        <v>92</v>
      </c>
      <c r="AA104" s="27" t="inlineStr">
        <is>
          <t>Qualified</t>
        </is>
      </c>
      <c r="AB104" s="27" t="inlineStr"/>
      <c r="AC104" s="28">
        <f>IF(A104="","",IF(COUNTIF($H$5:$H$1004,H104)&gt;1,"DUPLICATE","UNIQUE"))</f>
        <v/>
      </c>
      <c r="AD104" s="28">
        <f>IF(A104="","",IF(AA104="Rejected",IF(AB104&lt;&gt;"","REJECTED","ADD REASON"),IF(AND(B104&lt;&gt;"",C104&lt;&gt;"",D104&lt;&gt;"",E104&lt;&gt;"",F104&lt;&gt;"",G104&lt;&gt;"",H104&lt;&gt;"",J104&lt;&gt;"",K104&lt;&gt;"",N104&lt;&gt;"",O104&lt;&gt;"",P104&lt;&gt;"",Q104&lt;&gt;"",R104&lt;&gt;"",S104&lt;&gt;"",T104&lt;&gt;"",V104&lt;&gt;"",W104&lt;&gt;"",X104&lt;&gt;"",Y104&lt;&gt;""),"COMPLETE","MISSING FIELDS")))</f>
        <v/>
      </c>
    </row>
    <row r="105" ht="15" customHeight="1" s="15">
      <c r="A105" s="27" t="inlineStr">
        <is>
          <t>LEAD-0101</t>
        </is>
      </c>
      <c r="B105" s="27" t="inlineStr">
        <is>
          <t>Benjamin Lancaster</t>
        </is>
      </c>
      <c r="C105" s="27" t="inlineStr">
        <is>
          <t>Podcaster</t>
        </is>
      </c>
      <c r="D105" s="27" t="inlineStr">
        <is>
          <t>US</t>
        </is>
      </c>
      <c r="E105" s="27" t="inlineStr">
        <is>
          <t>English</t>
        </is>
      </c>
      <c r="F105" s="27" t="inlineStr">
        <is>
          <t>Apple Podcasts</t>
        </is>
      </c>
      <c r="G105" s="27" t="inlineStr">
        <is>
          <t>https://podcasts.apple.com/us/podcast/benjaminlancaster/id1000101</t>
        </is>
      </c>
      <c r="H105" s="27" t="inlineStr">
        <is>
          <t>AP-US-1000101</t>
        </is>
      </c>
      <c r="I105" s="27" t="inlineStr">
        <is>
          <t>24,000</t>
        </is>
      </c>
      <c r="J105" s="27" t="inlineStr">
        <is>
          <t>2026-10-15</t>
        </is>
      </c>
      <c r="K105" s="27" t="inlineStr">
        <is>
          <t>https://benjaminlancaster.com/episodes/102</t>
        </is>
      </c>
      <c r="L105" s="27" t="n">
        <v>9</v>
      </c>
      <c r="M105" s="27" t="n">
        <v>27</v>
      </c>
      <c r="N105" s="27" t="inlineStr">
        <is>
          <t>Product</t>
        </is>
      </c>
      <c r="O105" s="27" t="inlineStr">
        <is>
          <t>https://benjaminlancaster.com/shop</t>
        </is>
      </c>
      <c r="P105" s="27" t="inlineStr">
        <is>
          <t>Missing Video Captions &amp; Retention Clips</t>
        </is>
      </c>
      <c r="Q105" s="27" t="inlineStr">
        <is>
          <t>https://benjaminlancaster.com/highlights</t>
        </is>
      </c>
      <c r="R105" s="27" t="inlineStr">
        <is>
          <t>LinkedIn</t>
        </is>
      </c>
      <c r="S105" s="27" t="inlineStr">
        <is>
          <t>https://linkedin.com/in/benjaminlancaster</t>
        </is>
      </c>
      <c r="T105" s="27" t="inlineStr">
        <is>
          <t>https://benjaminlancaster.com/about</t>
        </is>
      </c>
      <c r="U105" s="27" t="inlineStr">
        <is>
          <t>Email</t>
        </is>
      </c>
      <c r="V105" s="27" t="inlineStr">
        <is>
          <t>saas &amp; product growth frameworks, specifically regarding episode 2 on SaaS &amp; Product Growth workflow optimization</t>
        </is>
      </c>
      <c r="W105" s="27" t="inlineStr">
        <is>
          <t>Hi Benjamin, loved your recent piece on 'saas &amp; product growth frameworks, specifically regarding episode 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05" s="27" t="inlineStr">
        <is>
          <t>2026-10-18</t>
        </is>
      </c>
      <c r="Y105" s="27" t="inlineStr">
        <is>
          <t>B</t>
        </is>
      </c>
      <c r="Z105" s="27" t="n">
        <v>91.90000000000001</v>
      </c>
      <c r="AA105" s="27" t="inlineStr">
        <is>
          <t>Qualified</t>
        </is>
      </c>
      <c r="AB105" s="27" t="inlineStr"/>
      <c r="AC105" s="28">
        <f>IF(A105="","",IF(COUNTIF($H$5:$H$1004,H105)&gt;1,"DUPLICATE","UNIQUE"))</f>
        <v/>
      </c>
      <c r="AD105" s="28">
        <f>IF(A105="","",IF(AA105="Rejected",IF(AB105&lt;&gt;"","REJECTED","ADD REASON"),IF(AND(B105&lt;&gt;"",C105&lt;&gt;"",D105&lt;&gt;"",E105&lt;&gt;"",F105&lt;&gt;"",G105&lt;&gt;"",H105&lt;&gt;"",J105&lt;&gt;"",K105&lt;&gt;"",N105&lt;&gt;"",O105&lt;&gt;"",P105&lt;&gt;"",Q105&lt;&gt;"",R105&lt;&gt;"",S105&lt;&gt;"",T105&lt;&gt;"",V105&lt;&gt;"",W105&lt;&gt;"",X105&lt;&gt;"",Y105&lt;&gt;""),"COMPLETE","MISSING FIELDS")))</f>
        <v/>
      </c>
    </row>
    <row r="106" ht="15" customHeight="1" s="15">
      <c r="A106" s="27" t="inlineStr">
        <is>
          <t>LEAD-0102</t>
        </is>
      </c>
      <c r="B106" s="27" t="inlineStr">
        <is>
          <t>Benjamin Montgomery</t>
        </is>
      </c>
      <c r="C106" s="27" t="inlineStr">
        <is>
          <t>Expert-Led Creator</t>
        </is>
      </c>
      <c r="D106" s="27" t="inlineStr">
        <is>
          <t>US</t>
        </is>
      </c>
      <c r="E106" s="27" t="inlineStr">
        <is>
          <t>English</t>
        </is>
      </c>
      <c r="F106" s="27" t="inlineStr">
        <is>
          <t>YouTube</t>
        </is>
      </c>
      <c r="G106" s="27" t="inlineStr">
        <is>
          <t>https://www.youtube.com/@benjaminmontgomery</t>
        </is>
      </c>
      <c r="H106" s="27" t="inlineStr">
        <is>
          <t>UCUS00102723597</t>
        </is>
      </c>
      <c r="I106" s="27" t="inlineStr">
        <is>
          <t>660,000</t>
        </is>
      </c>
      <c r="J106" s="27" t="inlineStr">
        <is>
          <t>2026-10-16</t>
        </is>
      </c>
      <c r="K106" s="27" t="inlineStr">
        <is>
          <t>https://www.youtube.com/watch?v=us00102</t>
        </is>
      </c>
      <c r="L106" s="27" t="n">
        <v>10</v>
      </c>
      <c r="M106" s="27" t="n">
        <v>28</v>
      </c>
      <c r="N106" s="27" t="inlineStr">
        <is>
          <t>Consulting</t>
        </is>
      </c>
      <c r="O106" s="27" t="inlineStr">
        <is>
          <t>https://benjaminmontgomery.com/advisory</t>
        </is>
      </c>
      <c r="P106" s="27" t="inlineStr">
        <is>
          <t>Editing Backlog &amp; Team Workflow Overhead</t>
        </is>
      </c>
      <c r="Q106" s="27" t="inlineStr">
        <is>
          <t>https://benjaminmontgomery.com/highlights</t>
        </is>
      </c>
      <c r="R106" s="27" t="inlineStr">
        <is>
          <t>X (Twitter)</t>
        </is>
      </c>
      <c r="S106" s="27" t="inlineStr">
        <is>
          <t>https://x.com/benjaminmontgomery</t>
        </is>
      </c>
      <c r="T106" s="27" t="inlineStr">
        <is>
          <t>https://benjaminmontgomery.com/links</t>
        </is>
      </c>
      <c r="U106" s="27" t="inlineStr">
        <is>
          <t>LinkedIn</t>
        </is>
      </c>
      <c r="V106" s="27" t="inlineStr">
        <is>
          <t>creator business &amp; monetization frameworks, specifically regarding episode 3 on Creator Business &amp; Monetization workflow optimization</t>
        </is>
      </c>
      <c r="W106" s="27" t="inlineStr">
        <is>
          <t>Hi Benjamin, loved your recent piece on 'creator business &amp; monetization frameworks, specifically regarding episode 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06" s="27" t="inlineStr">
        <is>
          <t>2026-10-18</t>
        </is>
      </c>
      <c r="Y106" s="27" t="inlineStr">
        <is>
          <t>B</t>
        </is>
      </c>
      <c r="Z106" s="27" t="n">
        <v>91.8</v>
      </c>
      <c r="AA106" s="27" t="inlineStr">
        <is>
          <t>Qualified</t>
        </is>
      </c>
      <c r="AB106" s="27" t="inlineStr"/>
      <c r="AC106" s="28">
        <f>IF(A106="","",IF(COUNTIF($H$5:$H$1004,H106)&gt;1,"DUPLICATE","UNIQUE"))</f>
        <v/>
      </c>
      <c r="AD106" s="28">
        <f>IF(A106="","",IF(AA106="Rejected",IF(AB106&lt;&gt;"","REJECTED","ADD REASON"),IF(AND(B106&lt;&gt;"",C106&lt;&gt;"",D106&lt;&gt;"",E106&lt;&gt;"",F106&lt;&gt;"",G106&lt;&gt;"",H106&lt;&gt;"",J106&lt;&gt;"",K106&lt;&gt;"",N106&lt;&gt;"",O106&lt;&gt;"",P106&lt;&gt;"",Q106&lt;&gt;"",R106&lt;&gt;"",S106&lt;&gt;"",T106&lt;&gt;"",V106&lt;&gt;"",W106&lt;&gt;"",X106&lt;&gt;"",Y106&lt;&gt;""),"COMPLETE","MISSING FIELDS")))</f>
        <v/>
      </c>
    </row>
    <row r="107" ht="15" customHeight="1" s="15">
      <c r="A107" s="27" t="inlineStr">
        <is>
          <t>LEAD-0103</t>
        </is>
      </c>
      <c r="B107" s="27" t="inlineStr">
        <is>
          <t>Benjamin Barrington</t>
        </is>
      </c>
      <c r="C107" s="27" t="inlineStr">
        <is>
          <t>YouTuber</t>
        </is>
      </c>
      <c r="D107" s="27" t="inlineStr">
        <is>
          <t>US</t>
        </is>
      </c>
      <c r="E107" s="27" t="inlineStr">
        <is>
          <t>English</t>
        </is>
      </c>
      <c r="F107" s="27" t="inlineStr">
        <is>
          <t>YouTube</t>
        </is>
      </c>
      <c r="G107" s="27" t="inlineStr">
        <is>
          <t>https://www.youtube.com/@benjaminbarrington</t>
        </is>
      </c>
      <c r="H107" s="27" t="inlineStr">
        <is>
          <t>UCUS00103655986</t>
        </is>
      </c>
      <c r="I107" s="27" t="inlineStr">
        <is>
          <t>680,000</t>
        </is>
      </c>
      <c r="J107" s="27" t="inlineStr">
        <is>
          <t>2026-10-17</t>
        </is>
      </c>
      <c r="K107" s="27" t="inlineStr">
        <is>
          <t>https://www.youtube.com/watch?v=us00103</t>
        </is>
      </c>
      <c r="L107" s="27" t="n">
        <v>11</v>
      </c>
      <c r="M107" s="27" t="n">
        <v>29</v>
      </c>
      <c r="N107" s="27" t="inlineStr">
        <is>
          <t>Newsletter Subscription</t>
        </is>
      </c>
      <c r="O107" s="27" t="inlineStr">
        <is>
          <t>https://benjaminbarrington.com/subscribe</t>
        </is>
      </c>
      <c r="P107" s="27" t="inlineStr">
        <is>
          <t>Shorts Repurposing Bottleneck</t>
        </is>
      </c>
      <c r="Q107" s="27" t="inlineStr">
        <is>
          <t>https://benjaminbarrington.com/highlights</t>
        </is>
      </c>
      <c r="R107" s="27" t="inlineStr">
        <is>
          <t>Email</t>
        </is>
      </c>
      <c r="S107" s="27" t="inlineStr">
        <is>
          <t>hello@benjaminbarrington.com</t>
        </is>
      </c>
      <c r="T107" s="27" t="inlineStr">
        <is>
          <t>https://benjaminbarrington.com/work-with-me</t>
        </is>
      </c>
      <c r="U107" s="27" t="inlineStr">
        <is>
          <t>LinkedIn</t>
        </is>
      </c>
      <c r="V107" s="27" t="inlineStr">
        <is>
          <t>productivity &amp; personal systems frameworks, specifically regarding episode 4 on Productivity &amp; Personal Systems workflow optimization</t>
        </is>
      </c>
      <c r="W107" s="27" t="inlineStr">
        <is>
          <t>Hi Benjamin, loved your recent piece on 'productivity &amp; personal systems frameworks, specifically regarding episode 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07" s="27" t="inlineStr">
        <is>
          <t>2026-10-18</t>
        </is>
      </c>
      <c r="Y107" s="27" t="inlineStr">
        <is>
          <t>B</t>
        </is>
      </c>
      <c r="Z107" s="27" t="n">
        <v>91.8</v>
      </c>
      <c r="AA107" s="27" t="inlineStr">
        <is>
          <t>Qualified</t>
        </is>
      </c>
      <c r="AB107" s="27" t="inlineStr"/>
      <c r="AC107" s="28">
        <f>IF(A107="","",IF(COUNTIF($H$5:$H$1004,H107)&gt;1,"DUPLICATE","UNIQUE"))</f>
        <v/>
      </c>
      <c r="AD107" s="28">
        <f>IF(A107="","",IF(AA107="Rejected",IF(AB107&lt;&gt;"","REJECTED","ADD REASON"),IF(AND(B107&lt;&gt;"",C107&lt;&gt;"",D107&lt;&gt;"",E107&lt;&gt;"",F107&lt;&gt;"",G107&lt;&gt;"",H107&lt;&gt;"",J107&lt;&gt;"",K107&lt;&gt;"",N107&lt;&gt;"",O107&lt;&gt;"",P107&lt;&gt;"",Q107&lt;&gt;"",R107&lt;&gt;"",S107&lt;&gt;"",T107&lt;&gt;"",V107&lt;&gt;"",W107&lt;&gt;"",X107&lt;&gt;"",Y107&lt;&gt;""),"COMPLETE","MISSING FIELDS")))</f>
        <v/>
      </c>
    </row>
    <row r="108" ht="15" customHeight="1" s="15">
      <c r="A108" s="27" t="inlineStr">
        <is>
          <t>LEAD-0104</t>
        </is>
      </c>
      <c r="B108" s="27" t="inlineStr">
        <is>
          <t>Benjamin Thornton</t>
        </is>
      </c>
      <c r="C108" s="27" t="inlineStr">
        <is>
          <t>Podcaster</t>
        </is>
      </c>
      <c r="D108" s="27" t="inlineStr">
        <is>
          <t>US</t>
        </is>
      </c>
      <c r="E108" s="27" t="inlineStr">
        <is>
          <t>English</t>
        </is>
      </c>
      <c r="F108" s="27" t="inlineStr">
        <is>
          <t>Apple Podcasts</t>
        </is>
      </c>
      <c r="G108" s="27" t="inlineStr">
        <is>
          <t>https://podcasts.apple.com/us/podcast/benjaminthornton/id1000104</t>
        </is>
      </c>
      <c r="H108" s="27" t="inlineStr">
        <is>
          <t>AP-US-1000104</t>
        </is>
      </c>
      <c r="I108" s="27" t="inlineStr">
        <is>
          <t>60,000</t>
        </is>
      </c>
      <c r="J108" s="27" t="inlineStr">
        <is>
          <t>2026-10-10</t>
        </is>
      </c>
      <c r="K108" s="27" t="inlineStr">
        <is>
          <t>https://benjaminthornton.com/episodes/105</t>
        </is>
      </c>
      <c r="L108" s="27" t="n">
        <v>12</v>
      </c>
      <c r="M108" s="27" t="n">
        <v>30</v>
      </c>
      <c r="N108" s="27" t="inlineStr">
        <is>
          <t>Affiliate</t>
        </is>
      </c>
      <c r="O108" s="27" t="inlineStr">
        <is>
          <t>https://benjaminthornton.com/resources</t>
        </is>
      </c>
      <c r="P108" s="27" t="inlineStr">
        <is>
          <t>Inconsistent Cross-Platform Publishing</t>
        </is>
      </c>
      <c r="Q108" s="27" t="inlineStr">
        <is>
          <t>https://benjaminthornton.com/highlights</t>
        </is>
      </c>
      <c r="R108" s="27" t="inlineStr">
        <is>
          <t>Email</t>
        </is>
      </c>
      <c r="S108" s="27" t="inlineStr">
        <is>
          <t>contact@benjaminthornton.com</t>
        </is>
      </c>
      <c r="T108" s="27" t="inlineStr">
        <is>
          <t>https://benjaminthornton.com/contact</t>
        </is>
      </c>
      <c r="U108" s="27" t="inlineStr">
        <is>
          <t>LinkedIn</t>
        </is>
      </c>
      <c r="V108" s="27" t="inlineStr">
        <is>
          <t>leadership &amp; team ops frameworks, specifically regarding episode 5 on Leadership &amp; Team Ops workflow optimization</t>
        </is>
      </c>
      <c r="W108" s="27" t="inlineStr">
        <is>
          <t>Hi Benjamin, loved your recent piece on 'leadership &amp; team ops frameworks, specifically regarding episode 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08" s="27" t="inlineStr">
        <is>
          <t>2026-10-18</t>
        </is>
      </c>
      <c r="Y108" s="27" t="inlineStr">
        <is>
          <t>B</t>
        </is>
      </c>
      <c r="Z108" s="27" t="n">
        <v>91.7</v>
      </c>
      <c r="AA108" s="27" t="inlineStr">
        <is>
          <t>Qualified</t>
        </is>
      </c>
      <c r="AB108" s="27" t="inlineStr"/>
      <c r="AC108" s="28">
        <f>IF(A108="","",IF(COUNTIF($H$5:$H$1004,H108)&gt;1,"DUPLICATE","UNIQUE"))</f>
        <v/>
      </c>
      <c r="AD108" s="28">
        <f>IF(A108="","",IF(AA108="Rejected",IF(AB108&lt;&gt;"","REJECTED","ADD REASON"),IF(AND(B108&lt;&gt;"",C108&lt;&gt;"",D108&lt;&gt;"",E108&lt;&gt;"",F108&lt;&gt;"",G108&lt;&gt;"",H108&lt;&gt;"",J108&lt;&gt;"",K108&lt;&gt;"",N108&lt;&gt;"",O108&lt;&gt;"",P108&lt;&gt;"",Q108&lt;&gt;"",R108&lt;&gt;"",S108&lt;&gt;"",T108&lt;&gt;"",V108&lt;&gt;"",W108&lt;&gt;"",X108&lt;&gt;"",Y108&lt;&gt;""),"COMPLETE","MISSING FIELDS")))</f>
        <v/>
      </c>
    </row>
    <row r="109" ht="15" customHeight="1" s="15">
      <c r="A109" s="27" t="inlineStr">
        <is>
          <t>LEAD-0105</t>
        </is>
      </c>
      <c r="B109" s="27" t="inlineStr">
        <is>
          <t>Benjamin Wellington</t>
        </is>
      </c>
      <c r="C109" s="27" t="inlineStr">
        <is>
          <t>Expert-Led Creator</t>
        </is>
      </c>
      <c r="D109" s="27" t="inlineStr">
        <is>
          <t>US</t>
        </is>
      </c>
      <c r="E109" s="27" t="inlineStr">
        <is>
          <t>English</t>
        </is>
      </c>
      <c r="F109" s="27" t="inlineStr">
        <is>
          <t>LinkedIn</t>
        </is>
      </c>
      <c r="G109" s="27" t="inlineStr">
        <is>
          <t>https://www.linkedin.com/in/benjaminwellington</t>
        </is>
      </c>
      <c r="H109" s="27" t="inlineStr">
        <is>
          <t>LI-benjaminwellington-0105</t>
        </is>
      </c>
      <c r="I109" s="27" t="inlineStr">
        <is>
          <t>96,000</t>
        </is>
      </c>
      <c r="J109" s="27" t="inlineStr">
        <is>
          <t>2026-10-11</t>
        </is>
      </c>
      <c r="K109" s="27" t="inlineStr">
        <is>
          <t>https://benjaminwellington.com/posts/106</t>
        </is>
      </c>
      <c r="L109" s="27" t="n">
        <v>13</v>
      </c>
      <c r="M109" s="27" t="n">
        <v>31</v>
      </c>
      <c r="N109" s="27" t="inlineStr">
        <is>
          <t>Course</t>
        </is>
      </c>
      <c r="O109" s="27" t="inlineStr">
        <is>
          <t>https://benjaminwellington.com/academy</t>
        </is>
      </c>
      <c r="P109" s="27" t="inlineStr">
        <is>
          <t>Editing Backlog &amp; Team Workflow Overhead</t>
        </is>
      </c>
      <c r="Q109" s="27" t="inlineStr">
        <is>
          <t>https://benjaminwellington.com/highlights</t>
        </is>
      </c>
      <c r="R109" s="27" t="inlineStr">
        <is>
          <t>LinkedIn</t>
        </is>
      </c>
      <c r="S109" s="27" t="inlineStr">
        <is>
          <t>https://linkedin.com/in/benjaminwellington</t>
        </is>
      </c>
      <c r="T109" s="27" t="inlineStr">
        <is>
          <t>https://benjaminwellington.com/about</t>
        </is>
      </c>
      <c r="U109" s="27" t="inlineStr">
        <is>
          <t>Email</t>
        </is>
      </c>
      <c r="V109" s="27" t="inlineStr">
        <is>
          <t>b2b marketing &amp; sales frameworks, specifically regarding episode 6 on B2B Marketing &amp; Sales workflow optimization</t>
        </is>
      </c>
      <c r="W109" s="27" t="inlineStr">
        <is>
          <t>Hi Benjamin, loved your recent piece on 'b2b marketing &amp; sales frameworks, specifically regarding episode 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09" s="27" t="inlineStr">
        <is>
          <t>2026-10-18</t>
        </is>
      </c>
      <c r="Y109" s="27" t="inlineStr">
        <is>
          <t>B</t>
        </is>
      </c>
      <c r="Z109" s="27" t="n">
        <v>91.59999999999999</v>
      </c>
      <c r="AA109" s="27" t="inlineStr">
        <is>
          <t>Qualified</t>
        </is>
      </c>
      <c r="AB109" s="27" t="inlineStr"/>
      <c r="AC109" s="28">
        <f>IF(A109="","",IF(COUNTIF($H$5:$H$1004,H109)&gt;1,"DUPLICATE","UNIQUE"))</f>
        <v/>
      </c>
      <c r="AD109" s="28">
        <f>IF(A109="","",IF(AA109="Rejected",IF(AB109&lt;&gt;"","REJECTED","ADD REASON"),IF(AND(B109&lt;&gt;"",C109&lt;&gt;"",D109&lt;&gt;"",E109&lt;&gt;"",F109&lt;&gt;"",G109&lt;&gt;"",H109&lt;&gt;"",J109&lt;&gt;"",K109&lt;&gt;"",N109&lt;&gt;"",O109&lt;&gt;"",P109&lt;&gt;"",Q109&lt;&gt;"",R109&lt;&gt;"",S109&lt;&gt;"",T109&lt;&gt;"",V109&lt;&gt;"",W109&lt;&gt;"",X109&lt;&gt;"",Y109&lt;&gt;""),"COMPLETE","MISSING FIELDS")))</f>
        <v/>
      </c>
    </row>
    <row r="110" ht="15" customHeight="1" s="15">
      <c r="A110" s="27" t="inlineStr">
        <is>
          <t>LEAD-0106</t>
        </is>
      </c>
      <c r="B110" s="27" t="inlineStr">
        <is>
          <t>Caleb Ashford</t>
        </is>
      </c>
      <c r="C110" s="27" t="inlineStr">
        <is>
          <t>YouTuber</t>
        </is>
      </c>
      <c r="D110" s="27" t="inlineStr">
        <is>
          <t>US</t>
        </is>
      </c>
      <c r="E110" s="27" t="inlineStr">
        <is>
          <t>English</t>
        </is>
      </c>
      <c r="F110" s="27" t="inlineStr">
        <is>
          <t>YouTube</t>
        </is>
      </c>
      <c r="G110" s="27" t="inlineStr">
        <is>
          <t>https://www.youtube.com/@calebashford</t>
        </is>
      </c>
      <c r="H110" s="27" t="inlineStr">
        <is>
          <t>UCUS00106928089</t>
        </is>
      </c>
      <c r="I110" s="27" t="inlineStr">
        <is>
          <t>40,000</t>
        </is>
      </c>
      <c r="J110" s="27" t="inlineStr">
        <is>
          <t>2026-10-12</t>
        </is>
      </c>
      <c r="K110" s="27" t="inlineStr">
        <is>
          <t>https://www.youtube.com/watch?v=us00106</t>
        </is>
      </c>
      <c r="L110" s="27" t="n">
        <v>14</v>
      </c>
      <c r="M110" s="27" t="n">
        <v>32</v>
      </c>
      <c r="N110" s="27" t="inlineStr">
        <is>
          <t>Sponsor</t>
        </is>
      </c>
      <c r="O110" s="27" t="inlineStr">
        <is>
          <t>https://calebashford.com/partners</t>
        </is>
      </c>
      <c r="P110" s="27" t="inlineStr">
        <is>
          <t>Multilingual Audio Dubbing</t>
        </is>
      </c>
      <c r="Q110" s="27" t="inlineStr">
        <is>
          <t>https://calebashford.com/highlights</t>
        </is>
      </c>
      <c r="R110" s="27" t="inlineStr">
        <is>
          <t>X (Twitter)</t>
        </is>
      </c>
      <c r="S110" s="27" t="inlineStr">
        <is>
          <t>https://x.com/calebashford</t>
        </is>
      </c>
      <c r="T110" s="27" t="inlineStr">
        <is>
          <t>https://calebashford.com/links</t>
        </is>
      </c>
      <c r="U110" s="27" t="inlineStr">
        <is>
          <t>LinkedIn</t>
        </is>
      </c>
      <c r="V110" s="27" t="inlineStr">
        <is>
          <t>finance &amp; wealth engineering frameworks, specifically regarding episode 7 on Finance &amp; Wealth Engineering workflow optimization</t>
        </is>
      </c>
      <c r="W110" s="27" t="inlineStr">
        <is>
          <t>Hi Caleb, loved your recent piece on 'finance &amp; wealth engineering frameworks, specifically regarding episode 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10" s="27" t="inlineStr">
        <is>
          <t>2026-10-18</t>
        </is>
      </c>
      <c r="Y110" s="27" t="inlineStr">
        <is>
          <t>B</t>
        </is>
      </c>
      <c r="Z110" s="27" t="n">
        <v>91.5</v>
      </c>
      <c r="AA110" s="27" t="inlineStr">
        <is>
          <t>Qualified</t>
        </is>
      </c>
      <c r="AB110" s="27" t="inlineStr"/>
      <c r="AC110" s="28">
        <f>IF(A110="","",IF(COUNTIF($H$5:$H$1004,H110)&gt;1,"DUPLICATE","UNIQUE"))</f>
        <v/>
      </c>
      <c r="AD110" s="28">
        <f>IF(A110="","",IF(AA110="Rejected",IF(AB110&lt;&gt;"","REJECTED","ADD REASON"),IF(AND(B110&lt;&gt;"",C110&lt;&gt;"",D110&lt;&gt;"",E110&lt;&gt;"",F110&lt;&gt;"",G110&lt;&gt;"",H110&lt;&gt;"",J110&lt;&gt;"",K110&lt;&gt;"",N110&lt;&gt;"",O110&lt;&gt;"",P110&lt;&gt;"",Q110&lt;&gt;"",R110&lt;&gt;"",S110&lt;&gt;"",T110&lt;&gt;"",V110&lt;&gt;"",W110&lt;&gt;"",X110&lt;&gt;"",Y110&lt;&gt;""),"COMPLETE","MISSING FIELDS")))</f>
        <v/>
      </c>
    </row>
    <row r="111" ht="15" customHeight="1" s="15">
      <c r="A111" s="27" t="inlineStr">
        <is>
          <t>LEAD-0107</t>
        </is>
      </c>
      <c r="B111" s="27" t="inlineStr">
        <is>
          <t>Caleb Bancroft</t>
        </is>
      </c>
      <c r="C111" s="27" t="inlineStr">
        <is>
          <t>Podcaster</t>
        </is>
      </c>
      <c r="D111" s="27" t="inlineStr">
        <is>
          <t>US</t>
        </is>
      </c>
      <c r="E111" s="27" t="inlineStr">
        <is>
          <t>English</t>
        </is>
      </c>
      <c r="F111" s="27" t="inlineStr">
        <is>
          <t>Apple Podcasts</t>
        </is>
      </c>
      <c r="G111" s="27" t="inlineStr">
        <is>
          <t>https://podcasts.apple.com/us/podcast/calebbancroft/id1000107</t>
        </is>
      </c>
      <c r="H111" s="27" t="inlineStr">
        <is>
          <t>AP-US-1000107</t>
        </is>
      </c>
      <c r="I111" s="27" t="inlineStr">
        <is>
          <t>96,000</t>
        </is>
      </c>
      <c r="J111" s="27" t="inlineStr">
        <is>
          <t>2026-10-13</t>
        </is>
      </c>
      <c r="K111" s="27" t="inlineStr">
        <is>
          <t>https://calebbancroft.com/episodes/108</t>
        </is>
      </c>
      <c r="L111" s="27" t="n">
        <v>15</v>
      </c>
      <c r="M111" s="27" t="n">
        <v>33</v>
      </c>
      <c r="N111" s="27" t="inlineStr">
        <is>
          <t>Membership</t>
        </is>
      </c>
      <c r="O111" s="27" t="inlineStr">
        <is>
          <t>https://calebbancroft.com/community</t>
        </is>
      </c>
      <c r="P111" s="27" t="inlineStr">
        <is>
          <t>Multilingual Audio Dubbing</t>
        </is>
      </c>
      <c r="Q111" s="27" t="inlineStr">
        <is>
          <t>https://calebbancroft.com/highlights</t>
        </is>
      </c>
      <c r="R111" s="27" t="inlineStr">
        <is>
          <t>Email</t>
        </is>
      </c>
      <c r="S111" s="27" t="inlineStr">
        <is>
          <t>hello@calebbancroft.com</t>
        </is>
      </c>
      <c r="T111" s="27" t="inlineStr">
        <is>
          <t>https://calebbancroft.com/work-with-me</t>
        </is>
      </c>
      <c r="U111" s="27" t="inlineStr">
        <is>
          <t>LinkedIn</t>
        </is>
      </c>
      <c r="V111" s="27" t="inlineStr">
        <is>
          <t>health &amp; longevity science frameworks, specifically regarding episode 8 on Health &amp; Longevity Science workflow optimization</t>
        </is>
      </c>
      <c r="W111" s="27" t="inlineStr">
        <is>
          <t>Hi Caleb, loved your recent piece on 'health &amp; longevity science frameworks, specifically regarding episode 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11" s="27" t="inlineStr">
        <is>
          <t>2026-10-18</t>
        </is>
      </c>
      <c r="Y111" s="27" t="inlineStr">
        <is>
          <t>B</t>
        </is>
      </c>
      <c r="Z111" s="27" t="n">
        <v>91.40000000000001</v>
      </c>
      <c r="AA111" s="27" t="inlineStr">
        <is>
          <t>Qualified</t>
        </is>
      </c>
      <c r="AB111" s="27" t="inlineStr"/>
      <c r="AC111" s="28">
        <f>IF(A111="","",IF(COUNTIF($H$5:$H$1004,H111)&gt;1,"DUPLICATE","UNIQUE"))</f>
        <v/>
      </c>
      <c r="AD111" s="28">
        <f>IF(A111="","",IF(AA111="Rejected",IF(AB111&lt;&gt;"","REJECTED","ADD REASON"),IF(AND(B111&lt;&gt;"",C111&lt;&gt;"",D111&lt;&gt;"",E111&lt;&gt;"",F111&lt;&gt;"",G111&lt;&gt;"",H111&lt;&gt;"",J111&lt;&gt;"",K111&lt;&gt;"",N111&lt;&gt;"",O111&lt;&gt;"",P111&lt;&gt;"",Q111&lt;&gt;"",R111&lt;&gt;"",S111&lt;&gt;"",T111&lt;&gt;"",V111&lt;&gt;"",W111&lt;&gt;"",X111&lt;&gt;"",Y111&lt;&gt;""),"COMPLETE","MISSING FIELDS")))</f>
        <v/>
      </c>
    </row>
    <row r="112" ht="15" customHeight="1" s="15">
      <c r="A112" s="27" t="inlineStr">
        <is>
          <t>LEAD-0108</t>
        </is>
      </c>
      <c r="B112" s="27" t="inlineStr">
        <is>
          <t>Caleb Calloway</t>
        </is>
      </c>
      <c r="C112" s="27" t="inlineStr">
        <is>
          <t>YouTuber</t>
        </is>
      </c>
      <c r="D112" s="27" t="inlineStr">
        <is>
          <t>US</t>
        </is>
      </c>
      <c r="E112" s="27" t="inlineStr">
        <is>
          <t>English</t>
        </is>
      </c>
      <c r="F112" s="27" t="inlineStr">
        <is>
          <t>YouTube</t>
        </is>
      </c>
      <c r="G112" s="27" t="inlineStr">
        <is>
          <t>https://www.youtube.com/@calebcalloway</t>
        </is>
      </c>
      <c r="H112" s="27" t="inlineStr">
        <is>
          <t>UCUS00108028907</t>
        </is>
      </c>
      <c r="I112" s="27" t="inlineStr">
        <is>
          <t>80,000</t>
        </is>
      </c>
      <c r="J112" s="27" t="inlineStr">
        <is>
          <t>2026-10-14</t>
        </is>
      </c>
      <c r="K112" s="27" t="inlineStr">
        <is>
          <t>https://www.youtube.com/watch?v=us00108</t>
        </is>
      </c>
      <c r="L112" s="27" t="n">
        <v>16</v>
      </c>
      <c r="M112" s="27" t="n">
        <v>16</v>
      </c>
      <c r="N112" s="27" t="inlineStr">
        <is>
          <t>Product</t>
        </is>
      </c>
      <c r="O112" s="27" t="inlineStr">
        <is>
          <t>https://calebcalloway.com/shop</t>
        </is>
      </c>
      <c r="P112" s="27" t="inlineStr">
        <is>
          <t>Missing Video Captions &amp; Retention Clips</t>
        </is>
      </c>
      <c r="Q112" s="27" t="inlineStr">
        <is>
          <t>https://calebcalloway.com/highlights</t>
        </is>
      </c>
      <c r="R112" s="27" t="inlineStr">
        <is>
          <t>Email</t>
        </is>
      </c>
      <c r="S112" s="27" t="inlineStr">
        <is>
          <t>contact@calebcalloway.com</t>
        </is>
      </c>
      <c r="T112" s="27" t="inlineStr">
        <is>
          <t>https://calebcalloway.com/contact</t>
        </is>
      </c>
      <c r="U112" s="27" t="inlineStr">
        <is>
          <t>LinkedIn</t>
        </is>
      </c>
      <c r="V112" s="27" t="inlineStr">
        <is>
          <t>education &amp; applied coding frameworks, specifically regarding episode 9 on Education &amp; Applied Coding workflow optimization</t>
        </is>
      </c>
      <c r="W112" s="27" t="inlineStr">
        <is>
          <t>Hi Caleb, loved your recent piece on 'education &amp; applied coding frameworks, specifically regarding episode 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12" s="27" t="inlineStr">
        <is>
          <t>2026-10-18</t>
        </is>
      </c>
      <c r="Y112" s="27" t="inlineStr">
        <is>
          <t>B</t>
        </is>
      </c>
      <c r="Z112" s="27" t="n">
        <v>91.40000000000001</v>
      </c>
      <c r="AA112" s="27" t="inlineStr">
        <is>
          <t>Qualified</t>
        </is>
      </c>
      <c r="AB112" s="27" t="inlineStr"/>
      <c r="AC112" s="28">
        <f>IF(A112="","",IF(COUNTIF($H$5:$H$1004,H112)&gt;1,"DUPLICATE","UNIQUE"))</f>
        <v/>
      </c>
      <c r="AD112" s="28">
        <f>IF(A112="","",IF(AA112="Rejected",IF(AB112&lt;&gt;"","REJECTED","ADD REASON"),IF(AND(B112&lt;&gt;"",C112&lt;&gt;"",D112&lt;&gt;"",E112&lt;&gt;"",F112&lt;&gt;"",G112&lt;&gt;"",H112&lt;&gt;"",J112&lt;&gt;"",K112&lt;&gt;"",N112&lt;&gt;"",O112&lt;&gt;"",P112&lt;&gt;"",Q112&lt;&gt;"",R112&lt;&gt;"",S112&lt;&gt;"",T112&lt;&gt;"",V112&lt;&gt;"",W112&lt;&gt;"",X112&lt;&gt;"",Y112&lt;&gt;""),"COMPLETE","MISSING FIELDS")))</f>
        <v/>
      </c>
    </row>
    <row r="113" ht="15" customHeight="1" s="15">
      <c r="A113" s="27" t="inlineStr">
        <is>
          <t>LEAD-0109</t>
        </is>
      </c>
      <c r="B113" s="27" t="inlineStr">
        <is>
          <t>Caleb Delaney</t>
        </is>
      </c>
      <c r="C113" s="27" t="inlineStr">
        <is>
          <t>Podcaster</t>
        </is>
      </c>
      <c r="D113" s="27" t="inlineStr">
        <is>
          <t>US</t>
        </is>
      </c>
      <c r="E113" s="27" t="inlineStr">
        <is>
          <t>English</t>
        </is>
      </c>
      <c r="F113" s="27" t="inlineStr">
        <is>
          <t>Apple Podcasts</t>
        </is>
      </c>
      <c r="G113" s="27" t="inlineStr">
        <is>
          <t>https://podcasts.apple.com/us/podcast/calebdelaney/id1000109</t>
        </is>
      </c>
      <c r="H113" s="27" t="inlineStr">
        <is>
          <t>AP-US-1000109</t>
        </is>
      </c>
      <c r="I113" s="27" t="inlineStr">
        <is>
          <t>120,000</t>
        </is>
      </c>
      <c r="J113" s="27" t="inlineStr">
        <is>
          <t>2026-10-15</t>
        </is>
      </c>
      <c r="K113" s="27" t="inlineStr">
        <is>
          <t>https://calebdelaney.com/episodes/110</t>
        </is>
      </c>
      <c r="L113" s="27" t="n">
        <v>17</v>
      </c>
      <c r="M113" s="27" t="n">
        <v>17</v>
      </c>
      <c r="N113" s="27" t="inlineStr">
        <is>
          <t>Consulting</t>
        </is>
      </c>
      <c r="O113" s="27" t="inlineStr">
        <is>
          <t>https://calebdelaney.com/advisory</t>
        </is>
      </c>
      <c r="P113" s="27" t="inlineStr">
        <is>
          <t>Shorts Repurposing Bottleneck</t>
        </is>
      </c>
      <c r="Q113" s="27" t="inlineStr">
        <is>
          <t>https://calebdelaney.com/highlights</t>
        </is>
      </c>
      <c r="R113" s="27" t="inlineStr">
        <is>
          <t>LinkedIn</t>
        </is>
      </c>
      <c r="S113" s="27" t="inlineStr">
        <is>
          <t>https://linkedin.com/in/calebdelaney</t>
        </is>
      </c>
      <c r="T113" s="27" t="inlineStr">
        <is>
          <t>https://calebdelaney.com/about</t>
        </is>
      </c>
      <c r="U113" s="27" t="inlineStr">
        <is>
          <t>Email</t>
        </is>
      </c>
      <c r="V113" s="27" t="inlineStr">
        <is>
          <t>e-commerce &amp; digital brands frameworks, specifically regarding episode 10 on E-Commerce &amp; Digital Brands workflow optimization</t>
        </is>
      </c>
      <c r="W113" s="27" t="inlineStr">
        <is>
          <t>Hi Caleb, loved your recent piece on 'e-commerce &amp; digital brands frameworks, specifically regarding episode 10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13" s="27" t="inlineStr">
        <is>
          <t>2026-10-18</t>
        </is>
      </c>
      <c r="Y113" s="27" t="inlineStr">
        <is>
          <t>B</t>
        </is>
      </c>
      <c r="Z113" s="27" t="n">
        <v>91.3</v>
      </c>
      <c r="AA113" s="27" t="inlineStr">
        <is>
          <t>Qualified</t>
        </is>
      </c>
      <c r="AB113" s="27" t="inlineStr"/>
      <c r="AC113" s="28">
        <f>IF(A113="","",IF(COUNTIF($H$5:$H$1004,H113)&gt;1,"DUPLICATE","UNIQUE"))</f>
        <v/>
      </c>
      <c r="AD113" s="28">
        <f>IF(A113="","",IF(AA113="Rejected",IF(AB113&lt;&gt;"","REJECTED","ADD REASON"),IF(AND(B113&lt;&gt;"",C113&lt;&gt;"",D113&lt;&gt;"",E113&lt;&gt;"",F113&lt;&gt;"",G113&lt;&gt;"",H113&lt;&gt;"",J113&lt;&gt;"",K113&lt;&gt;"",N113&lt;&gt;"",O113&lt;&gt;"",P113&lt;&gt;"",Q113&lt;&gt;"",R113&lt;&gt;"",S113&lt;&gt;"",T113&lt;&gt;"",V113&lt;&gt;"",W113&lt;&gt;"",X113&lt;&gt;"",Y113&lt;&gt;""),"COMPLETE","MISSING FIELDS")))</f>
        <v/>
      </c>
    </row>
    <row r="114" ht="15" customHeight="1" s="15">
      <c r="A114" s="27" t="inlineStr">
        <is>
          <t>LEAD-0110</t>
        </is>
      </c>
      <c r="B114" s="27" t="inlineStr">
        <is>
          <t>Caleb Eastwood</t>
        </is>
      </c>
      <c r="C114" s="27" t="inlineStr">
        <is>
          <t>YouTuber</t>
        </is>
      </c>
      <c r="D114" s="27" t="inlineStr">
        <is>
          <t>US</t>
        </is>
      </c>
      <c r="E114" s="27" t="inlineStr">
        <is>
          <t>English</t>
        </is>
      </c>
      <c r="F114" s="27" t="inlineStr">
        <is>
          <t>YouTube</t>
        </is>
      </c>
      <c r="G114" s="27" t="inlineStr">
        <is>
          <t>https://www.youtube.com/@calebeastwood</t>
        </is>
      </c>
      <c r="H114" s="27" t="inlineStr">
        <is>
          <t>UCUS00110994774</t>
        </is>
      </c>
      <c r="I114" s="27" t="inlineStr">
        <is>
          <t>120,000</t>
        </is>
      </c>
      <c r="J114" s="27" t="inlineStr">
        <is>
          <t>2026-10-16</t>
        </is>
      </c>
      <c r="K114" s="27" t="inlineStr">
        <is>
          <t>https://www.youtube.com/watch?v=us00110</t>
        </is>
      </c>
      <c r="L114" s="27" t="n">
        <v>8</v>
      </c>
      <c r="M114" s="27" t="n">
        <v>18</v>
      </c>
      <c r="N114" s="27" t="inlineStr">
        <is>
          <t>Newsletter Subscription</t>
        </is>
      </c>
      <c r="O114" s="27" t="inlineStr">
        <is>
          <t>https://calebeastwood.com/subscribe</t>
        </is>
      </c>
      <c r="P114" s="27" t="inlineStr">
        <is>
          <t>Shorts Repurposing Bottleneck</t>
        </is>
      </c>
      <c r="Q114" s="27" t="inlineStr">
        <is>
          <t>https://calebeastwood.com/highlights</t>
        </is>
      </c>
      <c r="R114" s="27" t="inlineStr">
        <is>
          <t>X (Twitter)</t>
        </is>
      </c>
      <c r="S114" s="27" t="inlineStr">
        <is>
          <t>https://x.com/calebeastwood</t>
        </is>
      </c>
      <c r="T114" s="27" t="inlineStr">
        <is>
          <t>https://calebeastwood.com/links</t>
        </is>
      </c>
      <c r="U114" s="27" t="inlineStr">
        <is>
          <t>LinkedIn</t>
        </is>
      </c>
      <c r="V114" s="27" t="inlineStr">
        <is>
          <t>tech &amp; ai frameworks, specifically regarding episode 11 on Tech &amp; AI workflow optimization</t>
        </is>
      </c>
      <c r="W114" s="27" t="inlineStr">
        <is>
          <t>Hi Caleb, loved your recent piece on 'tech &amp; ai frameworks, specifically regarding episode 11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14" s="27" t="inlineStr">
        <is>
          <t>2026-10-18</t>
        </is>
      </c>
      <c r="Y114" s="27" t="inlineStr">
        <is>
          <t>B</t>
        </is>
      </c>
      <c r="Z114" s="27" t="n">
        <v>91.2</v>
      </c>
      <c r="AA114" s="27" t="inlineStr">
        <is>
          <t>Qualified</t>
        </is>
      </c>
      <c r="AB114" s="27" t="inlineStr"/>
      <c r="AC114" s="28">
        <f>IF(A114="","",IF(COUNTIF($H$5:$H$1004,H114)&gt;1,"DUPLICATE","UNIQUE"))</f>
        <v/>
      </c>
      <c r="AD114" s="28">
        <f>IF(A114="","",IF(AA114="Rejected",IF(AB114&lt;&gt;"","REJECTED","ADD REASON"),IF(AND(B114&lt;&gt;"",C114&lt;&gt;"",D114&lt;&gt;"",E114&lt;&gt;"",F114&lt;&gt;"",G114&lt;&gt;"",H114&lt;&gt;"",J114&lt;&gt;"",K114&lt;&gt;"",N114&lt;&gt;"",O114&lt;&gt;"",P114&lt;&gt;"",Q114&lt;&gt;"",R114&lt;&gt;"",S114&lt;&gt;"",T114&lt;&gt;"",V114&lt;&gt;"",W114&lt;&gt;"",X114&lt;&gt;"",Y114&lt;&gt;""),"COMPLETE","MISSING FIELDS")))</f>
        <v/>
      </c>
    </row>
    <row r="115" ht="15" customHeight="1" s="15">
      <c r="A115" s="27" t="inlineStr">
        <is>
          <t>LEAD-0111</t>
        </is>
      </c>
      <c r="B115" s="27" t="inlineStr">
        <is>
          <t>Caleb Fairchild</t>
        </is>
      </c>
      <c r="C115" s="27" t="inlineStr">
        <is>
          <t>Podcaster</t>
        </is>
      </c>
      <c r="D115" s="27" t="inlineStr">
        <is>
          <t>US</t>
        </is>
      </c>
      <c r="E115" s="27" t="inlineStr">
        <is>
          <t>English</t>
        </is>
      </c>
      <c r="F115" s="27" t="inlineStr">
        <is>
          <t>Apple Podcasts</t>
        </is>
      </c>
      <c r="G115" s="27" t="inlineStr">
        <is>
          <t>https://podcasts.apple.com/us/podcast/calebfairchild/id1000111</t>
        </is>
      </c>
      <c r="H115" s="27" t="inlineStr">
        <is>
          <t>AP-US-1000111</t>
        </is>
      </c>
      <c r="I115" s="27" t="inlineStr">
        <is>
          <t>144,000</t>
        </is>
      </c>
      <c r="J115" s="27" t="inlineStr">
        <is>
          <t>2026-10-17</t>
        </is>
      </c>
      <c r="K115" s="27" t="inlineStr">
        <is>
          <t>https://calebfairchild.com/episodes/112</t>
        </is>
      </c>
      <c r="L115" s="27" t="n">
        <v>9</v>
      </c>
      <c r="M115" s="27" t="n">
        <v>19</v>
      </c>
      <c r="N115" s="27" t="inlineStr">
        <is>
          <t>Affiliate</t>
        </is>
      </c>
      <c r="O115" s="27" t="inlineStr">
        <is>
          <t>https://calebfairchild.com/resources</t>
        </is>
      </c>
      <c r="P115" s="27" t="inlineStr">
        <is>
          <t>Missing Video Captions &amp; Retention Clips</t>
        </is>
      </c>
      <c r="Q115" s="27" t="inlineStr">
        <is>
          <t>https://calebfairchild.com/highlights</t>
        </is>
      </c>
      <c r="R115" s="27" t="inlineStr">
        <is>
          <t>Email</t>
        </is>
      </c>
      <c r="S115" s="27" t="inlineStr">
        <is>
          <t>hello@calebfairchild.com</t>
        </is>
      </c>
      <c r="T115" s="27" t="inlineStr">
        <is>
          <t>https://calebfairchild.com/work-with-me</t>
        </is>
      </c>
      <c r="U115" s="27" t="inlineStr">
        <is>
          <t>LinkedIn</t>
        </is>
      </c>
      <c r="V115" s="27" t="inlineStr">
        <is>
          <t>saas &amp; product growth frameworks, specifically regarding episode 12 on SaaS &amp; Product Growth workflow optimization</t>
        </is>
      </c>
      <c r="W115" s="27" t="inlineStr">
        <is>
          <t>Hi Caleb, loved your recent piece on 'saas &amp; product growth frameworks, specifically regarding episode 12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15" s="27" t="inlineStr">
        <is>
          <t>2026-10-18</t>
        </is>
      </c>
      <c r="Y115" s="27" t="inlineStr">
        <is>
          <t>B</t>
        </is>
      </c>
      <c r="Z115" s="27" t="n">
        <v>91.09999999999999</v>
      </c>
      <c r="AA115" s="27" t="inlineStr">
        <is>
          <t>Qualified</t>
        </is>
      </c>
      <c r="AB115" s="27" t="inlineStr"/>
      <c r="AC115" s="28">
        <f>IF(A115="","",IF(COUNTIF($H$5:$H$1004,H115)&gt;1,"DUPLICATE","UNIQUE"))</f>
        <v/>
      </c>
      <c r="AD115" s="28">
        <f>IF(A115="","",IF(AA115="Rejected",IF(AB115&lt;&gt;"","REJECTED","ADD REASON"),IF(AND(B115&lt;&gt;"",C115&lt;&gt;"",D115&lt;&gt;"",E115&lt;&gt;"",F115&lt;&gt;"",G115&lt;&gt;"",H115&lt;&gt;"",J115&lt;&gt;"",K115&lt;&gt;"",N115&lt;&gt;"",O115&lt;&gt;"",P115&lt;&gt;"",Q115&lt;&gt;"",R115&lt;&gt;"",S115&lt;&gt;"",T115&lt;&gt;"",V115&lt;&gt;"",W115&lt;&gt;"",X115&lt;&gt;"",Y115&lt;&gt;""),"COMPLETE","MISSING FIELDS")))</f>
        <v/>
      </c>
    </row>
    <row r="116" ht="15" customHeight="1" s="15">
      <c r="A116" s="27" t="inlineStr">
        <is>
          <t>LEAD-0112</t>
        </is>
      </c>
      <c r="B116" s="27" t="inlineStr">
        <is>
          <t>Caleb Gallagher</t>
        </is>
      </c>
      <c r="C116" s="27" t="inlineStr">
        <is>
          <t>Expert-Led Creator</t>
        </is>
      </c>
      <c r="D116" s="27" t="inlineStr">
        <is>
          <t>US</t>
        </is>
      </c>
      <c r="E116" s="27" t="inlineStr">
        <is>
          <t>English</t>
        </is>
      </c>
      <c r="F116" s="27" t="inlineStr">
        <is>
          <t>YouTube</t>
        </is>
      </c>
      <c r="G116" s="27" t="inlineStr">
        <is>
          <t>https://www.youtube.com/@calebgallagher</t>
        </is>
      </c>
      <c r="H116" s="27" t="inlineStr">
        <is>
          <t>UCUS00112431258</t>
        </is>
      </c>
      <c r="I116" s="27" t="inlineStr">
        <is>
          <t>160,000</t>
        </is>
      </c>
      <c r="J116" s="27" t="inlineStr">
        <is>
          <t>2026-10-10</t>
        </is>
      </c>
      <c r="K116" s="27" t="inlineStr">
        <is>
          <t>https://www.youtube.com/watch?v=us00112</t>
        </is>
      </c>
      <c r="L116" s="27" t="n">
        <v>10</v>
      </c>
      <c r="M116" s="27" t="n">
        <v>20</v>
      </c>
      <c r="N116" s="27" t="inlineStr">
        <is>
          <t>Course</t>
        </is>
      </c>
      <c r="O116" s="27" t="inlineStr">
        <is>
          <t>https://calebgallagher.com/academy</t>
        </is>
      </c>
      <c r="P116" s="27" t="inlineStr">
        <is>
          <t>Editing Backlog &amp; Team Workflow Overhead</t>
        </is>
      </c>
      <c r="Q116" s="27" t="inlineStr">
        <is>
          <t>https://calebgallagher.com/highlights</t>
        </is>
      </c>
      <c r="R116" s="27" t="inlineStr">
        <is>
          <t>Email</t>
        </is>
      </c>
      <c r="S116" s="27" t="inlineStr">
        <is>
          <t>contact@calebgallagher.com</t>
        </is>
      </c>
      <c r="T116" s="27" t="inlineStr">
        <is>
          <t>https://calebgallagher.com/contact</t>
        </is>
      </c>
      <c r="U116" s="27" t="inlineStr">
        <is>
          <t>LinkedIn</t>
        </is>
      </c>
      <c r="V116" s="27" t="inlineStr">
        <is>
          <t>creator business &amp; monetization frameworks, specifically regarding episode 13 on Creator Business &amp; Monetization workflow optimization</t>
        </is>
      </c>
      <c r="W116" s="27" t="inlineStr">
        <is>
          <t>Hi Caleb, loved your recent piece on 'creator business &amp; monetization frameworks, specifically regarding episode 13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16" s="27" t="inlineStr">
        <is>
          <t>2026-10-18</t>
        </is>
      </c>
      <c r="Y116" s="27" t="inlineStr">
        <is>
          <t>B</t>
        </is>
      </c>
      <c r="Z116" s="27" t="n">
        <v>91</v>
      </c>
      <c r="AA116" s="27" t="inlineStr">
        <is>
          <t>Qualified</t>
        </is>
      </c>
      <c r="AB116" s="27" t="inlineStr"/>
      <c r="AC116" s="28">
        <f>IF(A116="","",IF(COUNTIF($H$5:$H$1004,H116)&gt;1,"DUPLICATE","UNIQUE"))</f>
        <v/>
      </c>
      <c r="AD116" s="28">
        <f>IF(A116="","",IF(AA116="Rejected",IF(AB116&lt;&gt;"","REJECTED","ADD REASON"),IF(AND(B116&lt;&gt;"",C116&lt;&gt;"",D116&lt;&gt;"",E116&lt;&gt;"",F116&lt;&gt;"",G116&lt;&gt;"",H116&lt;&gt;"",J116&lt;&gt;"",K116&lt;&gt;"",N116&lt;&gt;"",O116&lt;&gt;"",P116&lt;&gt;"",Q116&lt;&gt;"",R116&lt;&gt;"",S116&lt;&gt;"",T116&lt;&gt;"",V116&lt;&gt;"",W116&lt;&gt;"",X116&lt;&gt;"",Y116&lt;&gt;""),"COMPLETE","MISSING FIELDS")))</f>
        <v/>
      </c>
    </row>
    <row r="117" ht="15" customHeight="1" s="15">
      <c r="A117" s="27" t="inlineStr">
        <is>
          <t>LEAD-0113</t>
        </is>
      </c>
      <c r="B117" s="27" t="inlineStr">
        <is>
          <t>Caleb Hawthorne</t>
        </is>
      </c>
      <c r="C117" s="27" t="inlineStr">
        <is>
          <t>YouTuber</t>
        </is>
      </c>
      <c r="D117" s="27" t="inlineStr">
        <is>
          <t>US</t>
        </is>
      </c>
      <c r="E117" s="27" t="inlineStr">
        <is>
          <t>English</t>
        </is>
      </c>
      <c r="F117" s="27" t="inlineStr">
        <is>
          <t>YouTube</t>
        </is>
      </c>
      <c r="G117" s="27" t="inlineStr">
        <is>
          <t>https://www.youtube.com/@calebhawthorne</t>
        </is>
      </c>
      <c r="H117" s="27" t="inlineStr">
        <is>
          <t>UCUS00113192505</t>
        </is>
      </c>
      <c r="I117" s="27" t="inlineStr">
        <is>
          <t>180,000</t>
        </is>
      </c>
      <c r="J117" s="27" t="inlineStr">
        <is>
          <t>2026-10-11</t>
        </is>
      </c>
      <c r="K117" s="27" t="inlineStr">
        <is>
          <t>https://www.youtube.com/watch?v=us00113</t>
        </is>
      </c>
      <c r="L117" s="27" t="n">
        <v>11</v>
      </c>
      <c r="M117" s="27" t="n">
        <v>21</v>
      </c>
      <c r="N117" s="27" t="inlineStr">
        <is>
          <t>Sponsor</t>
        </is>
      </c>
      <c r="O117" s="27" t="inlineStr">
        <is>
          <t>https://calebhawthorne.com/partners</t>
        </is>
      </c>
      <c r="P117" s="27" t="inlineStr">
        <is>
          <t>Shorts Repurposing Bottleneck</t>
        </is>
      </c>
      <c r="Q117" s="27" t="inlineStr">
        <is>
          <t>https://calebhawthorne.com/highlights</t>
        </is>
      </c>
      <c r="R117" s="27" t="inlineStr">
        <is>
          <t>LinkedIn</t>
        </is>
      </c>
      <c r="S117" s="27" t="inlineStr">
        <is>
          <t>https://linkedin.com/in/calebhawthorne</t>
        </is>
      </c>
      <c r="T117" s="27" t="inlineStr">
        <is>
          <t>https://calebhawthorne.com/about</t>
        </is>
      </c>
      <c r="U117" s="27" t="inlineStr">
        <is>
          <t>Email</t>
        </is>
      </c>
      <c r="V117" s="27" t="inlineStr">
        <is>
          <t>productivity &amp; personal systems frameworks, specifically regarding episode 14 on Productivity &amp; Personal Systems workflow optimization</t>
        </is>
      </c>
      <c r="W117" s="27" t="inlineStr">
        <is>
          <t>Hi Caleb, loved your recent piece on 'productivity &amp; personal systems frameworks, specifically regarding episode 14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17" s="27" t="inlineStr">
        <is>
          <t>2026-10-18</t>
        </is>
      </c>
      <c r="Y117" s="27" t="inlineStr">
        <is>
          <t>B</t>
        </is>
      </c>
      <c r="Z117" s="27" t="n">
        <v>91</v>
      </c>
      <c r="AA117" s="27" t="inlineStr">
        <is>
          <t>Qualified</t>
        </is>
      </c>
      <c r="AB117" s="27" t="inlineStr"/>
      <c r="AC117" s="28">
        <f>IF(A117="","",IF(COUNTIF($H$5:$H$1004,H117)&gt;1,"DUPLICATE","UNIQUE"))</f>
        <v/>
      </c>
      <c r="AD117" s="28">
        <f>IF(A117="","",IF(AA117="Rejected",IF(AB117&lt;&gt;"","REJECTED","ADD REASON"),IF(AND(B117&lt;&gt;"",C117&lt;&gt;"",D117&lt;&gt;"",E117&lt;&gt;"",F117&lt;&gt;"",G117&lt;&gt;"",H117&lt;&gt;"",J117&lt;&gt;"",K117&lt;&gt;"",N117&lt;&gt;"",O117&lt;&gt;"",P117&lt;&gt;"",Q117&lt;&gt;"",R117&lt;&gt;"",S117&lt;&gt;"",T117&lt;&gt;"",V117&lt;&gt;"",W117&lt;&gt;"",X117&lt;&gt;"",Y117&lt;&gt;""),"COMPLETE","MISSING FIELDS")))</f>
        <v/>
      </c>
    </row>
    <row r="118" ht="15" customHeight="1" s="15">
      <c r="A118" s="27" t="inlineStr">
        <is>
          <t>LEAD-0114</t>
        </is>
      </c>
      <c r="B118" s="27" t="inlineStr">
        <is>
          <t>Caleb Ingram</t>
        </is>
      </c>
      <c r="C118" s="27" t="inlineStr">
        <is>
          <t>Podcaster</t>
        </is>
      </c>
      <c r="D118" s="27" t="inlineStr">
        <is>
          <t>US</t>
        </is>
      </c>
      <c r="E118" s="27" t="inlineStr">
        <is>
          <t>English</t>
        </is>
      </c>
      <c r="F118" s="27" t="inlineStr">
        <is>
          <t>Apple Podcasts</t>
        </is>
      </c>
      <c r="G118" s="27" t="inlineStr">
        <is>
          <t>https://podcasts.apple.com/us/podcast/calebingram/id1000114</t>
        </is>
      </c>
      <c r="H118" s="27" t="inlineStr">
        <is>
          <t>AP-US-1000114</t>
        </is>
      </c>
      <c r="I118" s="27" t="inlineStr">
        <is>
          <t>180,000</t>
        </is>
      </c>
      <c r="J118" s="27" t="inlineStr">
        <is>
          <t>2026-10-12</t>
        </is>
      </c>
      <c r="K118" s="27" t="inlineStr">
        <is>
          <t>https://calebingram.com/episodes/115</t>
        </is>
      </c>
      <c r="L118" s="27" t="n">
        <v>12</v>
      </c>
      <c r="M118" s="27" t="n">
        <v>22</v>
      </c>
      <c r="N118" s="27" t="inlineStr">
        <is>
          <t>Membership</t>
        </is>
      </c>
      <c r="O118" s="27" t="inlineStr">
        <is>
          <t>https://calebingram.com/community</t>
        </is>
      </c>
      <c r="P118" s="27" t="inlineStr">
        <is>
          <t>Inconsistent Cross-Platform Publishing</t>
        </is>
      </c>
      <c r="Q118" s="27" t="inlineStr">
        <is>
          <t>https://calebingram.com/highlights</t>
        </is>
      </c>
      <c r="R118" s="27" t="inlineStr">
        <is>
          <t>X (Twitter)</t>
        </is>
      </c>
      <c r="S118" s="27" t="inlineStr">
        <is>
          <t>https://x.com/calebingram</t>
        </is>
      </c>
      <c r="T118" s="27" t="inlineStr">
        <is>
          <t>https://calebingram.com/links</t>
        </is>
      </c>
      <c r="U118" s="27" t="inlineStr">
        <is>
          <t>LinkedIn</t>
        </is>
      </c>
      <c r="V118" s="27" t="inlineStr">
        <is>
          <t>leadership &amp; team ops frameworks, specifically regarding episode 15 on Leadership &amp; Team Ops workflow optimization</t>
        </is>
      </c>
      <c r="W118" s="27" t="inlineStr">
        <is>
          <t>Hi Caleb, loved your recent piece on 'leadership &amp; team ops frameworks, specifically regarding episode 15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18" s="27" t="inlineStr">
        <is>
          <t>2026-10-18</t>
        </is>
      </c>
      <c r="Y118" s="27" t="inlineStr">
        <is>
          <t>B</t>
        </is>
      </c>
      <c r="Z118" s="27" t="n">
        <v>90.90000000000001</v>
      </c>
      <c r="AA118" s="27" t="inlineStr">
        <is>
          <t>Qualified</t>
        </is>
      </c>
      <c r="AB118" s="27" t="inlineStr"/>
      <c r="AC118" s="28">
        <f>IF(A118="","",IF(COUNTIF($H$5:$H$1004,H118)&gt;1,"DUPLICATE","UNIQUE"))</f>
        <v/>
      </c>
      <c r="AD118" s="28">
        <f>IF(A118="","",IF(AA118="Rejected",IF(AB118&lt;&gt;"","REJECTED","ADD REASON"),IF(AND(B118&lt;&gt;"",C118&lt;&gt;"",D118&lt;&gt;"",E118&lt;&gt;"",F118&lt;&gt;"",G118&lt;&gt;"",H118&lt;&gt;"",J118&lt;&gt;"",K118&lt;&gt;"",N118&lt;&gt;"",O118&lt;&gt;"",P118&lt;&gt;"",Q118&lt;&gt;"",R118&lt;&gt;"",S118&lt;&gt;"",T118&lt;&gt;"",V118&lt;&gt;"",W118&lt;&gt;"",X118&lt;&gt;"",Y118&lt;&gt;""),"COMPLETE","MISSING FIELDS")))</f>
        <v/>
      </c>
    </row>
    <row r="119" ht="15" customHeight="1" s="15">
      <c r="A119" s="27" t="inlineStr">
        <is>
          <t>LEAD-0115</t>
        </is>
      </c>
      <c r="B119" s="27" t="inlineStr">
        <is>
          <t>Caleb Jennings</t>
        </is>
      </c>
      <c r="C119" s="27" t="inlineStr">
        <is>
          <t>Expert-Led Creator</t>
        </is>
      </c>
      <c r="D119" s="27" t="inlineStr">
        <is>
          <t>US</t>
        </is>
      </c>
      <c r="E119" s="27" t="inlineStr">
        <is>
          <t>English</t>
        </is>
      </c>
      <c r="F119" s="27" t="inlineStr">
        <is>
          <t>LinkedIn</t>
        </is>
      </c>
      <c r="G119" s="27" t="inlineStr">
        <is>
          <t>https://www.linkedin.com/in/calebjennings</t>
        </is>
      </c>
      <c r="H119" s="27" t="inlineStr">
        <is>
          <t>LI-calebjennings-0115</t>
        </is>
      </c>
      <c r="I119" s="27" t="inlineStr">
        <is>
          <t>156,000</t>
        </is>
      </c>
      <c r="J119" s="27" t="inlineStr">
        <is>
          <t>2026-10-13</t>
        </is>
      </c>
      <c r="K119" s="27" t="inlineStr">
        <is>
          <t>https://calebjennings.com/posts/116</t>
        </is>
      </c>
      <c r="L119" s="27" t="n">
        <v>13</v>
      </c>
      <c r="M119" s="27" t="n">
        <v>23</v>
      </c>
      <c r="N119" s="27" t="inlineStr">
        <is>
          <t>Product</t>
        </is>
      </c>
      <c r="O119" s="27" t="inlineStr">
        <is>
          <t>https://calebjennings.com/shop</t>
        </is>
      </c>
      <c r="P119" s="27" t="inlineStr">
        <is>
          <t>Editing Backlog &amp; Team Workflow Overhead</t>
        </is>
      </c>
      <c r="Q119" s="27" t="inlineStr">
        <is>
          <t>https://calebjennings.com/highlights</t>
        </is>
      </c>
      <c r="R119" s="27" t="inlineStr">
        <is>
          <t>Email</t>
        </is>
      </c>
      <c r="S119" s="27" t="inlineStr">
        <is>
          <t>hello@calebjennings.com</t>
        </is>
      </c>
      <c r="T119" s="27" t="inlineStr">
        <is>
          <t>https://calebjennings.com/work-with-me</t>
        </is>
      </c>
      <c r="U119" s="27" t="inlineStr">
        <is>
          <t>LinkedIn</t>
        </is>
      </c>
      <c r="V119" s="27" t="inlineStr">
        <is>
          <t>b2b marketing &amp; sales frameworks, specifically regarding episode 16 on B2B Marketing &amp; Sales workflow optimization</t>
        </is>
      </c>
      <c r="W119" s="27" t="inlineStr">
        <is>
          <t>Hi Caleb, loved your recent piece on 'b2b marketing &amp; sales frameworks, specifically regarding episode 16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19" s="27" t="inlineStr">
        <is>
          <t>2026-10-18</t>
        </is>
      </c>
      <c r="Y119" s="27" t="inlineStr">
        <is>
          <t>B</t>
        </is>
      </c>
      <c r="Z119" s="27" t="n">
        <v>90.8</v>
      </c>
      <c r="AA119" s="27" t="inlineStr">
        <is>
          <t>Qualified</t>
        </is>
      </c>
      <c r="AB119" s="27" t="inlineStr"/>
      <c r="AC119" s="28">
        <f>IF(A119="","",IF(COUNTIF($H$5:$H$1004,H119)&gt;1,"DUPLICATE","UNIQUE"))</f>
        <v/>
      </c>
      <c r="AD119" s="28">
        <f>IF(A119="","",IF(AA119="Rejected",IF(AB119&lt;&gt;"","REJECTED","ADD REASON"),IF(AND(B119&lt;&gt;"",C119&lt;&gt;"",D119&lt;&gt;"",E119&lt;&gt;"",F119&lt;&gt;"",G119&lt;&gt;"",H119&lt;&gt;"",J119&lt;&gt;"",K119&lt;&gt;"",N119&lt;&gt;"",O119&lt;&gt;"",P119&lt;&gt;"",Q119&lt;&gt;"",R119&lt;&gt;"",S119&lt;&gt;"",T119&lt;&gt;"",V119&lt;&gt;"",W119&lt;&gt;"",X119&lt;&gt;"",Y119&lt;&gt;""),"COMPLETE","MISSING FIELDS")))</f>
        <v/>
      </c>
    </row>
    <row r="120" ht="15" customHeight="1" s="15">
      <c r="A120" s="27" t="inlineStr">
        <is>
          <t>LEAD-0116</t>
        </is>
      </c>
      <c r="B120" s="27" t="inlineStr">
        <is>
          <t>Caleb Kingsley</t>
        </is>
      </c>
      <c r="C120" s="27" t="inlineStr">
        <is>
          <t>YouTuber</t>
        </is>
      </c>
      <c r="D120" s="27" t="inlineStr">
        <is>
          <t>US</t>
        </is>
      </c>
      <c r="E120" s="27" t="inlineStr">
        <is>
          <t>English</t>
        </is>
      </c>
      <c r="F120" s="27" t="inlineStr">
        <is>
          <t>YouTube</t>
        </is>
      </c>
      <c r="G120" s="27" t="inlineStr">
        <is>
          <t>https://www.youtube.com/@calebkingsley</t>
        </is>
      </c>
      <c r="H120" s="27" t="inlineStr">
        <is>
          <t>UCUS00116134507</t>
        </is>
      </c>
      <c r="I120" s="27" t="inlineStr">
        <is>
          <t>240,000</t>
        </is>
      </c>
      <c r="J120" s="27" t="inlineStr">
        <is>
          <t>2026-10-14</t>
        </is>
      </c>
      <c r="K120" s="27" t="inlineStr">
        <is>
          <t>https://www.youtube.com/watch?v=us00116</t>
        </is>
      </c>
      <c r="L120" s="27" t="n">
        <v>14</v>
      </c>
      <c r="M120" s="27" t="n">
        <v>24</v>
      </c>
      <c r="N120" s="27" t="inlineStr">
        <is>
          <t>Consulting</t>
        </is>
      </c>
      <c r="O120" s="27" t="inlineStr">
        <is>
          <t>https://calebkingsley.com/advisory</t>
        </is>
      </c>
      <c r="P120" s="27" t="inlineStr">
        <is>
          <t>Multilingual Audio Dubbing</t>
        </is>
      </c>
      <c r="Q120" s="27" t="inlineStr">
        <is>
          <t>https://calebkingsley.com/highlights</t>
        </is>
      </c>
      <c r="R120" s="27" t="inlineStr">
        <is>
          <t>Email</t>
        </is>
      </c>
      <c r="S120" s="27" t="inlineStr">
        <is>
          <t>contact@calebkingsley.com</t>
        </is>
      </c>
      <c r="T120" s="27" t="inlineStr">
        <is>
          <t>https://calebkingsley.com/contact</t>
        </is>
      </c>
      <c r="U120" s="27" t="inlineStr">
        <is>
          <t>LinkedIn</t>
        </is>
      </c>
      <c r="V120" s="27" t="inlineStr">
        <is>
          <t>finance &amp; wealth engineering frameworks, specifically regarding episode 17 on Finance &amp; Wealth Engineering workflow optimization</t>
        </is>
      </c>
      <c r="W120" s="27" t="inlineStr">
        <is>
          <t>Hi Caleb, loved your recent piece on 'finance &amp; wealth engineering frameworks, specifically regarding episode 17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20" s="27" t="inlineStr">
        <is>
          <t>2026-10-18</t>
        </is>
      </c>
      <c r="Y120" s="27" t="inlineStr">
        <is>
          <t>B</t>
        </is>
      </c>
      <c r="Z120" s="27" t="n">
        <v>90.7</v>
      </c>
      <c r="AA120" s="27" t="inlineStr">
        <is>
          <t>Qualified</t>
        </is>
      </c>
      <c r="AB120" s="27" t="inlineStr"/>
      <c r="AC120" s="28">
        <f>IF(A120="","",IF(COUNTIF($H$5:$H$1004,H120)&gt;1,"DUPLICATE","UNIQUE"))</f>
        <v/>
      </c>
      <c r="AD120" s="28">
        <f>IF(A120="","",IF(AA120="Rejected",IF(AB120&lt;&gt;"","REJECTED","ADD REASON"),IF(AND(B120&lt;&gt;"",C120&lt;&gt;"",D120&lt;&gt;"",E120&lt;&gt;"",F120&lt;&gt;"",G120&lt;&gt;"",H120&lt;&gt;"",J120&lt;&gt;"",K120&lt;&gt;"",N120&lt;&gt;"",O120&lt;&gt;"",P120&lt;&gt;"",Q120&lt;&gt;"",R120&lt;&gt;"",S120&lt;&gt;"",T120&lt;&gt;"",V120&lt;&gt;"",W120&lt;&gt;"",X120&lt;&gt;"",Y120&lt;&gt;""),"COMPLETE","MISSING FIELDS")))</f>
        <v/>
      </c>
    </row>
    <row r="121" ht="15" customHeight="1" s="15">
      <c r="A121" s="27" t="inlineStr">
        <is>
          <t>LEAD-0117</t>
        </is>
      </c>
      <c r="B121" s="27" t="inlineStr">
        <is>
          <t>Caleb Lockwood</t>
        </is>
      </c>
      <c r="C121" s="27" t="inlineStr">
        <is>
          <t>Podcaster</t>
        </is>
      </c>
      <c r="D121" s="27" t="inlineStr">
        <is>
          <t>US</t>
        </is>
      </c>
      <c r="E121" s="27" t="inlineStr">
        <is>
          <t>English</t>
        </is>
      </c>
      <c r="F121" s="27" t="inlineStr">
        <is>
          <t>Apple Podcasts</t>
        </is>
      </c>
      <c r="G121" s="27" t="inlineStr">
        <is>
          <t>https://podcasts.apple.com/us/podcast/caleblockwood/id1000117</t>
        </is>
      </c>
      <c r="H121" s="27" t="inlineStr">
        <is>
          <t>AP-US-1000117</t>
        </is>
      </c>
      <c r="I121" s="27" t="inlineStr">
        <is>
          <t>216,000</t>
        </is>
      </c>
      <c r="J121" s="27" t="inlineStr">
        <is>
          <t>2026-10-15</t>
        </is>
      </c>
      <c r="K121" s="27" t="inlineStr">
        <is>
          <t>https://caleblockwood.com/episodes/118</t>
        </is>
      </c>
      <c r="L121" s="27" t="n">
        <v>15</v>
      </c>
      <c r="M121" s="27" t="n">
        <v>25</v>
      </c>
      <c r="N121" s="27" t="inlineStr">
        <is>
          <t>Newsletter Subscription</t>
        </is>
      </c>
      <c r="O121" s="27" t="inlineStr">
        <is>
          <t>https://caleblockwood.com/subscribe</t>
        </is>
      </c>
      <c r="P121" s="27" t="inlineStr">
        <is>
          <t>Multilingual Audio Dubbing</t>
        </is>
      </c>
      <c r="Q121" s="27" t="inlineStr">
        <is>
          <t>https://caleblockwood.com/highlights</t>
        </is>
      </c>
      <c r="R121" s="27" t="inlineStr">
        <is>
          <t>LinkedIn</t>
        </is>
      </c>
      <c r="S121" s="27" t="inlineStr">
        <is>
          <t>https://linkedin.com/in/caleblockwood</t>
        </is>
      </c>
      <c r="T121" s="27" t="inlineStr">
        <is>
          <t>https://caleblockwood.com/about</t>
        </is>
      </c>
      <c r="U121" s="27" t="inlineStr">
        <is>
          <t>Email</t>
        </is>
      </c>
      <c r="V121" s="27" t="inlineStr">
        <is>
          <t>health &amp; longevity science frameworks, specifically regarding episode 18 on Health &amp; Longevity Science workflow optimization</t>
        </is>
      </c>
      <c r="W121" s="27" t="inlineStr">
        <is>
          <t>Hi Caleb, loved your recent piece on 'health &amp; longevity science frameworks, specifically regarding episode 18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21" s="27" t="inlineStr">
        <is>
          <t>2026-10-18</t>
        </is>
      </c>
      <c r="Y121" s="27" t="inlineStr">
        <is>
          <t>B</t>
        </is>
      </c>
      <c r="Z121" s="27" t="n">
        <v>90.59999999999999</v>
      </c>
      <c r="AA121" s="27" t="inlineStr">
        <is>
          <t>Qualified</t>
        </is>
      </c>
      <c r="AB121" s="27" t="inlineStr"/>
      <c r="AC121" s="28">
        <f>IF(A121="","",IF(COUNTIF($H$5:$H$1004,H121)&gt;1,"DUPLICATE","UNIQUE"))</f>
        <v/>
      </c>
      <c r="AD121" s="28">
        <f>IF(A121="","",IF(AA121="Rejected",IF(AB121&lt;&gt;"","REJECTED","ADD REASON"),IF(AND(B121&lt;&gt;"",C121&lt;&gt;"",D121&lt;&gt;"",E121&lt;&gt;"",F121&lt;&gt;"",G121&lt;&gt;"",H121&lt;&gt;"",J121&lt;&gt;"",K121&lt;&gt;"",N121&lt;&gt;"",O121&lt;&gt;"",P121&lt;&gt;"",Q121&lt;&gt;"",R121&lt;&gt;"",S121&lt;&gt;"",T121&lt;&gt;"",V121&lt;&gt;"",W121&lt;&gt;"",X121&lt;&gt;"",Y121&lt;&gt;""),"COMPLETE","MISSING FIELDS")))</f>
        <v/>
      </c>
    </row>
    <row r="122" ht="15" customHeight="1" s="15">
      <c r="A122" s="27" t="inlineStr">
        <is>
          <t>LEAD-0118</t>
        </is>
      </c>
      <c r="B122" s="27" t="inlineStr">
        <is>
          <t>Caleb Montague</t>
        </is>
      </c>
      <c r="C122" s="27" t="inlineStr">
        <is>
          <t>YouTuber</t>
        </is>
      </c>
      <c r="D122" s="27" t="inlineStr">
        <is>
          <t>US</t>
        </is>
      </c>
      <c r="E122" s="27" t="inlineStr">
        <is>
          <t>English</t>
        </is>
      </c>
      <c r="F122" s="27" t="inlineStr">
        <is>
          <t>YouTube</t>
        </is>
      </c>
      <c r="G122" s="27" t="inlineStr">
        <is>
          <t>https://www.youtube.com/@calebmontague</t>
        </is>
      </c>
      <c r="H122" s="27" t="inlineStr">
        <is>
          <t>UCUS00118859203</t>
        </is>
      </c>
      <c r="I122" s="27" t="inlineStr">
        <is>
          <t>280,000</t>
        </is>
      </c>
      <c r="J122" s="27" t="inlineStr">
        <is>
          <t>2026-10-16</t>
        </is>
      </c>
      <c r="K122" s="27" t="inlineStr">
        <is>
          <t>https://www.youtube.com/watch?v=us00118</t>
        </is>
      </c>
      <c r="L122" s="27" t="n">
        <v>16</v>
      </c>
      <c r="M122" s="27" t="n">
        <v>26</v>
      </c>
      <c r="N122" s="27" t="inlineStr">
        <is>
          <t>Affiliate</t>
        </is>
      </c>
      <c r="O122" s="27" t="inlineStr">
        <is>
          <t>https://calebmontague.com/resources</t>
        </is>
      </c>
      <c r="P122" s="27" t="inlineStr">
        <is>
          <t>Missing Video Captions &amp; Retention Clips</t>
        </is>
      </c>
      <c r="Q122" s="27" t="inlineStr">
        <is>
          <t>https://calebmontague.com/highlights</t>
        </is>
      </c>
      <c r="R122" s="27" t="inlineStr">
        <is>
          <t>X (Twitter)</t>
        </is>
      </c>
      <c r="S122" s="27" t="inlineStr">
        <is>
          <t>https://x.com/calebmontague</t>
        </is>
      </c>
      <c r="T122" s="27" t="inlineStr">
        <is>
          <t>https://calebmontague.com/links</t>
        </is>
      </c>
      <c r="U122" s="27" t="inlineStr">
        <is>
          <t>LinkedIn</t>
        </is>
      </c>
      <c r="V122" s="27" t="inlineStr">
        <is>
          <t>education &amp; applied coding frameworks, specifically regarding episode 19 on Education &amp; Applied Coding workflow optimization</t>
        </is>
      </c>
      <c r="W122" s="27" t="inlineStr">
        <is>
          <t>Hi Caleb, loved your recent piece on 'education &amp; applied coding frameworks, specifically regarding episode 19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22" s="27" t="inlineStr">
        <is>
          <t>2026-10-18</t>
        </is>
      </c>
      <c r="Y122" s="27" t="inlineStr">
        <is>
          <t>B</t>
        </is>
      </c>
      <c r="Z122" s="27" t="n">
        <v>90.59999999999999</v>
      </c>
      <c r="AA122" s="27" t="inlineStr">
        <is>
          <t>Qualified</t>
        </is>
      </c>
      <c r="AB122" s="27" t="inlineStr"/>
      <c r="AC122" s="28">
        <f>IF(A122="","",IF(COUNTIF($H$5:$H$1004,H122)&gt;1,"DUPLICATE","UNIQUE"))</f>
        <v/>
      </c>
      <c r="AD122" s="28">
        <f>IF(A122="","",IF(AA122="Rejected",IF(AB122&lt;&gt;"","REJECTED","ADD REASON"),IF(AND(B122&lt;&gt;"",C122&lt;&gt;"",D122&lt;&gt;"",E122&lt;&gt;"",F122&lt;&gt;"",G122&lt;&gt;"",H122&lt;&gt;"",J122&lt;&gt;"",K122&lt;&gt;"",N122&lt;&gt;"",O122&lt;&gt;"",P122&lt;&gt;"",Q122&lt;&gt;"",R122&lt;&gt;"",S122&lt;&gt;"",T122&lt;&gt;"",V122&lt;&gt;"",W122&lt;&gt;"",X122&lt;&gt;"",Y122&lt;&gt;""),"COMPLETE","MISSING FIELDS")))</f>
        <v/>
      </c>
    </row>
    <row r="123" ht="15" customHeight="1" s="15">
      <c r="A123" s="27" t="inlineStr">
        <is>
          <t>LEAD-0119</t>
        </is>
      </c>
      <c r="B123" s="27" t="inlineStr">
        <is>
          <t>Caleb Northwood</t>
        </is>
      </c>
      <c r="C123" s="27" t="inlineStr">
        <is>
          <t>Podcaster</t>
        </is>
      </c>
      <c r="D123" s="27" t="inlineStr">
        <is>
          <t>US</t>
        </is>
      </c>
      <c r="E123" s="27" t="inlineStr">
        <is>
          <t>English</t>
        </is>
      </c>
      <c r="F123" s="27" t="inlineStr">
        <is>
          <t>Apple Podcasts</t>
        </is>
      </c>
      <c r="G123" s="27" t="inlineStr">
        <is>
          <t>https://podcasts.apple.com/us/podcast/calebnorthwood/id1000119</t>
        </is>
      </c>
      <c r="H123" s="27" t="inlineStr">
        <is>
          <t>AP-US-1000119</t>
        </is>
      </c>
      <c r="I123" s="27" t="inlineStr">
        <is>
          <t>240,000</t>
        </is>
      </c>
      <c r="J123" s="27" t="inlineStr">
        <is>
          <t>2026-10-17</t>
        </is>
      </c>
      <c r="K123" s="27" t="inlineStr">
        <is>
          <t>https://calebnorthwood.com/episodes/120</t>
        </is>
      </c>
      <c r="L123" s="27" t="n">
        <v>17</v>
      </c>
      <c r="M123" s="27" t="n">
        <v>27</v>
      </c>
      <c r="N123" s="27" t="inlineStr">
        <is>
          <t>Course</t>
        </is>
      </c>
      <c r="O123" s="27" t="inlineStr">
        <is>
          <t>https://calebnorthwood.com/academy</t>
        </is>
      </c>
      <c r="P123" s="27" t="inlineStr">
        <is>
          <t>Shorts Repurposing Bottleneck</t>
        </is>
      </c>
      <c r="Q123" s="27" t="inlineStr">
        <is>
          <t>https://calebnorthwood.com/highlights</t>
        </is>
      </c>
      <c r="R123" s="27" t="inlineStr">
        <is>
          <t>Email</t>
        </is>
      </c>
      <c r="S123" s="27" t="inlineStr">
        <is>
          <t>hello@calebnorthwood.com</t>
        </is>
      </c>
      <c r="T123" s="27" t="inlineStr">
        <is>
          <t>https://calebnorthwood.com/work-with-me</t>
        </is>
      </c>
      <c r="U123" s="27" t="inlineStr">
        <is>
          <t>LinkedIn</t>
        </is>
      </c>
      <c r="V123" s="27" t="inlineStr">
        <is>
          <t>e-commerce &amp; digital brands frameworks, specifically regarding episode 20 on E-Commerce &amp; Digital Brands workflow optimization</t>
        </is>
      </c>
      <c r="W123" s="27" t="inlineStr">
        <is>
          <t>Hi Caleb, loved your recent piece on 'e-commerce &amp; digital brands frameworks, specifically regarding episode 20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23" s="27" t="inlineStr">
        <is>
          <t>2026-10-18</t>
        </is>
      </c>
      <c r="Y123" s="27" t="inlineStr">
        <is>
          <t>B</t>
        </is>
      </c>
      <c r="Z123" s="27" t="n">
        <v>90.5</v>
      </c>
      <c r="AA123" s="27" t="inlineStr">
        <is>
          <t>Qualified</t>
        </is>
      </c>
      <c r="AB123" s="27" t="inlineStr"/>
      <c r="AC123" s="28">
        <f>IF(A123="","",IF(COUNTIF($H$5:$H$1004,H123)&gt;1,"DUPLICATE","UNIQUE"))</f>
        <v/>
      </c>
      <c r="AD123" s="28">
        <f>IF(A123="","",IF(AA123="Rejected",IF(AB123&lt;&gt;"","REJECTED","ADD REASON"),IF(AND(B123&lt;&gt;"",C123&lt;&gt;"",D123&lt;&gt;"",E123&lt;&gt;"",F123&lt;&gt;"",G123&lt;&gt;"",H123&lt;&gt;"",J123&lt;&gt;"",K123&lt;&gt;"",N123&lt;&gt;"",O123&lt;&gt;"",P123&lt;&gt;"",Q123&lt;&gt;"",R123&lt;&gt;"",S123&lt;&gt;"",T123&lt;&gt;"",V123&lt;&gt;"",W123&lt;&gt;"",X123&lt;&gt;"",Y123&lt;&gt;""),"COMPLETE","MISSING FIELDS")))</f>
        <v/>
      </c>
    </row>
    <row r="124" ht="15" customHeight="1" s="15">
      <c r="A124" s="27" t="inlineStr">
        <is>
          <t>LEAD-0120</t>
        </is>
      </c>
      <c r="B124" s="27" t="inlineStr">
        <is>
          <t>Caleb Oakley</t>
        </is>
      </c>
      <c r="C124" s="27" t="inlineStr">
        <is>
          <t>YouTuber</t>
        </is>
      </c>
      <c r="D124" s="27" t="inlineStr">
        <is>
          <t>US</t>
        </is>
      </c>
      <c r="E124" s="27" t="inlineStr">
        <is>
          <t>English</t>
        </is>
      </c>
      <c r="F124" s="27" t="inlineStr">
        <is>
          <t>YouTube</t>
        </is>
      </c>
      <c r="G124" s="27" t="inlineStr">
        <is>
          <t>https://www.youtube.com/@caleboakley</t>
        </is>
      </c>
      <c r="H124" s="27" t="inlineStr">
        <is>
          <t>UCUS00120109833</t>
        </is>
      </c>
      <c r="I124" s="27" t="inlineStr">
        <is>
          <t>320,000</t>
        </is>
      </c>
      <c r="J124" s="27" t="inlineStr">
        <is>
          <t>2026-10-10</t>
        </is>
      </c>
      <c r="K124" s="27" t="inlineStr">
        <is>
          <t>https://www.youtube.com/watch?v=us00120</t>
        </is>
      </c>
      <c r="L124" s="27" t="n">
        <v>8</v>
      </c>
      <c r="M124" s="27" t="n">
        <v>28</v>
      </c>
      <c r="N124" s="27" t="inlineStr">
        <is>
          <t>Sponsor</t>
        </is>
      </c>
      <c r="O124" s="27" t="inlineStr">
        <is>
          <t>https://caleboakley.com/partners</t>
        </is>
      </c>
      <c r="P124" s="27" t="inlineStr">
        <is>
          <t>Shorts Repurposing Bottleneck</t>
        </is>
      </c>
      <c r="Q124" s="27" t="inlineStr">
        <is>
          <t>https://caleboakley.com/highlights</t>
        </is>
      </c>
      <c r="R124" s="27" t="inlineStr">
        <is>
          <t>Email</t>
        </is>
      </c>
      <c r="S124" s="27" t="inlineStr">
        <is>
          <t>contact@caleboakley.com</t>
        </is>
      </c>
      <c r="T124" s="27" t="inlineStr">
        <is>
          <t>https://caleboakley.com/contact</t>
        </is>
      </c>
      <c r="U124" s="27" t="inlineStr">
        <is>
          <t>LinkedIn</t>
        </is>
      </c>
      <c r="V124" s="27" t="inlineStr">
        <is>
          <t>tech &amp; ai frameworks, specifically regarding episode 21 on Tech &amp; AI workflow optimization</t>
        </is>
      </c>
      <c r="W124" s="27" t="inlineStr">
        <is>
          <t>Hi Caleb, loved your recent piece on 'tech &amp; ai frameworks, specifically regarding episode 21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24" s="27" t="inlineStr">
        <is>
          <t>2026-10-18</t>
        </is>
      </c>
      <c r="Y124" s="27" t="inlineStr">
        <is>
          <t>B</t>
        </is>
      </c>
      <c r="Z124" s="27" t="n">
        <v>90.40000000000001</v>
      </c>
      <c r="AA124" s="27" t="inlineStr">
        <is>
          <t>Qualified</t>
        </is>
      </c>
      <c r="AB124" s="27" t="inlineStr"/>
      <c r="AC124" s="28">
        <f>IF(A124="","",IF(COUNTIF($H$5:$H$1004,H124)&gt;1,"DUPLICATE","UNIQUE"))</f>
        <v/>
      </c>
      <c r="AD124" s="28">
        <f>IF(A124="","",IF(AA124="Rejected",IF(AB124&lt;&gt;"","REJECTED","ADD REASON"),IF(AND(B124&lt;&gt;"",C124&lt;&gt;"",D124&lt;&gt;"",E124&lt;&gt;"",F124&lt;&gt;"",G124&lt;&gt;"",H124&lt;&gt;"",J124&lt;&gt;"",K124&lt;&gt;"",N124&lt;&gt;"",O124&lt;&gt;"",P124&lt;&gt;"",Q124&lt;&gt;"",R124&lt;&gt;"",S124&lt;&gt;"",T124&lt;&gt;"",V124&lt;&gt;"",W124&lt;&gt;"",X124&lt;&gt;"",Y124&lt;&gt;""),"COMPLETE","MISSING FIELDS")))</f>
        <v/>
      </c>
    </row>
    <row r="125" ht="15" customHeight="1" s="15">
      <c r="A125" s="27" t="inlineStr">
        <is>
          <t>LEAD-0121</t>
        </is>
      </c>
      <c r="B125" s="27" t="inlineStr">
        <is>
          <t>Caleb Pemberton</t>
        </is>
      </c>
      <c r="C125" s="27" t="inlineStr">
        <is>
          <t>Podcaster</t>
        </is>
      </c>
      <c r="D125" s="27" t="inlineStr">
        <is>
          <t>US</t>
        </is>
      </c>
      <c r="E125" s="27" t="inlineStr">
        <is>
          <t>English</t>
        </is>
      </c>
      <c r="F125" s="27" t="inlineStr">
        <is>
          <t>Apple Podcasts</t>
        </is>
      </c>
      <c r="G125" s="27" t="inlineStr">
        <is>
          <t>https://podcasts.apple.com/us/podcast/calebpemberton/id1000121</t>
        </is>
      </c>
      <c r="H125" s="27" t="inlineStr">
        <is>
          <t>AP-US-1000121</t>
        </is>
      </c>
      <c r="I125" s="27" t="inlineStr">
        <is>
          <t>264,000</t>
        </is>
      </c>
      <c r="J125" s="27" t="inlineStr">
        <is>
          <t>2026-10-11</t>
        </is>
      </c>
      <c r="K125" s="27" t="inlineStr">
        <is>
          <t>https://calebpemberton.com/episodes/122</t>
        </is>
      </c>
      <c r="L125" s="27" t="n">
        <v>9</v>
      </c>
      <c r="M125" s="27" t="n">
        <v>29</v>
      </c>
      <c r="N125" s="27" t="inlineStr">
        <is>
          <t>Membership</t>
        </is>
      </c>
      <c r="O125" s="27" t="inlineStr">
        <is>
          <t>https://calebpemberton.com/community</t>
        </is>
      </c>
      <c r="P125" s="27" t="inlineStr">
        <is>
          <t>Missing Video Captions &amp; Retention Clips</t>
        </is>
      </c>
      <c r="Q125" s="27" t="inlineStr">
        <is>
          <t>https://calebpemberton.com/highlights</t>
        </is>
      </c>
      <c r="R125" s="27" t="inlineStr">
        <is>
          <t>LinkedIn</t>
        </is>
      </c>
      <c r="S125" s="27" t="inlineStr">
        <is>
          <t>https://linkedin.com/in/calebpemberton</t>
        </is>
      </c>
      <c r="T125" s="27" t="inlineStr">
        <is>
          <t>https://calebpemberton.com/about</t>
        </is>
      </c>
      <c r="U125" s="27" t="inlineStr">
        <is>
          <t>Email</t>
        </is>
      </c>
      <c r="V125" s="27" t="inlineStr">
        <is>
          <t>saas &amp; product growth frameworks, specifically regarding episode 22 on SaaS &amp; Product Growth workflow optimization</t>
        </is>
      </c>
      <c r="W125" s="27" t="inlineStr">
        <is>
          <t>Hi Caleb, loved your recent piece on 'saas &amp; product growth frameworks, specifically regarding episode 22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25" s="27" t="inlineStr">
        <is>
          <t>2026-10-18</t>
        </is>
      </c>
      <c r="Y125" s="27" t="inlineStr">
        <is>
          <t>B</t>
        </is>
      </c>
      <c r="Z125" s="27" t="n">
        <v>90.3</v>
      </c>
      <c r="AA125" s="27" t="inlineStr">
        <is>
          <t>Qualified</t>
        </is>
      </c>
      <c r="AB125" s="27" t="inlineStr"/>
      <c r="AC125" s="28">
        <f>IF(A125="","",IF(COUNTIF($H$5:$H$1004,H125)&gt;1,"DUPLICATE","UNIQUE"))</f>
        <v/>
      </c>
      <c r="AD125" s="28">
        <f>IF(A125="","",IF(AA125="Rejected",IF(AB125&lt;&gt;"","REJECTED","ADD REASON"),IF(AND(B125&lt;&gt;"",C125&lt;&gt;"",D125&lt;&gt;"",E125&lt;&gt;"",F125&lt;&gt;"",G125&lt;&gt;"",H125&lt;&gt;"",J125&lt;&gt;"",K125&lt;&gt;"",N125&lt;&gt;"",O125&lt;&gt;"",P125&lt;&gt;"",Q125&lt;&gt;"",R125&lt;&gt;"",S125&lt;&gt;"",T125&lt;&gt;"",V125&lt;&gt;"",W125&lt;&gt;"",X125&lt;&gt;"",Y125&lt;&gt;""),"COMPLETE","MISSING FIELDS")))</f>
        <v/>
      </c>
    </row>
    <row r="126" ht="15" customHeight="1" s="15">
      <c r="A126" s="27" t="inlineStr">
        <is>
          <t>LEAD-0122</t>
        </is>
      </c>
      <c r="B126" s="27" t="inlineStr">
        <is>
          <t>Caleb Quatermain</t>
        </is>
      </c>
      <c r="C126" s="27" t="inlineStr">
        <is>
          <t>Expert-Led Creator</t>
        </is>
      </c>
      <c r="D126" s="27" t="inlineStr">
        <is>
          <t>US</t>
        </is>
      </c>
      <c r="E126" s="27" t="inlineStr">
        <is>
          <t>English</t>
        </is>
      </c>
      <c r="F126" s="27" t="inlineStr">
        <is>
          <t>YouTube</t>
        </is>
      </c>
      <c r="G126" s="27" t="inlineStr">
        <is>
          <t>https://www.youtube.com/@calebquatermain</t>
        </is>
      </c>
      <c r="H126" s="27" t="inlineStr">
        <is>
          <t>UCUS00122418895</t>
        </is>
      </c>
      <c r="I126" s="27" t="inlineStr">
        <is>
          <t>360,000</t>
        </is>
      </c>
      <c r="J126" s="27" t="inlineStr">
        <is>
          <t>2026-10-12</t>
        </is>
      </c>
      <c r="K126" s="27" t="inlineStr">
        <is>
          <t>https://www.youtube.com/watch?v=us00122</t>
        </is>
      </c>
      <c r="L126" s="27" t="n">
        <v>10</v>
      </c>
      <c r="M126" s="27" t="n">
        <v>30</v>
      </c>
      <c r="N126" s="27" t="inlineStr">
        <is>
          <t>Product</t>
        </is>
      </c>
      <c r="O126" s="27" t="inlineStr">
        <is>
          <t>https://calebquatermain.com/shop</t>
        </is>
      </c>
      <c r="P126" s="27" t="inlineStr">
        <is>
          <t>Editing Backlog &amp; Team Workflow Overhead</t>
        </is>
      </c>
      <c r="Q126" s="27" t="inlineStr">
        <is>
          <t>https://calebquatermain.com/highlights</t>
        </is>
      </c>
      <c r="R126" s="27" t="inlineStr">
        <is>
          <t>X (Twitter)</t>
        </is>
      </c>
      <c r="S126" s="27" t="inlineStr">
        <is>
          <t>https://x.com/calebquatermain</t>
        </is>
      </c>
      <c r="T126" s="27" t="inlineStr">
        <is>
          <t>https://calebquatermain.com/links</t>
        </is>
      </c>
      <c r="U126" s="27" t="inlineStr">
        <is>
          <t>LinkedIn</t>
        </is>
      </c>
      <c r="V126" s="27" t="inlineStr">
        <is>
          <t>creator business &amp; monetization frameworks, specifically regarding episode 23 on Creator Business &amp; Monetization workflow optimization</t>
        </is>
      </c>
      <c r="W126" s="27" t="inlineStr">
        <is>
          <t>Hi Caleb, loved your recent piece on 'creator business &amp; monetization frameworks, specifically regarding episode 23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26" s="27" t="inlineStr">
        <is>
          <t>2026-10-18</t>
        </is>
      </c>
      <c r="Y126" s="27" t="inlineStr">
        <is>
          <t>B</t>
        </is>
      </c>
      <c r="Z126" s="27" t="n">
        <v>90.2</v>
      </c>
      <c r="AA126" s="27" t="inlineStr">
        <is>
          <t>Qualified</t>
        </is>
      </c>
      <c r="AB126" s="27" t="inlineStr"/>
      <c r="AC126" s="28">
        <f>IF(A126="","",IF(COUNTIF($H$5:$H$1004,H126)&gt;1,"DUPLICATE","UNIQUE"))</f>
        <v/>
      </c>
      <c r="AD126" s="28">
        <f>IF(A126="","",IF(AA126="Rejected",IF(AB126&lt;&gt;"","REJECTED","ADD REASON"),IF(AND(B126&lt;&gt;"",C126&lt;&gt;"",D126&lt;&gt;"",E126&lt;&gt;"",F126&lt;&gt;"",G126&lt;&gt;"",H126&lt;&gt;"",J126&lt;&gt;"",K126&lt;&gt;"",N126&lt;&gt;"",O126&lt;&gt;"",P126&lt;&gt;"",Q126&lt;&gt;"",R126&lt;&gt;"",S126&lt;&gt;"",T126&lt;&gt;"",V126&lt;&gt;"",W126&lt;&gt;"",X126&lt;&gt;"",Y126&lt;&gt;""),"COMPLETE","MISSING FIELDS")))</f>
        <v/>
      </c>
    </row>
    <row r="127" ht="15" customHeight="1" s="15">
      <c r="A127" s="27" t="inlineStr">
        <is>
          <t>LEAD-0123</t>
        </is>
      </c>
      <c r="B127" s="27" t="inlineStr">
        <is>
          <t>Caleb Radcliffe</t>
        </is>
      </c>
      <c r="C127" s="27" t="inlineStr">
        <is>
          <t>YouTuber</t>
        </is>
      </c>
      <c r="D127" s="27" t="inlineStr">
        <is>
          <t>US</t>
        </is>
      </c>
      <c r="E127" s="27" t="inlineStr">
        <is>
          <t>English</t>
        </is>
      </c>
      <c r="F127" s="27" t="inlineStr">
        <is>
          <t>YouTube</t>
        </is>
      </c>
      <c r="G127" s="27" t="inlineStr">
        <is>
          <t>https://www.youtube.com/@calebradcliffe</t>
        </is>
      </c>
      <c r="H127" s="27" t="inlineStr">
        <is>
          <t>UCUS00123958558</t>
        </is>
      </c>
      <c r="I127" s="27" t="inlineStr">
        <is>
          <t>380,000</t>
        </is>
      </c>
      <c r="J127" s="27" t="inlineStr">
        <is>
          <t>2026-10-13</t>
        </is>
      </c>
      <c r="K127" s="27" t="inlineStr">
        <is>
          <t>https://www.youtube.com/watch?v=us00123</t>
        </is>
      </c>
      <c r="L127" s="27" t="n">
        <v>11</v>
      </c>
      <c r="M127" s="27" t="n">
        <v>31</v>
      </c>
      <c r="N127" s="27" t="inlineStr">
        <is>
          <t>Consulting</t>
        </is>
      </c>
      <c r="O127" s="27" t="inlineStr">
        <is>
          <t>https://calebradcliffe.com/advisory</t>
        </is>
      </c>
      <c r="P127" s="27" t="inlineStr">
        <is>
          <t>Shorts Repurposing Bottleneck</t>
        </is>
      </c>
      <c r="Q127" s="27" t="inlineStr">
        <is>
          <t>https://calebradcliffe.com/highlights</t>
        </is>
      </c>
      <c r="R127" s="27" t="inlineStr">
        <is>
          <t>Email</t>
        </is>
      </c>
      <c r="S127" s="27" t="inlineStr">
        <is>
          <t>hello@calebradcliffe.com</t>
        </is>
      </c>
      <c r="T127" s="27" t="inlineStr">
        <is>
          <t>https://calebradcliffe.com/work-with-me</t>
        </is>
      </c>
      <c r="U127" s="27" t="inlineStr">
        <is>
          <t>LinkedIn</t>
        </is>
      </c>
      <c r="V127" s="27" t="inlineStr">
        <is>
          <t>productivity &amp; personal systems frameworks, specifically regarding episode 24 on Productivity &amp; Personal Systems workflow optimization</t>
        </is>
      </c>
      <c r="W127" s="27" t="inlineStr">
        <is>
          <t>Hi Caleb, loved your recent piece on 'productivity &amp; personal systems frameworks, specifically regarding episode 24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27" s="27" t="inlineStr">
        <is>
          <t>2026-10-18</t>
        </is>
      </c>
      <c r="Y127" s="27" t="inlineStr">
        <is>
          <t>B</t>
        </is>
      </c>
      <c r="Z127" s="27" t="n">
        <v>90.2</v>
      </c>
      <c r="AA127" s="27" t="inlineStr">
        <is>
          <t>Qualified</t>
        </is>
      </c>
      <c r="AB127" s="27" t="inlineStr"/>
      <c r="AC127" s="28">
        <f>IF(A127="","",IF(COUNTIF($H$5:$H$1004,H127)&gt;1,"DUPLICATE","UNIQUE"))</f>
        <v/>
      </c>
      <c r="AD127" s="28">
        <f>IF(A127="","",IF(AA127="Rejected",IF(AB127&lt;&gt;"","REJECTED","ADD REASON"),IF(AND(B127&lt;&gt;"",C127&lt;&gt;"",D127&lt;&gt;"",E127&lt;&gt;"",F127&lt;&gt;"",G127&lt;&gt;"",H127&lt;&gt;"",J127&lt;&gt;"",K127&lt;&gt;"",N127&lt;&gt;"",O127&lt;&gt;"",P127&lt;&gt;"",Q127&lt;&gt;"",R127&lt;&gt;"",S127&lt;&gt;"",T127&lt;&gt;"",V127&lt;&gt;"",W127&lt;&gt;"",X127&lt;&gt;"",Y127&lt;&gt;""),"COMPLETE","MISSING FIELDS")))</f>
        <v/>
      </c>
    </row>
    <row r="128" ht="15" customHeight="1" s="15">
      <c r="A128" s="27" t="inlineStr">
        <is>
          <t>LEAD-0124</t>
        </is>
      </c>
      <c r="B128" s="27" t="inlineStr">
        <is>
          <t>Caleb Stanhope</t>
        </is>
      </c>
      <c r="C128" s="27" t="inlineStr">
        <is>
          <t>Podcaster</t>
        </is>
      </c>
      <c r="D128" s="27" t="inlineStr">
        <is>
          <t>US</t>
        </is>
      </c>
      <c r="E128" s="27" t="inlineStr">
        <is>
          <t>English</t>
        </is>
      </c>
      <c r="F128" s="27" t="inlineStr">
        <is>
          <t>Apple Podcasts</t>
        </is>
      </c>
      <c r="G128" s="27" t="inlineStr">
        <is>
          <t>https://podcasts.apple.com/us/podcast/calebstanhope/id1000124</t>
        </is>
      </c>
      <c r="H128" s="27" t="inlineStr">
        <is>
          <t>AP-US-1000124</t>
        </is>
      </c>
      <c r="I128" s="27" t="inlineStr">
        <is>
          <t>300,000</t>
        </is>
      </c>
      <c r="J128" s="27" t="inlineStr">
        <is>
          <t>2026-10-14</t>
        </is>
      </c>
      <c r="K128" s="27" t="inlineStr">
        <is>
          <t>https://calebstanhope.com/episodes/125</t>
        </is>
      </c>
      <c r="L128" s="27" t="n">
        <v>12</v>
      </c>
      <c r="M128" s="27" t="n">
        <v>32</v>
      </c>
      <c r="N128" s="27" t="inlineStr">
        <is>
          <t>Newsletter Subscription</t>
        </is>
      </c>
      <c r="O128" s="27" t="inlineStr">
        <is>
          <t>https://calebstanhope.com/subscribe</t>
        </is>
      </c>
      <c r="P128" s="27" t="inlineStr">
        <is>
          <t>Inconsistent Cross-Platform Publishing</t>
        </is>
      </c>
      <c r="Q128" s="27" t="inlineStr">
        <is>
          <t>https://calebstanhope.com/highlights</t>
        </is>
      </c>
      <c r="R128" s="27" t="inlineStr">
        <is>
          <t>Email</t>
        </is>
      </c>
      <c r="S128" s="27" t="inlineStr">
        <is>
          <t>contact@calebstanhope.com</t>
        </is>
      </c>
      <c r="T128" s="27" t="inlineStr">
        <is>
          <t>https://calebstanhope.com/contact</t>
        </is>
      </c>
      <c r="U128" s="27" t="inlineStr">
        <is>
          <t>LinkedIn</t>
        </is>
      </c>
      <c r="V128" s="27" t="inlineStr">
        <is>
          <t>leadership &amp; team ops frameworks, specifically regarding episode 25 on Leadership &amp; Team Ops workflow optimization</t>
        </is>
      </c>
      <c r="W128" s="27" t="inlineStr">
        <is>
          <t>Hi Caleb, loved your recent piece on 'leadership &amp; team ops frameworks, specifically regarding episode 25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28" s="27" t="inlineStr">
        <is>
          <t>2026-10-18</t>
        </is>
      </c>
      <c r="Y128" s="27" t="inlineStr">
        <is>
          <t>B</t>
        </is>
      </c>
      <c r="Z128" s="27" t="n">
        <v>90.09999999999999</v>
      </c>
      <c r="AA128" s="27" t="inlineStr">
        <is>
          <t>Qualified</t>
        </is>
      </c>
      <c r="AB128" s="27" t="inlineStr"/>
      <c r="AC128" s="28">
        <f>IF(A128="","",IF(COUNTIF($H$5:$H$1004,H128)&gt;1,"DUPLICATE","UNIQUE"))</f>
        <v/>
      </c>
      <c r="AD128" s="28">
        <f>IF(A128="","",IF(AA128="Rejected",IF(AB128&lt;&gt;"","REJECTED","ADD REASON"),IF(AND(B128&lt;&gt;"",C128&lt;&gt;"",D128&lt;&gt;"",E128&lt;&gt;"",F128&lt;&gt;"",G128&lt;&gt;"",H128&lt;&gt;"",J128&lt;&gt;"",K128&lt;&gt;"",N128&lt;&gt;"",O128&lt;&gt;"",P128&lt;&gt;"",Q128&lt;&gt;"",R128&lt;&gt;"",S128&lt;&gt;"",T128&lt;&gt;"",V128&lt;&gt;"",W128&lt;&gt;"",X128&lt;&gt;"",Y128&lt;&gt;""),"COMPLETE","MISSING FIELDS")))</f>
        <v/>
      </c>
    </row>
    <row r="129" ht="15" customHeight="1" s="15">
      <c r="A129" s="27" t="inlineStr">
        <is>
          <t>LEAD-0125</t>
        </is>
      </c>
      <c r="B129" s="27" t="inlineStr">
        <is>
          <t>Caleb Thackery</t>
        </is>
      </c>
      <c r="C129" s="27" t="inlineStr">
        <is>
          <t>Expert-Led Creator</t>
        </is>
      </c>
      <c r="D129" s="27" t="inlineStr">
        <is>
          <t>US</t>
        </is>
      </c>
      <c r="E129" s="27" t="inlineStr">
        <is>
          <t>English</t>
        </is>
      </c>
      <c r="F129" s="27" t="inlineStr">
        <is>
          <t>LinkedIn</t>
        </is>
      </c>
      <c r="G129" s="27" t="inlineStr">
        <is>
          <t>https://www.linkedin.com/in/calebthackery</t>
        </is>
      </c>
      <c r="H129" s="27" t="inlineStr">
        <is>
          <t>LI-calebthackery-0125</t>
        </is>
      </c>
      <c r="I129" s="27" t="inlineStr">
        <is>
          <t>36,000</t>
        </is>
      </c>
      <c r="J129" s="27" t="inlineStr">
        <is>
          <t>2026-10-15</t>
        </is>
      </c>
      <c r="K129" s="27" t="inlineStr">
        <is>
          <t>https://calebthackery.com/posts/126</t>
        </is>
      </c>
      <c r="L129" s="27" t="n">
        <v>13</v>
      </c>
      <c r="M129" s="27" t="n">
        <v>33</v>
      </c>
      <c r="N129" s="27" t="inlineStr">
        <is>
          <t>Affiliate</t>
        </is>
      </c>
      <c r="O129" s="27" t="inlineStr">
        <is>
          <t>https://calebthackery.com/resources</t>
        </is>
      </c>
      <c r="P129" s="27" t="inlineStr">
        <is>
          <t>Editing Backlog &amp; Team Workflow Overhead</t>
        </is>
      </c>
      <c r="Q129" s="27" t="inlineStr">
        <is>
          <t>https://calebthackery.com/highlights</t>
        </is>
      </c>
      <c r="R129" s="27" t="inlineStr">
        <is>
          <t>LinkedIn</t>
        </is>
      </c>
      <c r="S129" s="27" t="inlineStr">
        <is>
          <t>https://linkedin.com/in/calebthackery</t>
        </is>
      </c>
      <c r="T129" s="27" t="inlineStr">
        <is>
          <t>https://calebthackery.com/about</t>
        </is>
      </c>
      <c r="U129" s="27" t="inlineStr">
        <is>
          <t>Email</t>
        </is>
      </c>
      <c r="V129" s="27" t="inlineStr">
        <is>
          <t>b2b marketing &amp; sales frameworks, specifically regarding episode 26 on B2B Marketing &amp; Sales workflow optimization</t>
        </is>
      </c>
      <c r="W129" s="27" t="inlineStr">
        <is>
          <t>Hi Caleb, loved your recent piece on 'b2b marketing &amp; sales frameworks, specifically regarding episode 26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29" s="27" t="inlineStr">
        <is>
          <t>2026-10-18</t>
        </is>
      </c>
      <c r="Y129" s="27" t="inlineStr">
        <is>
          <t>B</t>
        </is>
      </c>
      <c r="Z129" s="27" t="n">
        <v>90</v>
      </c>
      <c r="AA129" s="27" t="inlineStr">
        <is>
          <t>Qualified</t>
        </is>
      </c>
      <c r="AB129" s="27" t="inlineStr"/>
      <c r="AC129" s="28">
        <f>IF(A129="","",IF(COUNTIF($H$5:$H$1004,H129)&gt;1,"DUPLICATE","UNIQUE"))</f>
        <v/>
      </c>
      <c r="AD129" s="28">
        <f>IF(A129="","",IF(AA129="Rejected",IF(AB129&lt;&gt;"","REJECTED","ADD REASON"),IF(AND(B129&lt;&gt;"",C129&lt;&gt;"",D129&lt;&gt;"",E129&lt;&gt;"",F129&lt;&gt;"",G129&lt;&gt;"",H129&lt;&gt;"",J129&lt;&gt;"",K129&lt;&gt;"",N129&lt;&gt;"",O129&lt;&gt;"",P129&lt;&gt;"",Q129&lt;&gt;"",R129&lt;&gt;"",S129&lt;&gt;"",T129&lt;&gt;"",V129&lt;&gt;"",W129&lt;&gt;"",X129&lt;&gt;"",Y129&lt;&gt;""),"COMPLETE","MISSING FIELDS")))</f>
        <v/>
      </c>
    </row>
    <row r="130" ht="15" customHeight="1" s="15">
      <c r="A130" s="27" t="inlineStr">
        <is>
          <t>LEAD-0126</t>
        </is>
      </c>
      <c r="B130" s="27" t="inlineStr">
        <is>
          <t>Caleb Underwood</t>
        </is>
      </c>
      <c r="C130" s="27" t="inlineStr">
        <is>
          <t>YouTuber</t>
        </is>
      </c>
      <c r="D130" s="27" t="inlineStr">
        <is>
          <t>US</t>
        </is>
      </c>
      <c r="E130" s="27" t="inlineStr">
        <is>
          <t>English</t>
        </is>
      </c>
      <c r="F130" s="27" t="inlineStr">
        <is>
          <t>YouTube</t>
        </is>
      </c>
      <c r="G130" s="27" t="inlineStr">
        <is>
          <t>https://www.youtube.com/@calebunderwood</t>
        </is>
      </c>
      <c r="H130" s="27" t="inlineStr">
        <is>
          <t>UCUS00126848075</t>
        </is>
      </c>
      <c r="I130" s="27" t="inlineStr">
        <is>
          <t>440,000</t>
        </is>
      </c>
      <c r="J130" s="27" t="inlineStr">
        <is>
          <t>2026-10-16</t>
        </is>
      </c>
      <c r="K130" s="27" t="inlineStr">
        <is>
          <t>https://www.youtube.com/watch?v=us00126</t>
        </is>
      </c>
      <c r="L130" s="27" t="n">
        <v>14</v>
      </c>
      <c r="M130" s="27" t="n">
        <v>16</v>
      </c>
      <c r="N130" s="27" t="inlineStr">
        <is>
          <t>Course</t>
        </is>
      </c>
      <c r="O130" s="27" t="inlineStr">
        <is>
          <t>https://calebunderwood.com/academy</t>
        </is>
      </c>
      <c r="P130" s="27" t="inlineStr">
        <is>
          <t>Multilingual Audio Dubbing</t>
        </is>
      </c>
      <c r="Q130" s="27" t="inlineStr">
        <is>
          <t>https://calebunderwood.com/highlights</t>
        </is>
      </c>
      <c r="R130" s="27" t="inlineStr">
        <is>
          <t>X (Twitter)</t>
        </is>
      </c>
      <c r="S130" s="27" t="inlineStr">
        <is>
          <t>https://x.com/calebunderwood</t>
        </is>
      </c>
      <c r="T130" s="27" t="inlineStr">
        <is>
          <t>https://calebunderwood.com/links</t>
        </is>
      </c>
      <c r="U130" s="27" t="inlineStr">
        <is>
          <t>LinkedIn</t>
        </is>
      </c>
      <c r="V130" s="27" t="inlineStr">
        <is>
          <t>finance &amp; wealth engineering frameworks, specifically regarding episode 27 on Finance &amp; Wealth Engineering workflow optimization</t>
        </is>
      </c>
      <c r="W130" s="27" t="inlineStr">
        <is>
          <t>Hi Caleb,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30" s="27" t="inlineStr">
        <is>
          <t>2026-10-18</t>
        </is>
      </c>
      <c r="Y130" s="27" t="inlineStr">
        <is>
          <t>B</t>
        </is>
      </c>
      <c r="Z130" s="27" t="n">
        <v>89.90000000000001</v>
      </c>
      <c r="AA130" s="27" t="inlineStr">
        <is>
          <t>Qualified</t>
        </is>
      </c>
      <c r="AB130" s="27" t="inlineStr"/>
      <c r="AC130" s="28">
        <f>IF(A130="","",IF(COUNTIF($H$5:$H$1004,H130)&gt;1,"DUPLICATE","UNIQUE"))</f>
        <v/>
      </c>
      <c r="AD130" s="28">
        <f>IF(A130="","",IF(AA130="Rejected",IF(AB130&lt;&gt;"","REJECTED","ADD REASON"),IF(AND(B130&lt;&gt;"",C130&lt;&gt;"",D130&lt;&gt;"",E130&lt;&gt;"",F130&lt;&gt;"",G130&lt;&gt;"",H130&lt;&gt;"",J130&lt;&gt;"",K130&lt;&gt;"",N130&lt;&gt;"",O130&lt;&gt;"",P130&lt;&gt;"",Q130&lt;&gt;"",R130&lt;&gt;"",S130&lt;&gt;"",T130&lt;&gt;"",V130&lt;&gt;"",W130&lt;&gt;"",X130&lt;&gt;"",Y130&lt;&gt;""),"COMPLETE","MISSING FIELDS")))</f>
        <v/>
      </c>
    </row>
    <row r="131" ht="15" customHeight="1" s="15">
      <c r="A131" s="27" t="inlineStr">
        <is>
          <t>LEAD-0127</t>
        </is>
      </c>
      <c r="B131" s="27" t="inlineStr">
        <is>
          <t>Caleb Vanguard</t>
        </is>
      </c>
      <c r="C131" s="27" t="inlineStr">
        <is>
          <t>Podcaster</t>
        </is>
      </c>
      <c r="D131" s="27" t="inlineStr">
        <is>
          <t>US</t>
        </is>
      </c>
      <c r="E131" s="27" t="inlineStr">
        <is>
          <t>English</t>
        </is>
      </c>
      <c r="F131" s="27" t="inlineStr">
        <is>
          <t>Apple Podcasts</t>
        </is>
      </c>
      <c r="G131" s="27" t="inlineStr">
        <is>
          <t>https://podcasts.apple.com/us/podcast/calebvanguard/id1000127</t>
        </is>
      </c>
      <c r="H131" s="27" t="inlineStr">
        <is>
          <t>AP-US-1000127</t>
        </is>
      </c>
      <c r="I131" s="27" t="inlineStr">
        <is>
          <t>36,000</t>
        </is>
      </c>
      <c r="J131" s="27" t="inlineStr">
        <is>
          <t>2026-10-17</t>
        </is>
      </c>
      <c r="K131" s="27" t="inlineStr">
        <is>
          <t>https://calebvanguard.com/episodes/128</t>
        </is>
      </c>
      <c r="L131" s="27" t="n">
        <v>15</v>
      </c>
      <c r="M131" s="27" t="n">
        <v>17</v>
      </c>
      <c r="N131" s="27" t="inlineStr">
        <is>
          <t>Sponsor</t>
        </is>
      </c>
      <c r="O131" s="27" t="inlineStr">
        <is>
          <t>https://calebvanguard.com/partners</t>
        </is>
      </c>
      <c r="P131" s="27" t="inlineStr">
        <is>
          <t>Multilingual Audio Dubbing</t>
        </is>
      </c>
      <c r="Q131" s="27" t="inlineStr">
        <is>
          <t>https://calebvanguard.com/highlights</t>
        </is>
      </c>
      <c r="R131" s="27" t="inlineStr">
        <is>
          <t>Email</t>
        </is>
      </c>
      <c r="S131" s="27" t="inlineStr">
        <is>
          <t>hello@calebvanguard.com</t>
        </is>
      </c>
      <c r="T131" s="27" t="inlineStr">
        <is>
          <t>https://calebvanguard.com/work-with-me</t>
        </is>
      </c>
      <c r="U131" s="27" t="inlineStr">
        <is>
          <t>LinkedIn</t>
        </is>
      </c>
      <c r="V131" s="27" t="inlineStr">
        <is>
          <t>health &amp; longevity science frameworks, specifically regarding episode 28 on Health &amp; Longevity Science workflow optimization</t>
        </is>
      </c>
      <c r="W131" s="27" t="inlineStr">
        <is>
          <t>Hi Caleb,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31" s="27" t="inlineStr">
        <is>
          <t>2026-10-18</t>
        </is>
      </c>
      <c r="Y131" s="27" t="inlineStr">
        <is>
          <t>B</t>
        </is>
      </c>
      <c r="Z131" s="27" t="n">
        <v>89.8</v>
      </c>
      <c r="AA131" s="27" t="inlineStr">
        <is>
          <t>Qualified</t>
        </is>
      </c>
      <c r="AB131" s="27" t="inlineStr"/>
      <c r="AC131" s="28">
        <f>IF(A131="","",IF(COUNTIF($H$5:$H$1004,H131)&gt;1,"DUPLICATE","UNIQUE"))</f>
        <v/>
      </c>
      <c r="AD131" s="28">
        <f>IF(A131="","",IF(AA131="Rejected",IF(AB131&lt;&gt;"","REJECTED","ADD REASON"),IF(AND(B131&lt;&gt;"",C131&lt;&gt;"",D131&lt;&gt;"",E131&lt;&gt;"",F131&lt;&gt;"",G131&lt;&gt;"",H131&lt;&gt;"",J131&lt;&gt;"",K131&lt;&gt;"",N131&lt;&gt;"",O131&lt;&gt;"",P131&lt;&gt;"",Q131&lt;&gt;"",R131&lt;&gt;"",S131&lt;&gt;"",T131&lt;&gt;"",V131&lt;&gt;"",W131&lt;&gt;"",X131&lt;&gt;"",Y131&lt;&gt;""),"COMPLETE","MISSING FIELDS")))</f>
        <v/>
      </c>
    </row>
    <row r="132" ht="15" customHeight="1" s="15">
      <c r="A132" s="27" t="inlineStr">
        <is>
          <t>LEAD-0128</t>
        </is>
      </c>
      <c r="B132" s="27" t="inlineStr">
        <is>
          <t>Caleb Waverly</t>
        </is>
      </c>
      <c r="C132" s="27" t="inlineStr">
        <is>
          <t>YouTuber</t>
        </is>
      </c>
      <c r="D132" s="27" t="inlineStr">
        <is>
          <t>US</t>
        </is>
      </c>
      <c r="E132" s="27" t="inlineStr">
        <is>
          <t>English</t>
        </is>
      </c>
      <c r="F132" s="27" t="inlineStr">
        <is>
          <t>YouTube</t>
        </is>
      </c>
      <c r="G132" s="27" t="inlineStr">
        <is>
          <t>https://www.youtube.com/@calebwaverly</t>
        </is>
      </c>
      <c r="H132" s="27" t="inlineStr">
        <is>
          <t>UCUS00128587138</t>
        </is>
      </c>
      <c r="I132" s="27" t="inlineStr">
        <is>
          <t>480,000</t>
        </is>
      </c>
      <c r="J132" s="27" t="inlineStr">
        <is>
          <t>2026-10-10</t>
        </is>
      </c>
      <c r="K132" s="27" t="inlineStr">
        <is>
          <t>https://www.youtube.com/watch?v=us00128</t>
        </is>
      </c>
      <c r="L132" s="27" t="n">
        <v>16</v>
      </c>
      <c r="M132" s="27" t="n">
        <v>18</v>
      </c>
      <c r="N132" s="27" t="inlineStr">
        <is>
          <t>Membership</t>
        </is>
      </c>
      <c r="O132" s="27" t="inlineStr">
        <is>
          <t>https://calebwaverly.com/community</t>
        </is>
      </c>
      <c r="P132" s="27" t="inlineStr">
        <is>
          <t>Missing Video Captions &amp; Retention Clips</t>
        </is>
      </c>
      <c r="Q132" s="27" t="inlineStr">
        <is>
          <t>https://calebwaverly.com/highlights</t>
        </is>
      </c>
      <c r="R132" s="27" t="inlineStr">
        <is>
          <t>Email</t>
        </is>
      </c>
      <c r="S132" s="27" t="inlineStr">
        <is>
          <t>contact@calebwaverly.com</t>
        </is>
      </c>
      <c r="T132" s="27" t="inlineStr">
        <is>
          <t>https://calebwaverly.com/contact</t>
        </is>
      </c>
      <c r="U132" s="27" t="inlineStr">
        <is>
          <t>LinkedIn</t>
        </is>
      </c>
      <c r="V132" s="27" t="inlineStr">
        <is>
          <t>education &amp; applied coding frameworks, specifically regarding episode 29 on Education &amp; Applied Coding workflow optimization</t>
        </is>
      </c>
      <c r="W132" s="27" t="inlineStr">
        <is>
          <t>Hi Caleb,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32" s="27" t="inlineStr">
        <is>
          <t>2026-10-18</t>
        </is>
      </c>
      <c r="Y132" s="27" t="inlineStr">
        <is>
          <t>B</t>
        </is>
      </c>
      <c r="Z132" s="27" t="n">
        <v>89.8</v>
      </c>
      <c r="AA132" s="27" t="inlineStr">
        <is>
          <t>Qualified</t>
        </is>
      </c>
      <c r="AB132" s="27" t="inlineStr"/>
      <c r="AC132" s="28">
        <f>IF(A132="","",IF(COUNTIF($H$5:$H$1004,H132)&gt;1,"DUPLICATE","UNIQUE"))</f>
        <v/>
      </c>
      <c r="AD132" s="28">
        <f>IF(A132="","",IF(AA132="Rejected",IF(AB132&lt;&gt;"","REJECTED","ADD REASON"),IF(AND(B132&lt;&gt;"",C132&lt;&gt;"",D132&lt;&gt;"",E132&lt;&gt;"",F132&lt;&gt;"",G132&lt;&gt;"",H132&lt;&gt;"",J132&lt;&gt;"",K132&lt;&gt;"",N132&lt;&gt;"",O132&lt;&gt;"",P132&lt;&gt;"",Q132&lt;&gt;"",R132&lt;&gt;"",S132&lt;&gt;"",T132&lt;&gt;"",V132&lt;&gt;"",W132&lt;&gt;"",X132&lt;&gt;"",Y132&lt;&gt;""),"COMPLETE","MISSING FIELDS")))</f>
        <v/>
      </c>
    </row>
    <row r="133" ht="15" customHeight="1" s="15">
      <c r="A133" s="27" t="inlineStr">
        <is>
          <t>LEAD-0129</t>
        </is>
      </c>
      <c r="B133" s="27" t="inlineStr">
        <is>
          <t>Caleb Yardley</t>
        </is>
      </c>
      <c r="C133" s="27" t="inlineStr">
        <is>
          <t>Podcaster</t>
        </is>
      </c>
      <c r="D133" s="27" t="inlineStr">
        <is>
          <t>US</t>
        </is>
      </c>
      <c r="E133" s="27" t="inlineStr">
        <is>
          <t>English</t>
        </is>
      </c>
      <c r="F133" s="27" t="inlineStr">
        <is>
          <t>Apple Podcasts</t>
        </is>
      </c>
      <c r="G133" s="27" t="inlineStr">
        <is>
          <t>https://podcasts.apple.com/us/podcast/calebyardley/id1000129</t>
        </is>
      </c>
      <c r="H133" s="27" t="inlineStr">
        <is>
          <t>AP-US-1000129</t>
        </is>
      </c>
      <c r="I133" s="27" t="inlineStr">
        <is>
          <t>60,000</t>
        </is>
      </c>
      <c r="J133" s="27" t="inlineStr">
        <is>
          <t>2026-10-11</t>
        </is>
      </c>
      <c r="K133" s="27" t="inlineStr">
        <is>
          <t>https://calebyardley.com/episodes/130</t>
        </is>
      </c>
      <c r="L133" s="27" t="n">
        <v>17</v>
      </c>
      <c r="M133" s="27" t="n">
        <v>19</v>
      </c>
      <c r="N133" s="27" t="inlineStr">
        <is>
          <t>Product</t>
        </is>
      </c>
      <c r="O133" s="27" t="inlineStr">
        <is>
          <t>https://calebyardley.com/shop</t>
        </is>
      </c>
      <c r="P133" s="27" t="inlineStr">
        <is>
          <t>Shorts Repurposing Bottleneck</t>
        </is>
      </c>
      <c r="Q133" s="27" t="inlineStr">
        <is>
          <t>https://calebyardley.com/highlights</t>
        </is>
      </c>
      <c r="R133" s="27" t="inlineStr">
        <is>
          <t>LinkedIn</t>
        </is>
      </c>
      <c r="S133" s="27" t="inlineStr">
        <is>
          <t>https://linkedin.com/in/calebyardley</t>
        </is>
      </c>
      <c r="T133" s="27" t="inlineStr">
        <is>
          <t>https://calebyardley.com/about</t>
        </is>
      </c>
      <c r="U133" s="27" t="inlineStr">
        <is>
          <t>Email</t>
        </is>
      </c>
      <c r="V133" s="27" t="inlineStr">
        <is>
          <t>e-commerce &amp; digital brands frameworks, specifically regarding episode 30 on E-Commerce &amp; Digital Brands workflow optimization</t>
        </is>
      </c>
      <c r="W133" s="27" t="inlineStr">
        <is>
          <t>Hi Caleb,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33" s="27" t="inlineStr">
        <is>
          <t>2026-10-18</t>
        </is>
      </c>
      <c r="Y133" s="27" t="inlineStr">
        <is>
          <t>B</t>
        </is>
      </c>
      <c r="Z133" s="27" t="n">
        <v>89.7</v>
      </c>
      <c r="AA133" s="27" t="inlineStr">
        <is>
          <t>Qualified</t>
        </is>
      </c>
      <c r="AB133" s="27" t="inlineStr"/>
      <c r="AC133" s="28">
        <f>IF(A133="","",IF(COUNTIF($H$5:$H$1004,H133)&gt;1,"DUPLICATE","UNIQUE"))</f>
        <v/>
      </c>
      <c r="AD133" s="28">
        <f>IF(A133="","",IF(AA133="Rejected",IF(AB133&lt;&gt;"","REJECTED","ADD REASON"),IF(AND(B133&lt;&gt;"",C133&lt;&gt;"",D133&lt;&gt;"",E133&lt;&gt;"",F133&lt;&gt;"",G133&lt;&gt;"",H133&lt;&gt;"",J133&lt;&gt;"",K133&lt;&gt;"",N133&lt;&gt;"",O133&lt;&gt;"",P133&lt;&gt;"",Q133&lt;&gt;"",R133&lt;&gt;"",S133&lt;&gt;"",T133&lt;&gt;"",V133&lt;&gt;"",W133&lt;&gt;"",X133&lt;&gt;"",Y133&lt;&gt;""),"COMPLETE","MISSING FIELDS")))</f>
        <v/>
      </c>
    </row>
    <row r="134" ht="15" customHeight="1" s="15">
      <c r="A134" s="27" t="inlineStr">
        <is>
          <t>LEAD-0130</t>
        </is>
      </c>
      <c r="B134" s="27" t="inlineStr">
        <is>
          <t>Caleb Zimmerman</t>
        </is>
      </c>
      <c r="C134" s="27" t="inlineStr">
        <is>
          <t>YouTuber</t>
        </is>
      </c>
      <c r="D134" s="27" t="inlineStr">
        <is>
          <t>US</t>
        </is>
      </c>
      <c r="E134" s="27" t="inlineStr">
        <is>
          <t>English</t>
        </is>
      </c>
      <c r="F134" s="27" t="inlineStr">
        <is>
          <t>YouTube</t>
        </is>
      </c>
      <c r="G134" s="27" t="inlineStr">
        <is>
          <t>https://www.youtube.com/@calebzimmerman</t>
        </is>
      </c>
      <c r="H134" s="27" t="inlineStr">
        <is>
          <t>UCUS00130208521</t>
        </is>
      </c>
      <c r="I134" s="27" t="inlineStr">
        <is>
          <t>520,000</t>
        </is>
      </c>
      <c r="J134" s="27" t="inlineStr">
        <is>
          <t>2026-10-12</t>
        </is>
      </c>
      <c r="K134" s="27" t="inlineStr">
        <is>
          <t>https://www.youtube.com/watch?v=us00130</t>
        </is>
      </c>
      <c r="L134" s="27" t="n">
        <v>8</v>
      </c>
      <c r="M134" s="27" t="n">
        <v>20</v>
      </c>
      <c r="N134" s="27" t="inlineStr">
        <is>
          <t>Consulting</t>
        </is>
      </c>
      <c r="O134" s="27" t="inlineStr">
        <is>
          <t>https://calebzimmerman.com/advisory</t>
        </is>
      </c>
      <c r="P134" s="27" t="inlineStr">
        <is>
          <t>Shorts Repurposing Bottleneck</t>
        </is>
      </c>
      <c r="Q134" s="27" t="inlineStr">
        <is>
          <t>https://calebzimmerman.com/highlights</t>
        </is>
      </c>
      <c r="R134" s="27" t="inlineStr">
        <is>
          <t>X (Twitter)</t>
        </is>
      </c>
      <c r="S134" s="27" t="inlineStr">
        <is>
          <t>https://x.com/calebzimmerman</t>
        </is>
      </c>
      <c r="T134" s="27" t="inlineStr">
        <is>
          <t>https://calebzimmerman.com/links</t>
        </is>
      </c>
      <c r="U134" s="27" t="inlineStr">
        <is>
          <t>LinkedIn</t>
        </is>
      </c>
      <c r="V134" s="27" t="inlineStr">
        <is>
          <t>tech &amp; ai frameworks, specifically regarding episode 31 on Tech &amp; AI workflow optimization</t>
        </is>
      </c>
      <c r="W134" s="27" t="inlineStr">
        <is>
          <t>Hi Caleb,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34" s="27" t="inlineStr">
        <is>
          <t>2026-10-18</t>
        </is>
      </c>
      <c r="Y134" s="27" t="inlineStr">
        <is>
          <t>B</t>
        </is>
      </c>
      <c r="Z134" s="27" t="n">
        <v>89.59999999999999</v>
      </c>
      <c r="AA134" s="27" t="inlineStr">
        <is>
          <t>Qualified</t>
        </is>
      </c>
      <c r="AB134" s="27" t="inlineStr"/>
      <c r="AC134" s="28">
        <f>IF(A134="","",IF(COUNTIF($H$5:$H$1004,H134)&gt;1,"DUPLICATE","UNIQUE"))</f>
        <v/>
      </c>
      <c r="AD134" s="28">
        <f>IF(A134="","",IF(AA134="Rejected",IF(AB134&lt;&gt;"","REJECTED","ADD REASON"),IF(AND(B134&lt;&gt;"",C134&lt;&gt;"",D134&lt;&gt;"",E134&lt;&gt;"",F134&lt;&gt;"",G134&lt;&gt;"",H134&lt;&gt;"",J134&lt;&gt;"",K134&lt;&gt;"",N134&lt;&gt;"",O134&lt;&gt;"",P134&lt;&gt;"",Q134&lt;&gt;"",R134&lt;&gt;"",S134&lt;&gt;"",T134&lt;&gt;"",V134&lt;&gt;"",W134&lt;&gt;"",X134&lt;&gt;"",Y134&lt;&gt;""),"COMPLETE","MISSING FIELDS")))</f>
        <v/>
      </c>
    </row>
    <row r="135" ht="15" customHeight="1" s="15">
      <c r="A135" s="27" t="inlineStr">
        <is>
          <t>LEAD-0131</t>
        </is>
      </c>
      <c r="B135" s="27" t="inlineStr">
        <is>
          <t>Caleb Sterling</t>
        </is>
      </c>
      <c r="C135" s="27" t="inlineStr">
        <is>
          <t>Podcaster</t>
        </is>
      </c>
      <c r="D135" s="27" t="inlineStr">
        <is>
          <t>US</t>
        </is>
      </c>
      <c r="E135" s="27" t="inlineStr">
        <is>
          <t>English</t>
        </is>
      </c>
      <c r="F135" s="27" t="inlineStr">
        <is>
          <t>Apple Podcasts</t>
        </is>
      </c>
      <c r="G135" s="27" t="inlineStr">
        <is>
          <t>https://podcasts.apple.com/us/podcast/calebsterling/id1000131</t>
        </is>
      </c>
      <c r="H135" s="27" t="inlineStr">
        <is>
          <t>AP-US-1000131</t>
        </is>
      </c>
      <c r="I135" s="27" t="inlineStr">
        <is>
          <t>84,000</t>
        </is>
      </c>
      <c r="J135" s="27" t="inlineStr">
        <is>
          <t>2026-10-13</t>
        </is>
      </c>
      <c r="K135" s="27" t="inlineStr">
        <is>
          <t>https://calebsterling.com/episodes/132</t>
        </is>
      </c>
      <c r="L135" s="27" t="n">
        <v>9</v>
      </c>
      <c r="M135" s="27" t="n">
        <v>21</v>
      </c>
      <c r="N135" s="27" t="inlineStr">
        <is>
          <t>Newsletter Subscription</t>
        </is>
      </c>
      <c r="O135" s="27" t="inlineStr">
        <is>
          <t>https://calebsterling.com/subscribe</t>
        </is>
      </c>
      <c r="P135" s="27" t="inlineStr">
        <is>
          <t>Missing Video Captions &amp; Retention Clips</t>
        </is>
      </c>
      <c r="Q135" s="27" t="inlineStr">
        <is>
          <t>https://calebsterling.com/highlights</t>
        </is>
      </c>
      <c r="R135" s="27" t="inlineStr">
        <is>
          <t>Email</t>
        </is>
      </c>
      <c r="S135" s="27" t="inlineStr">
        <is>
          <t>hello@calebsterling.com</t>
        </is>
      </c>
      <c r="T135" s="27" t="inlineStr">
        <is>
          <t>https://calebsterling.com/work-with-me</t>
        </is>
      </c>
      <c r="U135" s="27" t="inlineStr">
        <is>
          <t>LinkedIn</t>
        </is>
      </c>
      <c r="V135" s="27" t="inlineStr">
        <is>
          <t>saas &amp; product growth frameworks, specifically regarding episode 32 on SaaS &amp; Product Growth workflow optimization</t>
        </is>
      </c>
      <c r="W135" s="27" t="inlineStr">
        <is>
          <t>Hi Caleb,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35" s="27" t="inlineStr">
        <is>
          <t>2026-10-18</t>
        </is>
      </c>
      <c r="Y135" s="27" t="inlineStr">
        <is>
          <t>B</t>
        </is>
      </c>
      <c r="Z135" s="27" t="n">
        <v>89.5</v>
      </c>
      <c r="AA135" s="27" t="inlineStr">
        <is>
          <t>Qualified</t>
        </is>
      </c>
      <c r="AB135" s="27" t="inlineStr"/>
      <c r="AC135" s="28">
        <f>IF(A135="","",IF(COUNTIF($H$5:$H$1004,H135)&gt;1,"DUPLICATE","UNIQUE"))</f>
        <v/>
      </c>
      <c r="AD135" s="28">
        <f>IF(A135="","",IF(AA135="Rejected",IF(AB135&lt;&gt;"","REJECTED","ADD REASON"),IF(AND(B135&lt;&gt;"",C135&lt;&gt;"",D135&lt;&gt;"",E135&lt;&gt;"",F135&lt;&gt;"",G135&lt;&gt;"",H135&lt;&gt;"",J135&lt;&gt;"",K135&lt;&gt;"",N135&lt;&gt;"",O135&lt;&gt;"",P135&lt;&gt;"",Q135&lt;&gt;"",R135&lt;&gt;"",S135&lt;&gt;"",T135&lt;&gt;"",V135&lt;&gt;"",W135&lt;&gt;"",X135&lt;&gt;"",Y135&lt;&gt;""),"COMPLETE","MISSING FIELDS")))</f>
        <v/>
      </c>
    </row>
    <row r="136" ht="15" customHeight="1" s="15">
      <c r="A136" s="27" t="inlineStr">
        <is>
          <t>LEAD-0132</t>
        </is>
      </c>
      <c r="B136" s="27" t="inlineStr">
        <is>
          <t>Caleb Cross</t>
        </is>
      </c>
      <c r="C136" s="27" t="inlineStr">
        <is>
          <t>Expert-Led Creator</t>
        </is>
      </c>
      <c r="D136" s="27" t="inlineStr">
        <is>
          <t>US</t>
        </is>
      </c>
      <c r="E136" s="27" t="inlineStr">
        <is>
          <t>English</t>
        </is>
      </c>
      <c r="F136" s="27" t="inlineStr">
        <is>
          <t>YouTube</t>
        </is>
      </c>
      <c r="G136" s="27" t="inlineStr">
        <is>
          <t>https://www.youtube.com/@calebcross</t>
        </is>
      </c>
      <c r="H136" s="27" t="inlineStr">
        <is>
          <t>UCUS00132363246</t>
        </is>
      </c>
      <c r="I136" s="27" t="inlineStr">
        <is>
          <t>560,000</t>
        </is>
      </c>
      <c r="J136" s="27" t="inlineStr">
        <is>
          <t>2026-10-14</t>
        </is>
      </c>
      <c r="K136" s="27" t="inlineStr">
        <is>
          <t>https://www.youtube.com/watch?v=us00132</t>
        </is>
      </c>
      <c r="L136" s="27" t="n">
        <v>10</v>
      </c>
      <c r="M136" s="27" t="n">
        <v>22</v>
      </c>
      <c r="N136" s="27" t="inlineStr">
        <is>
          <t>Affiliate</t>
        </is>
      </c>
      <c r="O136" s="27" t="inlineStr">
        <is>
          <t>https://calebcross.com/resources</t>
        </is>
      </c>
      <c r="P136" s="27" t="inlineStr">
        <is>
          <t>Editing Backlog &amp; Team Workflow Overhead</t>
        </is>
      </c>
      <c r="Q136" s="27" t="inlineStr">
        <is>
          <t>https://calebcross.com/highlights</t>
        </is>
      </c>
      <c r="R136" s="27" t="inlineStr">
        <is>
          <t>Email</t>
        </is>
      </c>
      <c r="S136" s="27" t="inlineStr">
        <is>
          <t>contact@calebcross.com</t>
        </is>
      </c>
      <c r="T136" s="27" t="inlineStr">
        <is>
          <t>https://calebcross.com/contact</t>
        </is>
      </c>
      <c r="U136" s="27" t="inlineStr">
        <is>
          <t>LinkedIn</t>
        </is>
      </c>
      <c r="V136" s="27" t="inlineStr">
        <is>
          <t>creator business &amp; monetization frameworks, specifically regarding episode 33 on Creator Business &amp; Monetization workflow optimization</t>
        </is>
      </c>
      <c r="W136" s="27" t="inlineStr">
        <is>
          <t>Hi Caleb,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36" s="27" t="inlineStr">
        <is>
          <t>2026-10-18</t>
        </is>
      </c>
      <c r="Y136" s="27" t="inlineStr">
        <is>
          <t>B</t>
        </is>
      </c>
      <c r="Z136" s="27" t="n">
        <v>89.40000000000001</v>
      </c>
      <c r="AA136" s="27" t="inlineStr">
        <is>
          <t>Qualified</t>
        </is>
      </c>
      <c r="AB136" s="27" t="inlineStr"/>
      <c r="AC136" s="28">
        <f>IF(A136="","",IF(COUNTIF($H$5:$H$1004,H136)&gt;1,"DUPLICATE","UNIQUE"))</f>
        <v/>
      </c>
      <c r="AD136" s="28">
        <f>IF(A136="","",IF(AA136="Rejected",IF(AB136&lt;&gt;"","REJECTED","ADD REASON"),IF(AND(B136&lt;&gt;"",C136&lt;&gt;"",D136&lt;&gt;"",E136&lt;&gt;"",F136&lt;&gt;"",G136&lt;&gt;"",H136&lt;&gt;"",J136&lt;&gt;"",K136&lt;&gt;"",N136&lt;&gt;"",O136&lt;&gt;"",P136&lt;&gt;"",Q136&lt;&gt;"",R136&lt;&gt;"",S136&lt;&gt;"",T136&lt;&gt;"",V136&lt;&gt;"",W136&lt;&gt;"",X136&lt;&gt;"",Y136&lt;&gt;""),"COMPLETE","MISSING FIELDS")))</f>
        <v/>
      </c>
    </row>
    <row r="137" ht="15" customHeight="1" s="15">
      <c r="A137" s="27" t="inlineStr">
        <is>
          <t>LEAD-0133</t>
        </is>
      </c>
      <c r="B137" s="27" t="inlineStr">
        <is>
          <t>Caleb Vance</t>
        </is>
      </c>
      <c r="C137" s="27" t="inlineStr">
        <is>
          <t>YouTuber</t>
        </is>
      </c>
      <c r="D137" s="27" t="inlineStr">
        <is>
          <t>US</t>
        </is>
      </c>
      <c r="E137" s="27" t="inlineStr">
        <is>
          <t>English</t>
        </is>
      </c>
      <c r="F137" s="27" t="inlineStr">
        <is>
          <t>YouTube</t>
        </is>
      </c>
      <c r="G137" s="27" t="inlineStr">
        <is>
          <t>https://www.youtube.com/@calebvance</t>
        </is>
      </c>
      <c r="H137" s="27" t="inlineStr">
        <is>
          <t>UCUS00133722952</t>
        </is>
      </c>
      <c r="I137" s="27" t="inlineStr">
        <is>
          <t>580,000</t>
        </is>
      </c>
      <c r="J137" s="27" t="inlineStr">
        <is>
          <t>2026-10-15</t>
        </is>
      </c>
      <c r="K137" s="27" t="inlineStr">
        <is>
          <t>https://www.youtube.com/watch?v=us00133</t>
        </is>
      </c>
      <c r="L137" s="27" t="n">
        <v>11</v>
      </c>
      <c r="M137" s="27" t="n">
        <v>23</v>
      </c>
      <c r="N137" s="27" t="inlineStr">
        <is>
          <t>Course</t>
        </is>
      </c>
      <c r="O137" s="27" t="inlineStr">
        <is>
          <t>https://calebvance.com/academy</t>
        </is>
      </c>
      <c r="P137" s="27" t="inlineStr">
        <is>
          <t>Shorts Repurposing Bottleneck</t>
        </is>
      </c>
      <c r="Q137" s="27" t="inlineStr">
        <is>
          <t>https://calebvance.com/highlights</t>
        </is>
      </c>
      <c r="R137" s="27" t="inlineStr">
        <is>
          <t>LinkedIn</t>
        </is>
      </c>
      <c r="S137" s="27" t="inlineStr">
        <is>
          <t>https://linkedin.com/in/calebvance</t>
        </is>
      </c>
      <c r="T137" s="27" t="inlineStr">
        <is>
          <t>https://calebvance.com/about</t>
        </is>
      </c>
      <c r="U137" s="27" t="inlineStr">
        <is>
          <t>Email</t>
        </is>
      </c>
      <c r="V137" s="27" t="inlineStr">
        <is>
          <t>productivity &amp; personal systems frameworks, specifically regarding episode 34 on Productivity &amp; Personal Systems workflow optimization</t>
        </is>
      </c>
      <c r="W137" s="27" t="inlineStr">
        <is>
          <t>Hi Caleb,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37" s="27" t="inlineStr">
        <is>
          <t>2026-10-18</t>
        </is>
      </c>
      <c r="Y137" s="27" t="inlineStr">
        <is>
          <t>B</t>
        </is>
      </c>
      <c r="Z137" s="27" t="n">
        <v>89.40000000000001</v>
      </c>
      <c r="AA137" s="27" t="inlineStr">
        <is>
          <t>Qualified</t>
        </is>
      </c>
      <c r="AB137" s="27" t="inlineStr"/>
      <c r="AC137" s="28">
        <f>IF(A137="","",IF(COUNTIF($H$5:$H$1004,H137)&gt;1,"DUPLICATE","UNIQUE"))</f>
        <v/>
      </c>
      <c r="AD137" s="28">
        <f>IF(A137="","",IF(AA137="Rejected",IF(AB137&lt;&gt;"","REJECTED","ADD REASON"),IF(AND(B137&lt;&gt;"",C137&lt;&gt;"",D137&lt;&gt;"",E137&lt;&gt;"",F137&lt;&gt;"",G137&lt;&gt;"",H137&lt;&gt;"",J137&lt;&gt;"",K137&lt;&gt;"",N137&lt;&gt;"",O137&lt;&gt;"",P137&lt;&gt;"",Q137&lt;&gt;"",R137&lt;&gt;"",S137&lt;&gt;"",T137&lt;&gt;"",V137&lt;&gt;"",W137&lt;&gt;"",X137&lt;&gt;"",Y137&lt;&gt;""),"COMPLETE","MISSING FIELDS")))</f>
        <v/>
      </c>
    </row>
    <row r="138" ht="15" customHeight="1" s="15">
      <c r="A138" s="27" t="inlineStr">
        <is>
          <t>LEAD-0134</t>
        </is>
      </c>
      <c r="B138" s="27" t="inlineStr">
        <is>
          <t>Caleb Mercer</t>
        </is>
      </c>
      <c r="C138" s="27" t="inlineStr">
        <is>
          <t>Podcaster</t>
        </is>
      </c>
      <c r="D138" s="27" t="inlineStr">
        <is>
          <t>US</t>
        </is>
      </c>
      <c r="E138" s="27" t="inlineStr">
        <is>
          <t>English</t>
        </is>
      </c>
      <c r="F138" s="27" t="inlineStr">
        <is>
          <t>Apple Podcasts</t>
        </is>
      </c>
      <c r="G138" s="27" t="inlineStr">
        <is>
          <t>https://podcasts.apple.com/us/podcast/calebmercer/id1000134</t>
        </is>
      </c>
      <c r="H138" s="27" t="inlineStr">
        <is>
          <t>AP-US-1000134</t>
        </is>
      </c>
      <c r="I138" s="27" t="inlineStr">
        <is>
          <t>120,000</t>
        </is>
      </c>
      <c r="J138" s="27" t="inlineStr">
        <is>
          <t>2026-10-16</t>
        </is>
      </c>
      <c r="K138" s="27" t="inlineStr">
        <is>
          <t>https://calebmercer.com/episodes/135</t>
        </is>
      </c>
      <c r="L138" s="27" t="n">
        <v>12</v>
      </c>
      <c r="M138" s="27" t="n">
        <v>24</v>
      </c>
      <c r="N138" s="27" t="inlineStr">
        <is>
          <t>Sponsor</t>
        </is>
      </c>
      <c r="O138" s="27" t="inlineStr">
        <is>
          <t>https://calebmercer.com/partners</t>
        </is>
      </c>
      <c r="P138" s="27" t="inlineStr">
        <is>
          <t>Inconsistent Cross-Platform Publishing</t>
        </is>
      </c>
      <c r="Q138" s="27" t="inlineStr">
        <is>
          <t>https://calebmercer.com/highlights</t>
        </is>
      </c>
      <c r="R138" s="27" t="inlineStr">
        <is>
          <t>X (Twitter)</t>
        </is>
      </c>
      <c r="S138" s="27" t="inlineStr">
        <is>
          <t>https://x.com/calebmercer</t>
        </is>
      </c>
      <c r="T138" s="27" t="inlineStr">
        <is>
          <t>https://calebmercer.com/links</t>
        </is>
      </c>
      <c r="U138" s="27" t="inlineStr">
        <is>
          <t>LinkedIn</t>
        </is>
      </c>
      <c r="V138" s="27" t="inlineStr">
        <is>
          <t>leadership &amp; team ops frameworks, specifically regarding episode 35 on Leadership &amp; Team Ops workflow optimization</t>
        </is>
      </c>
      <c r="W138" s="27" t="inlineStr">
        <is>
          <t>Hi Caleb,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38" s="27" t="inlineStr">
        <is>
          <t>2026-10-18</t>
        </is>
      </c>
      <c r="Y138" s="27" t="inlineStr">
        <is>
          <t>B</t>
        </is>
      </c>
      <c r="Z138" s="27" t="n">
        <v>89.3</v>
      </c>
      <c r="AA138" s="27" t="inlineStr">
        <is>
          <t>Qualified</t>
        </is>
      </c>
      <c r="AB138" s="27" t="inlineStr"/>
      <c r="AC138" s="28">
        <f>IF(A138="","",IF(COUNTIF($H$5:$H$1004,H138)&gt;1,"DUPLICATE","UNIQUE"))</f>
        <v/>
      </c>
      <c r="AD138" s="28">
        <f>IF(A138="","",IF(AA138="Rejected",IF(AB138&lt;&gt;"","REJECTED","ADD REASON"),IF(AND(B138&lt;&gt;"",C138&lt;&gt;"",D138&lt;&gt;"",E138&lt;&gt;"",F138&lt;&gt;"",G138&lt;&gt;"",H138&lt;&gt;"",J138&lt;&gt;"",K138&lt;&gt;"",N138&lt;&gt;"",O138&lt;&gt;"",P138&lt;&gt;"",Q138&lt;&gt;"",R138&lt;&gt;"",S138&lt;&gt;"",T138&lt;&gt;"",V138&lt;&gt;"",W138&lt;&gt;"",X138&lt;&gt;"",Y138&lt;&gt;""),"COMPLETE","MISSING FIELDS")))</f>
        <v/>
      </c>
    </row>
    <row r="139" ht="15" customHeight="1" s="15">
      <c r="A139" s="27" t="inlineStr">
        <is>
          <t>LEAD-0135</t>
        </is>
      </c>
      <c r="B139" s="27" t="inlineStr">
        <is>
          <t>Caleb Sinclair</t>
        </is>
      </c>
      <c r="C139" s="27" t="inlineStr">
        <is>
          <t>Expert-Led Creator</t>
        </is>
      </c>
      <c r="D139" s="27" t="inlineStr">
        <is>
          <t>US</t>
        </is>
      </c>
      <c r="E139" s="27" t="inlineStr">
        <is>
          <t>English</t>
        </is>
      </c>
      <c r="F139" s="27" t="inlineStr">
        <is>
          <t>LinkedIn</t>
        </is>
      </c>
      <c r="G139" s="27" t="inlineStr">
        <is>
          <t>https://www.linkedin.com/in/calebsinclair</t>
        </is>
      </c>
      <c r="H139" s="27" t="inlineStr">
        <is>
          <t>LI-calebsinclair-0135</t>
        </is>
      </c>
      <c r="I139" s="27" t="inlineStr">
        <is>
          <t>96,000</t>
        </is>
      </c>
      <c r="J139" s="27" t="inlineStr">
        <is>
          <t>2026-10-17</t>
        </is>
      </c>
      <c r="K139" s="27" t="inlineStr">
        <is>
          <t>https://calebsinclair.com/posts/136</t>
        </is>
      </c>
      <c r="L139" s="27" t="n">
        <v>13</v>
      </c>
      <c r="M139" s="27" t="n">
        <v>25</v>
      </c>
      <c r="N139" s="27" t="inlineStr">
        <is>
          <t>Membership</t>
        </is>
      </c>
      <c r="O139" s="27" t="inlineStr">
        <is>
          <t>https://calebsinclair.com/community</t>
        </is>
      </c>
      <c r="P139" s="27" t="inlineStr">
        <is>
          <t>Editing Backlog &amp; Team Workflow Overhead</t>
        </is>
      </c>
      <c r="Q139" s="27" t="inlineStr">
        <is>
          <t>https://calebsinclair.com/highlights</t>
        </is>
      </c>
      <c r="R139" s="27" t="inlineStr">
        <is>
          <t>Email</t>
        </is>
      </c>
      <c r="S139" s="27" t="inlineStr">
        <is>
          <t>hello@calebsinclair.com</t>
        </is>
      </c>
      <c r="T139" s="27" t="inlineStr">
        <is>
          <t>https://calebsinclair.com/work-with-me</t>
        </is>
      </c>
      <c r="U139" s="27" t="inlineStr">
        <is>
          <t>LinkedIn</t>
        </is>
      </c>
      <c r="V139" s="27" t="inlineStr">
        <is>
          <t>b2b marketing &amp; sales frameworks, specifically regarding episode 36 on B2B Marketing &amp; Sales workflow optimization</t>
        </is>
      </c>
      <c r="W139" s="27" t="inlineStr">
        <is>
          <t>Hi Caleb,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39" s="27" t="inlineStr">
        <is>
          <t>2026-10-18</t>
        </is>
      </c>
      <c r="Y139" s="27" t="inlineStr">
        <is>
          <t>B</t>
        </is>
      </c>
      <c r="Z139" s="27" t="n">
        <v>89.2</v>
      </c>
      <c r="AA139" s="27" t="inlineStr">
        <is>
          <t>Qualified</t>
        </is>
      </c>
      <c r="AB139" s="27" t="inlineStr"/>
      <c r="AC139" s="28">
        <f>IF(A139="","",IF(COUNTIF($H$5:$H$1004,H139)&gt;1,"DUPLICATE","UNIQUE"))</f>
        <v/>
      </c>
      <c r="AD139" s="28">
        <f>IF(A139="","",IF(AA139="Rejected",IF(AB139&lt;&gt;"","REJECTED","ADD REASON"),IF(AND(B139&lt;&gt;"",C139&lt;&gt;"",D139&lt;&gt;"",E139&lt;&gt;"",F139&lt;&gt;"",G139&lt;&gt;"",H139&lt;&gt;"",J139&lt;&gt;"",K139&lt;&gt;"",N139&lt;&gt;"",O139&lt;&gt;"",P139&lt;&gt;"",Q139&lt;&gt;"",R139&lt;&gt;"",S139&lt;&gt;"",T139&lt;&gt;"",V139&lt;&gt;"",W139&lt;&gt;"",X139&lt;&gt;"",Y139&lt;&gt;""),"COMPLETE","MISSING FIELDS")))</f>
        <v/>
      </c>
    </row>
    <row r="140" ht="15" customHeight="1" s="15">
      <c r="A140" s="27" t="inlineStr">
        <is>
          <t>LEAD-0136</t>
        </is>
      </c>
      <c r="B140" s="27" t="inlineStr">
        <is>
          <t>Caleb Carrington</t>
        </is>
      </c>
      <c r="C140" s="27" t="inlineStr">
        <is>
          <t>YouTuber</t>
        </is>
      </c>
      <c r="D140" s="27" t="inlineStr">
        <is>
          <t>US</t>
        </is>
      </c>
      <c r="E140" s="27" t="inlineStr">
        <is>
          <t>English</t>
        </is>
      </c>
      <c r="F140" s="27" t="inlineStr">
        <is>
          <t>YouTube</t>
        </is>
      </c>
      <c r="G140" s="27" t="inlineStr">
        <is>
          <t>https://www.youtube.com/@calebcarrington</t>
        </is>
      </c>
      <c r="H140" s="27" t="inlineStr">
        <is>
          <t>UCUS00136358311</t>
        </is>
      </c>
      <c r="I140" s="27" t="inlineStr">
        <is>
          <t>640,000</t>
        </is>
      </c>
      <c r="J140" s="27" t="inlineStr">
        <is>
          <t>2026-10-10</t>
        </is>
      </c>
      <c r="K140" s="27" t="inlineStr">
        <is>
          <t>https://www.youtube.com/watch?v=us00136</t>
        </is>
      </c>
      <c r="L140" s="27" t="n">
        <v>14</v>
      </c>
      <c r="M140" s="27" t="n">
        <v>26</v>
      </c>
      <c r="N140" s="27" t="inlineStr">
        <is>
          <t>Product</t>
        </is>
      </c>
      <c r="O140" s="27" t="inlineStr">
        <is>
          <t>https://calebcarrington.com/shop</t>
        </is>
      </c>
      <c r="P140" s="27" t="inlineStr">
        <is>
          <t>Multilingual Audio Dubbing</t>
        </is>
      </c>
      <c r="Q140" s="27" t="inlineStr">
        <is>
          <t>https://calebcarrington.com/highlights</t>
        </is>
      </c>
      <c r="R140" s="27" t="inlineStr">
        <is>
          <t>Email</t>
        </is>
      </c>
      <c r="S140" s="27" t="inlineStr">
        <is>
          <t>contact@calebcarrington.com</t>
        </is>
      </c>
      <c r="T140" s="27" t="inlineStr">
        <is>
          <t>https://calebcarrington.com/contact</t>
        </is>
      </c>
      <c r="U140" s="27" t="inlineStr">
        <is>
          <t>LinkedIn</t>
        </is>
      </c>
      <c r="V140" s="27" t="inlineStr">
        <is>
          <t>finance &amp; wealth engineering frameworks, specifically regarding episode 37 on Finance &amp; Wealth Engineering workflow optimization</t>
        </is>
      </c>
      <c r="W140" s="27" t="inlineStr">
        <is>
          <t>Hi Caleb,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40" s="27" t="inlineStr">
        <is>
          <t>2026-10-18</t>
        </is>
      </c>
      <c r="Y140" s="27" t="inlineStr">
        <is>
          <t>B</t>
        </is>
      </c>
      <c r="Z140" s="27" t="n">
        <v>89.09999999999999</v>
      </c>
      <c r="AA140" s="27" t="inlineStr">
        <is>
          <t>Qualified</t>
        </is>
      </c>
      <c r="AB140" s="27" t="inlineStr"/>
      <c r="AC140" s="28">
        <f>IF(A140="","",IF(COUNTIF($H$5:$H$1004,H140)&gt;1,"DUPLICATE","UNIQUE"))</f>
        <v/>
      </c>
      <c r="AD140" s="28">
        <f>IF(A140="","",IF(AA140="Rejected",IF(AB140&lt;&gt;"","REJECTED","ADD REASON"),IF(AND(B140&lt;&gt;"",C140&lt;&gt;"",D140&lt;&gt;"",E140&lt;&gt;"",F140&lt;&gt;"",G140&lt;&gt;"",H140&lt;&gt;"",J140&lt;&gt;"",K140&lt;&gt;"",N140&lt;&gt;"",O140&lt;&gt;"",P140&lt;&gt;"",Q140&lt;&gt;"",R140&lt;&gt;"",S140&lt;&gt;"",T140&lt;&gt;"",V140&lt;&gt;"",W140&lt;&gt;"",X140&lt;&gt;"",Y140&lt;&gt;""),"COMPLETE","MISSING FIELDS")))</f>
        <v/>
      </c>
    </row>
    <row r="141" ht="15" customHeight="1" s="15">
      <c r="A141" s="27" t="inlineStr">
        <is>
          <t>LEAD-0137</t>
        </is>
      </c>
      <c r="B141" s="27" t="inlineStr">
        <is>
          <t>Caleb Prescott</t>
        </is>
      </c>
      <c r="C141" s="27" t="inlineStr">
        <is>
          <t>Podcaster</t>
        </is>
      </c>
      <c r="D141" s="27" t="inlineStr">
        <is>
          <t>US</t>
        </is>
      </c>
      <c r="E141" s="27" t="inlineStr">
        <is>
          <t>English</t>
        </is>
      </c>
      <c r="F141" s="27" t="inlineStr">
        <is>
          <t>Apple Podcasts</t>
        </is>
      </c>
      <c r="G141" s="27" t="inlineStr">
        <is>
          <t>https://podcasts.apple.com/us/podcast/calebprescott/id1000137</t>
        </is>
      </c>
      <c r="H141" s="27" t="inlineStr">
        <is>
          <t>AP-US-1000137</t>
        </is>
      </c>
      <c r="I141" s="27" t="inlineStr">
        <is>
          <t>156,000</t>
        </is>
      </c>
      <c r="J141" s="27" t="inlineStr">
        <is>
          <t>2026-10-11</t>
        </is>
      </c>
      <c r="K141" s="27" t="inlineStr">
        <is>
          <t>https://calebprescott.com/episodes/138</t>
        </is>
      </c>
      <c r="L141" s="27" t="n">
        <v>15</v>
      </c>
      <c r="M141" s="27" t="n">
        <v>27</v>
      </c>
      <c r="N141" s="27" t="inlineStr">
        <is>
          <t>Consulting</t>
        </is>
      </c>
      <c r="O141" s="27" t="inlineStr">
        <is>
          <t>https://calebprescott.com/advisory</t>
        </is>
      </c>
      <c r="P141" s="27" t="inlineStr">
        <is>
          <t>Multilingual Audio Dubbing</t>
        </is>
      </c>
      <c r="Q141" s="27" t="inlineStr">
        <is>
          <t>https://calebprescott.com/highlights</t>
        </is>
      </c>
      <c r="R141" s="27" t="inlineStr">
        <is>
          <t>LinkedIn</t>
        </is>
      </c>
      <c r="S141" s="27" t="inlineStr">
        <is>
          <t>https://linkedin.com/in/calebprescott</t>
        </is>
      </c>
      <c r="T141" s="27" t="inlineStr">
        <is>
          <t>https://calebprescott.com/about</t>
        </is>
      </c>
      <c r="U141" s="27" t="inlineStr">
        <is>
          <t>Email</t>
        </is>
      </c>
      <c r="V141" s="27" t="inlineStr">
        <is>
          <t>health &amp; longevity science frameworks, specifically regarding episode 38 on Health &amp; Longevity Science workflow optimization</t>
        </is>
      </c>
      <c r="W141" s="27" t="inlineStr">
        <is>
          <t>Hi Caleb,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41" s="27" t="inlineStr">
        <is>
          <t>2026-10-18</t>
        </is>
      </c>
      <c r="Y141" s="27" t="inlineStr">
        <is>
          <t>B</t>
        </is>
      </c>
      <c r="Z141" s="27" t="n">
        <v>89</v>
      </c>
      <c r="AA141" s="27" t="inlineStr">
        <is>
          <t>Qualified</t>
        </is>
      </c>
      <c r="AB141" s="27" t="inlineStr"/>
      <c r="AC141" s="28">
        <f>IF(A141="","",IF(COUNTIF($H$5:$H$1004,H141)&gt;1,"DUPLICATE","UNIQUE"))</f>
        <v/>
      </c>
      <c r="AD141" s="28">
        <f>IF(A141="","",IF(AA141="Rejected",IF(AB141&lt;&gt;"","REJECTED","ADD REASON"),IF(AND(B141&lt;&gt;"",C141&lt;&gt;"",D141&lt;&gt;"",E141&lt;&gt;"",F141&lt;&gt;"",G141&lt;&gt;"",H141&lt;&gt;"",J141&lt;&gt;"",K141&lt;&gt;"",N141&lt;&gt;"",O141&lt;&gt;"",P141&lt;&gt;"",Q141&lt;&gt;"",R141&lt;&gt;"",S141&lt;&gt;"",T141&lt;&gt;"",V141&lt;&gt;"",W141&lt;&gt;"",X141&lt;&gt;"",Y141&lt;&gt;""),"COMPLETE","MISSING FIELDS")))</f>
        <v/>
      </c>
    </row>
    <row r="142" ht="15" customHeight="1" s="15">
      <c r="A142" s="27" t="inlineStr">
        <is>
          <t>LEAD-0138</t>
        </is>
      </c>
      <c r="B142" s="27" t="inlineStr">
        <is>
          <t>Caleb Winslow</t>
        </is>
      </c>
      <c r="C142" s="27" t="inlineStr">
        <is>
          <t>YouTuber</t>
        </is>
      </c>
      <c r="D142" s="27" t="inlineStr">
        <is>
          <t>US</t>
        </is>
      </c>
      <c r="E142" s="27" t="inlineStr">
        <is>
          <t>English</t>
        </is>
      </c>
      <c r="F142" s="27" t="inlineStr">
        <is>
          <t>YouTube</t>
        </is>
      </c>
      <c r="G142" s="27" t="inlineStr">
        <is>
          <t>https://www.youtube.com/@calebwinslow</t>
        </is>
      </c>
      <c r="H142" s="27" t="inlineStr">
        <is>
          <t>UCUS00138977319</t>
        </is>
      </c>
      <c r="I142" s="27" t="inlineStr">
        <is>
          <t>680,000</t>
        </is>
      </c>
      <c r="J142" s="27" t="inlineStr">
        <is>
          <t>2026-10-12</t>
        </is>
      </c>
      <c r="K142" s="27" t="inlineStr">
        <is>
          <t>https://www.youtube.com/watch?v=us00138</t>
        </is>
      </c>
      <c r="L142" s="27" t="n">
        <v>16</v>
      </c>
      <c r="M142" s="27" t="n">
        <v>28</v>
      </c>
      <c r="N142" s="27" t="inlineStr">
        <is>
          <t>Newsletter Subscription</t>
        </is>
      </c>
      <c r="O142" s="27" t="inlineStr">
        <is>
          <t>https://calebwinslow.com/subscribe</t>
        </is>
      </c>
      <c r="P142" s="27" t="inlineStr">
        <is>
          <t>Missing Video Captions &amp; Retention Clips</t>
        </is>
      </c>
      <c r="Q142" s="27" t="inlineStr">
        <is>
          <t>https://calebwinslow.com/highlights</t>
        </is>
      </c>
      <c r="R142" s="27" t="inlineStr">
        <is>
          <t>X (Twitter)</t>
        </is>
      </c>
      <c r="S142" s="27" t="inlineStr">
        <is>
          <t>https://x.com/calebwinslow</t>
        </is>
      </c>
      <c r="T142" s="27" t="inlineStr">
        <is>
          <t>https://calebwinslow.com/links</t>
        </is>
      </c>
      <c r="U142" s="27" t="inlineStr">
        <is>
          <t>LinkedIn</t>
        </is>
      </c>
      <c r="V142" s="27" t="inlineStr">
        <is>
          <t>education &amp; applied coding frameworks, specifically regarding episode 39 on Education &amp; Applied Coding workflow optimization</t>
        </is>
      </c>
      <c r="W142" s="27" t="inlineStr">
        <is>
          <t>Hi Caleb,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42" s="27" t="inlineStr">
        <is>
          <t>2026-10-18</t>
        </is>
      </c>
      <c r="Y142" s="27" t="inlineStr">
        <is>
          <t>B</t>
        </is>
      </c>
      <c r="Z142" s="27" t="n">
        <v>89</v>
      </c>
      <c r="AA142" s="27" t="inlineStr">
        <is>
          <t>Qualified</t>
        </is>
      </c>
      <c r="AB142" s="27" t="inlineStr"/>
      <c r="AC142" s="28">
        <f>IF(A142="","",IF(COUNTIF($H$5:$H$1004,H142)&gt;1,"DUPLICATE","UNIQUE"))</f>
        <v/>
      </c>
      <c r="AD142" s="28">
        <f>IF(A142="","",IF(AA142="Rejected",IF(AB142&lt;&gt;"","REJECTED","ADD REASON"),IF(AND(B142&lt;&gt;"",C142&lt;&gt;"",D142&lt;&gt;"",E142&lt;&gt;"",F142&lt;&gt;"",G142&lt;&gt;"",H142&lt;&gt;"",J142&lt;&gt;"",K142&lt;&gt;"",N142&lt;&gt;"",O142&lt;&gt;"",P142&lt;&gt;"",Q142&lt;&gt;"",R142&lt;&gt;"",S142&lt;&gt;"",T142&lt;&gt;"",V142&lt;&gt;"",W142&lt;&gt;"",X142&lt;&gt;"",Y142&lt;&gt;""),"COMPLETE","MISSING FIELDS")))</f>
        <v/>
      </c>
    </row>
    <row r="143" ht="15" customHeight="1" s="15">
      <c r="A143" s="27" t="inlineStr">
        <is>
          <t>LEAD-0139</t>
        </is>
      </c>
      <c r="B143" s="27" t="inlineStr">
        <is>
          <t>Caleb Bradford</t>
        </is>
      </c>
      <c r="C143" s="27" t="inlineStr">
        <is>
          <t>Podcaster</t>
        </is>
      </c>
      <c r="D143" s="27" t="inlineStr">
        <is>
          <t>US</t>
        </is>
      </c>
      <c r="E143" s="27" t="inlineStr">
        <is>
          <t>English</t>
        </is>
      </c>
      <c r="F143" s="27" t="inlineStr">
        <is>
          <t>Apple Podcasts</t>
        </is>
      </c>
      <c r="G143" s="27" t="inlineStr">
        <is>
          <t>https://podcasts.apple.com/us/podcast/calebbradford/id1000139</t>
        </is>
      </c>
      <c r="H143" s="27" t="inlineStr">
        <is>
          <t>AP-US-1000139</t>
        </is>
      </c>
      <c r="I143" s="27" t="inlineStr">
        <is>
          <t>180,000</t>
        </is>
      </c>
      <c r="J143" s="27" t="inlineStr">
        <is>
          <t>2026-10-13</t>
        </is>
      </c>
      <c r="K143" s="27" t="inlineStr">
        <is>
          <t>https://calebbradford.com/episodes/140</t>
        </is>
      </c>
      <c r="L143" s="27" t="n">
        <v>17</v>
      </c>
      <c r="M143" s="27" t="n">
        <v>29</v>
      </c>
      <c r="N143" s="27" t="inlineStr">
        <is>
          <t>Affiliate</t>
        </is>
      </c>
      <c r="O143" s="27" t="inlineStr">
        <is>
          <t>https://calebbradford.com/resources</t>
        </is>
      </c>
      <c r="P143" s="27" t="inlineStr">
        <is>
          <t>Shorts Repurposing Bottleneck</t>
        </is>
      </c>
      <c r="Q143" s="27" t="inlineStr">
        <is>
          <t>https://calebbradford.com/highlights</t>
        </is>
      </c>
      <c r="R143" s="27" t="inlineStr">
        <is>
          <t>Email</t>
        </is>
      </c>
      <c r="S143" s="27" t="inlineStr">
        <is>
          <t>hello@calebbradford.com</t>
        </is>
      </c>
      <c r="T143" s="27" t="inlineStr">
        <is>
          <t>https://calebbradford.com/work-with-me</t>
        </is>
      </c>
      <c r="U143" s="27" t="inlineStr">
        <is>
          <t>LinkedIn</t>
        </is>
      </c>
      <c r="V143" s="27" t="inlineStr">
        <is>
          <t>e-commerce &amp; digital brands frameworks, specifically regarding episode 40 on E-Commerce &amp; Digital Brands workflow optimization</t>
        </is>
      </c>
      <c r="W143" s="27" t="inlineStr">
        <is>
          <t>Hi Caleb,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43" s="27" t="inlineStr">
        <is>
          <t>2026-10-18</t>
        </is>
      </c>
      <c r="Y143" s="27" t="inlineStr">
        <is>
          <t>B</t>
        </is>
      </c>
      <c r="Z143" s="27" t="n">
        <v>88.90000000000001</v>
      </c>
      <c r="AA143" s="27" t="inlineStr">
        <is>
          <t>Qualified</t>
        </is>
      </c>
      <c r="AB143" s="27" t="inlineStr"/>
      <c r="AC143" s="28">
        <f>IF(A143="","",IF(COUNTIF($H$5:$H$1004,H143)&gt;1,"DUPLICATE","UNIQUE"))</f>
        <v/>
      </c>
      <c r="AD143" s="28">
        <f>IF(A143="","",IF(AA143="Rejected",IF(AB143&lt;&gt;"","REJECTED","ADD REASON"),IF(AND(B143&lt;&gt;"",C143&lt;&gt;"",D143&lt;&gt;"",E143&lt;&gt;"",F143&lt;&gt;"",G143&lt;&gt;"",H143&lt;&gt;"",J143&lt;&gt;"",K143&lt;&gt;"",N143&lt;&gt;"",O143&lt;&gt;"",P143&lt;&gt;"",Q143&lt;&gt;"",R143&lt;&gt;"",S143&lt;&gt;"",T143&lt;&gt;"",V143&lt;&gt;"",W143&lt;&gt;"",X143&lt;&gt;"",Y143&lt;&gt;""),"COMPLETE","MISSING FIELDS")))</f>
        <v/>
      </c>
    </row>
    <row r="144" ht="15" customHeight="1" s="15">
      <c r="A144" s="27" t="inlineStr">
        <is>
          <t>LEAD-0140</t>
        </is>
      </c>
      <c r="B144" s="27" t="inlineStr">
        <is>
          <t>Caleb Kensington</t>
        </is>
      </c>
      <c r="C144" s="27" t="inlineStr">
        <is>
          <t>YouTuber</t>
        </is>
      </c>
      <c r="D144" s="27" t="inlineStr">
        <is>
          <t>US</t>
        </is>
      </c>
      <c r="E144" s="27" t="inlineStr">
        <is>
          <t>English</t>
        </is>
      </c>
      <c r="F144" s="27" t="inlineStr">
        <is>
          <t>YouTube</t>
        </is>
      </c>
      <c r="G144" s="27" t="inlineStr">
        <is>
          <t>https://www.youtube.com/@calebkensington</t>
        </is>
      </c>
      <c r="H144" s="27" t="inlineStr">
        <is>
          <t>UCUS00140456998</t>
        </is>
      </c>
      <c r="I144" s="27" t="inlineStr">
        <is>
          <t>20,000</t>
        </is>
      </c>
      <c r="J144" s="27" t="inlineStr">
        <is>
          <t>2026-10-14</t>
        </is>
      </c>
      <c r="K144" s="27" t="inlineStr">
        <is>
          <t>https://www.youtube.com/watch?v=us00140</t>
        </is>
      </c>
      <c r="L144" s="27" t="n">
        <v>8</v>
      </c>
      <c r="M144" s="27" t="n">
        <v>30</v>
      </c>
      <c r="N144" s="27" t="inlineStr">
        <is>
          <t>Course</t>
        </is>
      </c>
      <c r="O144" s="27" t="inlineStr">
        <is>
          <t>https://calebkensington.com/academy</t>
        </is>
      </c>
      <c r="P144" s="27" t="inlineStr">
        <is>
          <t>Shorts Repurposing Bottleneck</t>
        </is>
      </c>
      <c r="Q144" s="27" t="inlineStr">
        <is>
          <t>https://calebkensington.com/highlights</t>
        </is>
      </c>
      <c r="R144" s="27" t="inlineStr">
        <is>
          <t>Email</t>
        </is>
      </c>
      <c r="S144" s="27" t="inlineStr">
        <is>
          <t>contact@calebkensington.com</t>
        </is>
      </c>
      <c r="T144" s="27" t="inlineStr">
        <is>
          <t>https://calebkensington.com/contact</t>
        </is>
      </c>
      <c r="U144" s="27" t="inlineStr">
        <is>
          <t>LinkedIn</t>
        </is>
      </c>
      <c r="V144" s="27" t="inlineStr">
        <is>
          <t>tech &amp; ai frameworks, specifically regarding episode 41 on Tech &amp; AI workflow optimization</t>
        </is>
      </c>
      <c r="W144" s="27" t="inlineStr">
        <is>
          <t>Hi Caleb,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44" s="27" t="inlineStr">
        <is>
          <t>2026-10-18</t>
        </is>
      </c>
      <c r="Y144" s="27" t="inlineStr">
        <is>
          <t>B</t>
        </is>
      </c>
      <c r="Z144" s="27" t="n">
        <v>88.8</v>
      </c>
      <c r="AA144" s="27" t="inlineStr">
        <is>
          <t>Qualified</t>
        </is>
      </c>
      <c r="AB144" s="27" t="inlineStr"/>
      <c r="AC144" s="28">
        <f>IF(A144="","",IF(COUNTIF($H$5:$H$1004,H144)&gt;1,"DUPLICATE","UNIQUE"))</f>
        <v/>
      </c>
      <c r="AD144" s="28">
        <f>IF(A144="","",IF(AA144="Rejected",IF(AB144&lt;&gt;"","REJECTED","ADD REASON"),IF(AND(B144&lt;&gt;"",C144&lt;&gt;"",D144&lt;&gt;"",E144&lt;&gt;"",F144&lt;&gt;"",G144&lt;&gt;"",H144&lt;&gt;"",J144&lt;&gt;"",K144&lt;&gt;"",N144&lt;&gt;"",O144&lt;&gt;"",P144&lt;&gt;"",Q144&lt;&gt;"",R144&lt;&gt;"",S144&lt;&gt;"",T144&lt;&gt;"",V144&lt;&gt;"",W144&lt;&gt;"",X144&lt;&gt;"",Y144&lt;&gt;""),"COMPLETE","MISSING FIELDS")))</f>
        <v/>
      </c>
    </row>
    <row r="145" ht="15" customHeight="1" s="15">
      <c r="A145" s="27" t="inlineStr">
        <is>
          <t>LEAD-0141</t>
        </is>
      </c>
      <c r="B145" s="27" t="inlineStr">
        <is>
          <t>Caleb Lancaster</t>
        </is>
      </c>
      <c r="C145" s="27" t="inlineStr">
        <is>
          <t>Podcaster</t>
        </is>
      </c>
      <c r="D145" s="27" t="inlineStr">
        <is>
          <t>US</t>
        </is>
      </c>
      <c r="E145" s="27" t="inlineStr">
        <is>
          <t>English</t>
        </is>
      </c>
      <c r="F145" s="27" t="inlineStr">
        <is>
          <t>Apple Podcasts</t>
        </is>
      </c>
      <c r="G145" s="27" t="inlineStr">
        <is>
          <t>https://podcasts.apple.com/us/podcast/caleblancaster/id1000141</t>
        </is>
      </c>
      <c r="H145" s="27" t="inlineStr">
        <is>
          <t>AP-US-1000141</t>
        </is>
      </c>
      <c r="I145" s="27" t="inlineStr">
        <is>
          <t>204,000</t>
        </is>
      </c>
      <c r="J145" s="27" t="inlineStr">
        <is>
          <t>2026-10-15</t>
        </is>
      </c>
      <c r="K145" s="27" t="inlineStr">
        <is>
          <t>https://caleblancaster.com/episodes/142</t>
        </is>
      </c>
      <c r="L145" s="27" t="n">
        <v>9</v>
      </c>
      <c r="M145" s="27" t="n">
        <v>31</v>
      </c>
      <c r="N145" s="27" t="inlineStr">
        <is>
          <t>Sponsor</t>
        </is>
      </c>
      <c r="O145" s="27" t="inlineStr">
        <is>
          <t>https://caleblancaster.com/partners</t>
        </is>
      </c>
      <c r="P145" s="27" t="inlineStr">
        <is>
          <t>Missing Video Captions &amp; Retention Clips</t>
        </is>
      </c>
      <c r="Q145" s="27" t="inlineStr">
        <is>
          <t>https://caleblancaster.com/highlights</t>
        </is>
      </c>
      <c r="R145" s="27" t="inlineStr">
        <is>
          <t>LinkedIn</t>
        </is>
      </c>
      <c r="S145" s="27" t="inlineStr">
        <is>
          <t>https://linkedin.com/in/caleblancaster</t>
        </is>
      </c>
      <c r="T145" s="27" t="inlineStr">
        <is>
          <t>https://caleblancaster.com/about</t>
        </is>
      </c>
      <c r="U145" s="27" t="inlineStr">
        <is>
          <t>Email</t>
        </is>
      </c>
      <c r="V145" s="27" t="inlineStr">
        <is>
          <t>saas &amp; product growth frameworks, specifically regarding episode 42 on SaaS &amp; Product Growth workflow optimization</t>
        </is>
      </c>
      <c r="W145" s="27" t="inlineStr">
        <is>
          <t>Hi Caleb,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45" s="27" t="inlineStr">
        <is>
          <t>2026-10-18</t>
        </is>
      </c>
      <c r="Y145" s="27" t="inlineStr">
        <is>
          <t>B</t>
        </is>
      </c>
      <c r="Z145" s="27" t="n">
        <v>88.7</v>
      </c>
      <c r="AA145" s="27" t="inlineStr">
        <is>
          <t>Qualified</t>
        </is>
      </c>
      <c r="AB145" s="27" t="inlineStr"/>
      <c r="AC145" s="28">
        <f>IF(A145="","",IF(COUNTIF($H$5:$H$1004,H145)&gt;1,"DUPLICATE","UNIQUE"))</f>
        <v/>
      </c>
      <c r="AD145" s="28">
        <f>IF(A145="","",IF(AA145="Rejected",IF(AB145&lt;&gt;"","REJECTED","ADD REASON"),IF(AND(B145&lt;&gt;"",C145&lt;&gt;"",D145&lt;&gt;"",E145&lt;&gt;"",F145&lt;&gt;"",G145&lt;&gt;"",H145&lt;&gt;"",J145&lt;&gt;"",K145&lt;&gt;"",N145&lt;&gt;"",O145&lt;&gt;"",P145&lt;&gt;"",Q145&lt;&gt;"",R145&lt;&gt;"",S145&lt;&gt;"",T145&lt;&gt;"",V145&lt;&gt;"",W145&lt;&gt;"",X145&lt;&gt;"",Y145&lt;&gt;""),"COMPLETE","MISSING FIELDS")))</f>
        <v/>
      </c>
    </row>
    <row r="146" ht="15" customHeight="1" s="15">
      <c r="A146" s="27" t="inlineStr">
        <is>
          <t>LEAD-0142</t>
        </is>
      </c>
      <c r="B146" s="27" t="inlineStr">
        <is>
          <t>Caleb Montgomery</t>
        </is>
      </c>
      <c r="C146" s="27" t="inlineStr">
        <is>
          <t>Expert-Led Creator</t>
        </is>
      </c>
      <c r="D146" s="27" t="inlineStr">
        <is>
          <t>US</t>
        </is>
      </c>
      <c r="E146" s="27" t="inlineStr">
        <is>
          <t>English</t>
        </is>
      </c>
      <c r="F146" s="27" t="inlineStr">
        <is>
          <t>YouTube</t>
        </is>
      </c>
      <c r="G146" s="27" t="inlineStr">
        <is>
          <t>https://www.youtube.com/@calebmontgomery</t>
        </is>
      </c>
      <c r="H146" s="27" t="inlineStr">
        <is>
          <t>UCUS00142616911</t>
        </is>
      </c>
      <c r="I146" s="27" t="inlineStr">
        <is>
          <t>60,000</t>
        </is>
      </c>
      <c r="J146" s="27" t="inlineStr">
        <is>
          <t>2026-10-16</t>
        </is>
      </c>
      <c r="K146" s="27" t="inlineStr">
        <is>
          <t>https://www.youtube.com/watch?v=us00142</t>
        </is>
      </c>
      <c r="L146" s="27" t="n">
        <v>10</v>
      </c>
      <c r="M146" s="27" t="n">
        <v>32</v>
      </c>
      <c r="N146" s="27" t="inlineStr">
        <is>
          <t>Membership</t>
        </is>
      </c>
      <c r="O146" s="27" t="inlineStr">
        <is>
          <t>https://calebmontgomery.com/community</t>
        </is>
      </c>
      <c r="P146" s="27" t="inlineStr">
        <is>
          <t>Editing Backlog &amp; Team Workflow Overhead</t>
        </is>
      </c>
      <c r="Q146" s="27" t="inlineStr">
        <is>
          <t>https://calebmontgomery.com/highlights</t>
        </is>
      </c>
      <c r="R146" s="27" t="inlineStr">
        <is>
          <t>X (Twitter)</t>
        </is>
      </c>
      <c r="S146" s="27" t="inlineStr">
        <is>
          <t>https://x.com/calebmontgomery</t>
        </is>
      </c>
      <c r="T146" s="27" t="inlineStr">
        <is>
          <t>https://calebmontgomery.com/links</t>
        </is>
      </c>
      <c r="U146" s="27" t="inlineStr">
        <is>
          <t>LinkedIn</t>
        </is>
      </c>
      <c r="V146" s="27" t="inlineStr">
        <is>
          <t>creator business &amp; monetization frameworks, specifically regarding episode 43 on Creator Business &amp; Monetization workflow optimization</t>
        </is>
      </c>
      <c r="W146" s="27" t="inlineStr">
        <is>
          <t>Hi Caleb,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46" s="27" t="inlineStr">
        <is>
          <t>2026-10-18</t>
        </is>
      </c>
      <c r="Y146" s="27" t="inlineStr">
        <is>
          <t>B</t>
        </is>
      </c>
      <c r="Z146" s="27" t="n">
        <v>88.59999999999999</v>
      </c>
      <c r="AA146" s="27" t="inlineStr">
        <is>
          <t>Qualified</t>
        </is>
      </c>
      <c r="AB146" s="27" t="inlineStr"/>
      <c r="AC146" s="28">
        <f>IF(A146="","",IF(COUNTIF($H$5:$H$1004,H146)&gt;1,"DUPLICATE","UNIQUE"))</f>
        <v/>
      </c>
      <c r="AD146" s="28">
        <f>IF(A146="","",IF(AA146="Rejected",IF(AB146&lt;&gt;"","REJECTED","ADD REASON"),IF(AND(B146&lt;&gt;"",C146&lt;&gt;"",D146&lt;&gt;"",E146&lt;&gt;"",F146&lt;&gt;"",G146&lt;&gt;"",H146&lt;&gt;"",J146&lt;&gt;"",K146&lt;&gt;"",N146&lt;&gt;"",O146&lt;&gt;"",P146&lt;&gt;"",Q146&lt;&gt;"",R146&lt;&gt;"",S146&lt;&gt;"",T146&lt;&gt;"",V146&lt;&gt;"",W146&lt;&gt;"",X146&lt;&gt;"",Y146&lt;&gt;""),"COMPLETE","MISSING FIELDS")))</f>
        <v/>
      </c>
    </row>
    <row r="147" ht="15" customHeight="1" s="15">
      <c r="A147" s="27" t="inlineStr">
        <is>
          <t>LEAD-0143</t>
        </is>
      </c>
      <c r="B147" s="27" t="inlineStr">
        <is>
          <t>Caleb Barrington</t>
        </is>
      </c>
      <c r="C147" s="27" t="inlineStr">
        <is>
          <t>YouTuber</t>
        </is>
      </c>
      <c r="D147" s="27" t="inlineStr">
        <is>
          <t>US</t>
        </is>
      </c>
      <c r="E147" s="27" t="inlineStr">
        <is>
          <t>English</t>
        </is>
      </c>
      <c r="F147" s="27" t="inlineStr">
        <is>
          <t>YouTube</t>
        </is>
      </c>
      <c r="G147" s="27" t="inlineStr">
        <is>
          <t>https://www.youtube.com/@calebbarrington</t>
        </is>
      </c>
      <c r="H147" s="27" t="inlineStr">
        <is>
          <t>UCUS00143142048</t>
        </is>
      </c>
      <c r="I147" s="27" t="inlineStr">
        <is>
          <t>80,000</t>
        </is>
      </c>
      <c r="J147" s="27" t="inlineStr">
        <is>
          <t>2026-10-17</t>
        </is>
      </c>
      <c r="K147" s="27" t="inlineStr">
        <is>
          <t>https://www.youtube.com/watch?v=us00143</t>
        </is>
      </c>
      <c r="L147" s="27" t="n">
        <v>11</v>
      </c>
      <c r="M147" s="27" t="n">
        <v>33</v>
      </c>
      <c r="N147" s="27" t="inlineStr">
        <is>
          <t>Product</t>
        </is>
      </c>
      <c r="O147" s="27" t="inlineStr">
        <is>
          <t>https://calebbarrington.com/shop</t>
        </is>
      </c>
      <c r="P147" s="27" t="inlineStr">
        <is>
          <t>Shorts Repurposing Bottleneck</t>
        </is>
      </c>
      <c r="Q147" s="27" t="inlineStr">
        <is>
          <t>https://calebbarrington.com/highlights</t>
        </is>
      </c>
      <c r="R147" s="27" t="inlineStr">
        <is>
          <t>Email</t>
        </is>
      </c>
      <c r="S147" s="27" t="inlineStr">
        <is>
          <t>hello@calebbarrington.com</t>
        </is>
      </c>
      <c r="T147" s="27" t="inlineStr">
        <is>
          <t>https://calebbarrington.com/work-with-me</t>
        </is>
      </c>
      <c r="U147" s="27" t="inlineStr">
        <is>
          <t>LinkedIn</t>
        </is>
      </c>
      <c r="V147" s="27" t="inlineStr">
        <is>
          <t>productivity &amp; personal systems frameworks, specifically regarding episode 44 on Productivity &amp; Personal Systems workflow optimization</t>
        </is>
      </c>
      <c r="W147" s="27" t="inlineStr">
        <is>
          <t>Hi Caleb,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47" s="27" t="inlineStr">
        <is>
          <t>2026-10-18</t>
        </is>
      </c>
      <c r="Y147" s="27" t="inlineStr">
        <is>
          <t>B</t>
        </is>
      </c>
      <c r="Z147" s="27" t="n">
        <v>88.59999999999999</v>
      </c>
      <c r="AA147" s="27" t="inlineStr">
        <is>
          <t>Qualified</t>
        </is>
      </c>
      <c r="AB147" s="27" t="inlineStr"/>
      <c r="AC147" s="28">
        <f>IF(A147="","",IF(COUNTIF($H$5:$H$1004,H147)&gt;1,"DUPLICATE","UNIQUE"))</f>
        <v/>
      </c>
      <c r="AD147" s="28">
        <f>IF(A147="","",IF(AA147="Rejected",IF(AB147&lt;&gt;"","REJECTED","ADD REASON"),IF(AND(B147&lt;&gt;"",C147&lt;&gt;"",D147&lt;&gt;"",E147&lt;&gt;"",F147&lt;&gt;"",G147&lt;&gt;"",H147&lt;&gt;"",J147&lt;&gt;"",K147&lt;&gt;"",N147&lt;&gt;"",O147&lt;&gt;"",P147&lt;&gt;"",Q147&lt;&gt;"",R147&lt;&gt;"",S147&lt;&gt;"",T147&lt;&gt;"",V147&lt;&gt;"",W147&lt;&gt;"",X147&lt;&gt;"",Y147&lt;&gt;""),"COMPLETE","MISSING FIELDS")))</f>
        <v/>
      </c>
    </row>
    <row r="148" ht="15" customHeight="1" s="15">
      <c r="A148" s="27" t="inlineStr">
        <is>
          <t>LEAD-0144</t>
        </is>
      </c>
      <c r="B148" s="27" t="inlineStr">
        <is>
          <t>Caleb Thornton</t>
        </is>
      </c>
      <c r="C148" s="27" t="inlineStr">
        <is>
          <t>Podcaster</t>
        </is>
      </c>
      <c r="D148" s="27" t="inlineStr">
        <is>
          <t>US</t>
        </is>
      </c>
      <c r="E148" s="27" t="inlineStr">
        <is>
          <t>English</t>
        </is>
      </c>
      <c r="F148" s="27" t="inlineStr">
        <is>
          <t>Apple Podcasts</t>
        </is>
      </c>
      <c r="G148" s="27" t="inlineStr">
        <is>
          <t>https://podcasts.apple.com/us/podcast/calebthornton/id1000144</t>
        </is>
      </c>
      <c r="H148" s="27" t="inlineStr">
        <is>
          <t>AP-US-1000144</t>
        </is>
      </c>
      <c r="I148" s="27" t="inlineStr">
        <is>
          <t>240,000</t>
        </is>
      </c>
      <c r="J148" s="27" t="inlineStr">
        <is>
          <t>2026-10-10</t>
        </is>
      </c>
      <c r="K148" s="27" t="inlineStr">
        <is>
          <t>https://calebthornton.com/episodes/145</t>
        </is>
      </c>
      <c r="L148" s="27" t="n">
        <v>12</v>
      </c>
      <c r="M148" s="27" t="n">
        <v>16</v>
      </c>
      <c r="N148" s="27" t="inlineStr">
        <is>
          <t>Consulting</t>
        </is>
      </c>
      <c r="O148" s="27" t="inlineStr">
        <is>
          <t>https://calebthornton.com/advisory</t>
        </is>
      </c>
      <c r="P148" s="27" t="inlineStr">
        <is>
          <t>Inconsistent Cross-Platform Publishing</t>
        </is>
      </c>
      <c r="Q148" s="27" t="inlineStr">
        <is>
          <t>https://calebthornton.com/highlights</t>
        </is>
      </c>
      <c r="R148" s="27" t="inlineStr">
        <is>
          <t>Email</t>
        </is>
      </c>
      <c r="S148" s="27" t="inlineStr">
        <is>
          <t>contact@calebthornton.com</t>
        </is>
      </c>
      <c r="T148" s="27" t="inlineStr">
        <is>
          <t>https://calebthornton.com/contact</t>
        </is>
      </c>
      <c r="U148" s="27" t="inlineStr">
        <is>
          <t>LinkedIn</t>
        </is>
      </c>
      <c r="V148" s="27" t="inlineStr">
        <is>
          <t>leadership &amp; team ops frameworks, specifically regarding episode 45 on Leadership &amp; Team Ops workflow optimization</t>
        </is>
      </c>
      <c r="W148" s="27" t="inlineStr">
        <is>
          <t>Hi Caleb,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48" s="27" t="inlineStr">
        <is>
          <t>2026-10-18</t>
        </is>
      </c>
      <c r="Y148" s="27" t="inlineStr">
        <is>
          <t>B</t>
        </is>
      </c>
      <c r="Z148" s="27" t="n">
        <v>88.5</v>
      </c>
      <c r="AA148" s="27" t="inlineStr">
        <is>
          <t>Qualified</t>
        </is>
      </c>
      <c r="AB148" s="27" t="inlineStr"/>
      <c r="AC148" s="28">
        <f>IF(A148="","",IF(COUNTIF($H$5:$H$1004,H148)&gt;1,"DUPLICATE","UNIQUE"))</f>
        <v/>
      </c>
      <c r="AD148" s="28">
        <f>IF(A148="","",IF(AA148="Rejected",IF(AB148&lt;&gt;"","REJECTED","ADD REASON"),IF(AND(B148&lt;&gt;"",C148&lt;&gt;"",D148&lt;&gt;"",E148&lt;&gt;"",F148&lt;&gt;"",G148&lt;&gt;"",H148&lt;&gt;"",J148&lt;&gt;"",K148&lt;&gt;"",N148&lt;&gt;"",O148&lt;&gt;"",P148&lt;&gt;"",Q148&lt;&gt;"",R148&lt;&gt;"",S148&lt;&gt;"",T148&lt;&gt;"",V148&lt;&gt;"",W148&lt;&gt;"",X148&lt;&gt;"",Y148&lt;&gt;""),"COMPLETE","MISSING FIELDS")))</f>
        <v/>
      </c>
    </row>
    <row r="149" ht="15" customHeight="1" s="15">
      <c r="A149" s="27" t="inlineStr">
        <is>
          <t>LEAD-0145</t>
        </is>
      </c>
      <c r="B149" s="27" t="inlineStr">
        <is>
          <t>Caleb Wellington</t>
        </is>
      </c>
      <c r="C149" s="27" t="inlineStr">
        <is>
          <t>Expert-Led Creator</t>
        </is>
      </c>
      <c r="D149" s="27" t="inlineStr">
        <is>
          <t>US</t>
        </is>
      </c>
      <c r="E149" s="27" t="inlineStr">
        <is>
          <t>English</t>
        </is>
      </c>
      <c r="F149" s="27" t="inlineStr">
        <is>
          <t>LinkedIn</t>
        </is>
      </c>
      <c r="G149" s="27" t="inlineStr">
        <is>
          <t>https://www.linkedin.com/in/calebwellington</t>
        </is>
      </c>
      <c r="H149" s="27" t="inlineStr">
        <is>
          <t>LI-calebwellington-0145</t>
        </is>
      </c>
      <c r="I149" s="27" t="inlineStr">
        <is>
          <t>156,000</t>
        </is>
      </c>
      <c r="J149" s="27" t="inlineStr">
        <is>
          <t>2026-10-11</t>
        </is>
      </c>
      <c r="K149" s="27" t="inlineStr">
        <is>
          <t>https://calebwellington.com/posts/146</t>
        </is>
      </c>
      <c r="L149" s="27" t="n">
        <v>13</v>
      </c>
      <c r="M149" s="27" t="n">
        <v>17</v>
      </c>
      <c r="N149" s="27" t="inlineStr">
        <is>
          <t>Newsletter Subscription</t>
        </is>
      </c>
      <c r="O149" s="27" t="inlineStr">
        <is>
          <t>https://calebwellington.com/subscribe</t>
        </is>
      </c>
      <c r="P149" s="27" t="inlineStr">
        <is>
          <t>Editing Backlog &amp; Team Workflow Overhead</t>
        </is>
      </c>
      <c r="Q149" s="27" t="inlineStr">
        <is>
          <t>https://calebwellington.com/highlights</t>
        </is>
      </c>
      <c r="R149" s="27" t="inlineStr">
        <is>
          <t>LinkedIn</t>
        </is>
      </c>
      <c r="S149" s="27" t="inlineStr">
        <is>
          <t>https://linkedin.com/in/calebwellington</t>
        </is>
      </c>
      <c r="T149" s="27" t="inlineStr">
        <is>
          <t>https://calebwellington.com/about</t>
        </is>
      </c>
      <c r="U149" s="27" t="inlineStr">
        <is>
          <t>Email</t>
        </is>
      </c>
      <c r="V149" s="27" t="inlineStr">
        <is>
          <t>b2b marketing &amp; sales frameworks, specifically regarding episode 46 on B2B Marketing &amp; Sales workflow optimization</t>
        </is>
      </c>
      <c r="W149" s="27" t="inlineStr">
        <is>
          <t>Hi Caleb,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49" s="27" t="inlineStr">
        <is>
          <t>2026-10-18</t>
        </is>
      </c>
      <c r="Y149" s="27" t="inlineStr">
        <is>
          <t>B</t>
        </is>
      </c>
      <c r="Z149" s="27" t="n">
        <v>88.40000000000001</v>
      </c>
      <c r="AA149" s="27" t="inlineStr">
        <is>
          <t>Qualified</t>
        </is>
      </c>
      <c r="AB149" s="27" t="inlineStr"/>
      <c r="AC149" s="28">
        <f>IF(A149="","",IF(COUNTIF($H$5:$H$1004,H149)&gt;1,"DUPLICATE","UNIQUE"))</f>
        <v/>
      </c>
      <c r="AD149" s="28">
        <f>IF(A149="","",IF(AA149="Rejected",IF(AB149&lt;&gt;"","REJECTED","ADD REASON"),IF(AND(B149&lt;&gt;"",C149&lt;&gt;"",D149&lt;&gt;"",E149&lt;&gt;"",F149&lt;&gt;"",G149&lt;&gt;"",H149&lt;&gt;"",J149&lt;&gt;"",K149&lt;&gt;"",N149&lt;&gt;"",O149&lt;&gt;"",P149&lt;&gt;"",Q149&lt;&gt;"",R149&lt;&gt;"",S149&lt;&gt;"",T149&lt;&gt;"",V149&lt;&gt;"",W149&lt;&gt;"",X149&lt;&gt;"",Y149&lt;&gt;""),"COMPLETE","MISSING FIELDS")))</f>
        <v/>
      </c>
    </row>
    <row r="150" ht="15" customHeight="1" s="15">
      <c r="A150" s="27" t="inlineStr">
        <is>
          <t>LEAD-0146</t>
        </is>
      </c>
      <c r="B150" s="27" t="inlineStr">
        <is>
          <t>Daniel Ashford</t>
        </is>
      </c>
      <c r="C150" s="27" t="inlineStr">
        <is>
          <t>YouTuber</t>
        </is>
      </c>
      <c r="D150" s="27" t="inlineStr">
        <is>
          <t>US</t>
        </is>
      </c>
      <c r="E150" s="27" t="inlineStr">
        <is>
          <t>English</t>
        </is>
      </c>
      <c r="F150" s="27" t="inlineStr">
        <is>
          <t>YouTube</t>
        </is>
      </c>
      <c r="G150" s="27" t="inlineStr">
        <is>
          <t>https://www.youtube.com/@danielashford</t>
        </is>
      </c>
      <c r="H150" s="27" t="inlineStr">
        <is>
          <t>UCUS00146644691</t>
        </is>
      </c>
      <c r="I150" s="27" t="inlineStr">
        <is>
          <t>140,000</t>
        </is>
      </c>
      <c r="J150" s="27" t="inlineStr">
        <is>
          <t>2026-10-12</t>
        </is>
      </c>
      <c r="K150" s="27" t="inlineStr">
        <is>
          <t>https://www.youtube.com/watch?v=us00146</t>
        </is>
      </c>
      <c r="L150" s="27" t="n">
        <v>14</v>
      </c>
      <c r="M150" s="27" t="n">
        <v>18</v>
      </c>
      <c r="N150" s="27" t="inlineStr">
        <is>
          <t>Affiliate</t>
        </is>
      </c>
      <c r="O150" s="27" t="inlineStr">
        <is>
          <t>https://danielashford.com/resources</t>
        </is>
      </c>
      <c r="P150" s="27" t="inlineStr">
        <is>
          <t>Multilingual Audio Dubbing</t>
        </is>
      </c>
      <c r="Q150" s="27" t="inlineStr">
        <is>
          <t>https://danielashford.com/highlights</t>
        </is>
      </c>
      <c r="R150" s="27" t="inlineStr">
        <is>
          <t>X (Twitter)</t>
        </is>
      </c>
      <c r="S150" s="27" t="inlineStr">
        <is>
          <t>https://x.com/danielashford</t>
        </is>
      </c>
      <c r="T150" s="27" t="inlineStr">
        <is>
          <t>https://danielashford.com/links</t>
        </is>
      </c>
      <c r="U150" s="27" t="inlineStr">
        <is>
          <t>LinkedIn</t>
        </is>
      </c>
      <c r="V150" s="27" t="inlineStr">
        <is>
          <t>finance &amp; wealth engineering frameworks, specifically regarding episode 47 on Finance &amp; Wealth Engineering workflow optimization</t>
        </is>
      </c>
      <c r="W150" s="27" t="inlineStr">
        <is>
          <t>Hi Daniel,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50" s="27" t="inlineStr">
        <is>
          <t>2026-10-18</t>
        </is>
      </c>
      <c r="Y150" s="27" t="inlineStr">
        <is>
          <t>B</t>
        </is>
      </c>
      <c r="Z150" s="27" t="n">
        <v>88.3</v>
      </c>
      <c r="AA150" s="27" t="inlineStr">
        <is>
          <t>Qualified</t>
        </is>
      </c>
      <c r="AB150" s="27" t="inlineStr"/>
      <c r="AC150" s="28">
        <f>IF(A150="","",IF(COUNTIF($H$5:$H$1004,H150)&gt;1,"DUPLICATE","UNIQUE"))</f>
        <v/>
      </c>
      <c r="AD150" s="28">
        <f>IF(A150="","",IF(AA150="Rejected",IF(AB150&lt;&gt;"","REJECTED","ADD REASON"),IF(AND(B150&lt;&gt;"",C150&lt;&gt;"",D150&lt;&gt;"",E150&lt;&gt;"",F150&lt;&gt;"",G150&lt;&gt;"",H150&lt;&gt;"",J150&lt;&gt;"",K150&lt;&gt;"",N150&lt;&gt;"",O150&lt;&gt;"",P150&lt;&gt;"",Q150&lt;&gt;"",R150&lt;&gt;"",S150&lt;&gt;"",T150&lt;&gt;"",V150&lt;&gt;"",W150&lt;&gt;"",X150&lt;&gt;"",Y150&lt;&gt;""),"COMPLETE","MISSING FIELDS")))</f>
        <v/>
      </c>
    </row>
    <row r="151" ht="15" customHeight="1" s="15">
      <c r="A151" s="27" t="inlineStr">
        <is>
          <t>LEAD-0147</t>
        </is>
      </c>
      <c r="B151" s="27" t="inlineStr">
        <is>
          <t>Daniel Bancroft</t>
        </is>
      </c>
      <c r="C151" s="27" t="inlineStr">
        <is>
          <t>Podcaster</t>
        </is>
      </c>
      <c r="D151" s="27" t="inlineStr">
        <is>
          <t>US</t>
        </is>
      </c>
      <c r="E151" s="27" t="inlineStr">
        <is>
          <t>English</t>
        </is>
      </c>
      <c r="F151" s="27" t="inlineStr">
        <is>
          <t>Apple Podcasts</t>
        </is>
      </c>
      <c r="G151" s="27" t="inlineStr">
        <is>
          <t>https://podcasts.apple.com/us/podcast/danielbancroft/id1000147</t>
        </is>
      </c>
      <c r="H151" s="27" t="inlineStr">
        <is>
          <t>AP-US-1000147</t>
        </is>
      </c>
      <c r="I151" s="27" t="inlineStr">
        <is>
          <t>276,000</t>
        </is>
      </c>
      <c r="J151" s="27" t="inlineStr">
        <is>
          <t>2026-10-13</t>
        </is>
      </c>
      <c r="K151" s="27" t="inlineStr">
        <is>
          <t>https://danielbancroft.com/episodes/148</t>
        </is>
      </c>
      <c r="L151" s="27" t="n">
        <v>15</v>
      </c>
      <c r="M151" s="27" t="n">
        <v>19</v>
      </c>
      <c r="N151" s="27" t="inlineStr">
        <is>
          <t>Course</t>
        </is>
      </c>
      <c r="O151" s="27" t="inlineStr">
        <is>
          <t>https://danielbancroft.com/academy</t>
        </is>
      </c>
      <c r="P151" s="27" t="inlineStr">
        <is>
          <t>Multilingual Audio Dubbing</t>
        </is>
      </c>
      <c r="Q151" s="27" t="inlineStr">
        <is>
          <t>https://danielbancroft.com/highlights</t>
        </is>
      </c>
      <c r="R151" s="27" t="inlineStr">
        <is>
          <t>Email</t>
        </is>
      </c>
      <c r="S151" s="27" t="inlineStr">
        <is>
          <t>hello@danielbancroft.com</t>
        </is>
      </c>
      <c r="T151" s="27" t="inlineStr">
        <is>
          <t>https://danielbancroft.com/work-with-me</t>
        </is>
      </c>
      <c r="U151" s="27" t="inlineStr">
        <is>
          <t>LinkedIn</t>
        </is>
      </c>
      <c r="V151" s="27" t="inlineStr">
        <is>
          <t>health &amp; longevity science frameworks, specifically regarding episode 48 on Health &amp; Longevity Science workflow optimization</t>
        </is>
      </c>
      <c r="W151" s="27" t="inlineStr">
        <is>
          <t>Hi Daniel,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51" s="27" t="inlineStr">
        <is>
          <t>2026-10-18</t>
        </is>
      </c>
      <c r="Y151" s="27" t="inlineStr">
        <is>
          <t>B</t>
        </is>
      </c>
      <c r="Z151" s="27" t="n">
        <v>88.2</v>
      </c>
      <c r="AA151" s="27" t="inlineStr">
        <is>
          <t>Qualified</t>
        </is>
      </c>
      <c r="AB151" s="27" t="inlineStr"/>
      <c r="AC151" s="28">
        <f>IF(A151="","",IF(COUNTIF($H$5:$H$1004,H151)&gt;1,"DUPLICATE","UNIQUE"))</f>
        <v/>
      </c>
      <c r="AD151" s="28">
        <f>IF(A151="","",IF(AA151="Rejected",IF(AB151&lt;&gt;"","REJECTED","ADD REASON"),IF(AND(B151&lt;&gt;"",C151&lt;&gt;"",D151&lt;&gt;"",E151&lt;&gt;"",F151&lt;&gt;"",G151&lt;&gt;"",H151&lt;&gt;"",J151&lt;&gt;"",K151&lt;&gt;"",N151&lt;&gt;"",O151&lt;&gt;"",P151&lt;&gt;"",Q151&lt;&gt;"",R151&lt;&gt;"",S151&lt;&gt;"",T151&lt;&gt;"",V151&lt;&gt;"",W151&lt;&gt;"",X151&lt;&gt;"",Y151&lt;&gt;""),"COMPLETE","MISSING FIELDS")))</f>
        <v/>
      </c>
    </row>
    <row r="152" ht="15" customHeight="1" s="15">
      <c r="A152" s="27" t="inlineStr">
        <is>
          <t>LEAD-0148</t>
        </is>
      </c>
      <c r="B152" s="27" t="inlineStr">
        <is>
          <t>Daniel Calloway</t>
        </is>
      </c>
      <c r="C152" s="27" t="inlineStr">
        <is>
          <t>YouTuber</t>
        </is>
      </c>
      <c r="D152" s="27" t="inlineStr">
        <is>
          <t>US</t>
        </is>
      </c>
      <c r="E152" s="27" t="inlineStr">
        <is>
          <t>English</t>
        </is>
      </c>
      <c r="F152" s="27" t="inlineStr">
        <is>
          <t>YouTube</t>
        </is>
      </c>
      <c r="G152" s="27" t="inlineStr">
        <is>
          <t>https://www.youtube.com/@danielcalloway</t>
        </is>
      </c>
      <c r="H152" s="27" t="inlineStr">
        <is>
          <t>UCUS00148901959</t>
        </is>
      </c>
      <c r="I152" s="27" t="inlineStr">
        <is>
          <t>180,000</t>
        </is>
      </c>
      <c r="J152" s="27" t="inlineStr">
        <is>
          <t>2026-10-14</t>
        </is>
      </c>
      <c r="K152" s="27" t="inlineStr">
        <is>
          <t>https://www.youtube.com/watch?v=us00148</t>
        </is>
      </c>
      <c r="L152" s="27" t="n">
        <v>16</v>
      </c>
      <c r="M152" s="27" t="n">
        <v>20</v>
      </c>
      <c r="N152" s="27" t="inlineStr">
        <is>
          <t>Sponsor</t>
        </is>
      </c>
      <c r="O152" s="27" t="inlineStr">
        <is>
          <t>https://danielcalloway.com/partners</t>
        </is>
      </c>
      <c r="P152" s="27" t="inlineStr">
        <is>
          <t>Missing Video Captions &amp; Retention Clips</t>
        </is>
      </c>
      <c r="Q152" s="27" t="inlineStr">
        <is>
          <t>https://danielcalloway.com/highlights</t>
        </is>
      </c>
      <c r="R152" s="27" t="inlineStr">
        <is>
          <t>Email</t>
        </is>
      </c>
      <c r="S152" s="27" t="inlineStr">
        <is>
          <t>contact@danielcalloway.com</t>
        </is>
      </c>
      <c r="T152" s="27" t="inlineStr">
        <is>
          <t>https://danielcalloway.com/contact</t>
        </is>
      </c>
      <c r="U152" s="27" t="inlineStr">
        <is>
          <t>LinkedIn</t>
        </is>
      </c>
      <c r="V152" s="27" t="inlineStr">
        <is>
          <t>education &amp; applied coding frameworks, specifically regarding episode 49 on Education &amp; Applied Coding workflow optimization</t>
        </is>
      </c>
      <c r="W152" s="27" t="inlineStr">
        <is>
          <t>Hi Daniel,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52" s="27" t="inlineStr">
        <is>
          <t>2026-10-18</t>
        </is>
      </c>
      <c r="Y152" s="27" t="inlineStr">
        <is>
          <t>B</t>
        </is>
      </c>
      <c r="Z152" s="27" t="n">
        <v>88.2</v>
      </c>
      <c r="AA152" s="27" t="inlineStr">
        <is>
          <t>Qualified</t>
        </is>
      </c>
      <c r="AB152" s="27" t="inlineStr"/>
      <c r="AC152" s="28">
        <f>IF(A152="","",IF(COUNTIF($H$5:$H$1004,H152)&gt;1,"DUPLICATE","UNIQUE"))</f>
        <v/>
      </c>
      <c r="AD152" s="28">
        <f>IF(A152="","",IF(AA152="Rejected",IF(AB152&lt;&gt;"","REJECTED","ADD REASON"),IF(AND(B152&lt;&gt;"",C152&lt;&gt;"",D152&lt;&gt;"",E152&lt;&gt;"",F152&lt;&gt;"",G152&lt;&gt;"",H152&lt;&gt;"",J152&lt;&gt;"",K152&lt;&gt;"",N152&lt;&gt;"",O152&lt;&gt;"",P152&lt;&gt;"",Q152&lt;&gt;"",R152&lt;&gt;"",S152&lt;&gt;"",T152&lt;&gt;"",V152&lt;&gt;"",W152&lt;&gt;"",X152&lt;&gt;"",Y152&lt;&gt;""),"COMPLETE","MISSING FIELDS")))</f>
        <v/>
      </c>
    </row>
    <row r="153" ht="15" customHeight="1" s="15">
      <c r="A153" s="27" t="inlineStr">
        <is>
          <t>LEAD-0149</t>
        </is>
      </c>
      <c r="B153" s="27" t="inlineStr">
        <is>
          <t>Daniel Delaney</t>
        </is>
      </c>
      <c r="C153" s="27" t="inlineStr">
        <is>
          <t>Podcaster</t>
        </is>
      </c>
      <c r="D153" s="27" t="inlineStr">
        <is>
          <t>US</t>
        </is>
      </c>
      <c r="E153" s="27" t="inlineStr">
        <is>
          <t>English</t>
        </is>
      </c>
      <c r="F153" s="27" t="inlineStr">
        <is>
          <t>Apple Podcasts</t>
        </is>
      </c>
      <c r="G153" s="27" t="inlineStr">
        <is>
          <t>https://podcasts.apple.com/us/podcast/danieldelaney/id1000149</t>
        </is>
      </c>
      <c r="H153" s="27" t="inlineStr">
        <is>
          <t>AP-US-1000149</t>
        </is>
      </c>
      <c r="I153" s="27" t="inlineStr">
        <is>
          <t>300,000</t>
        </is>
      </c>
      <c r="J153" s="27" t="inlineStr">
        <is>
          <t>2026-10-15</t>
        </is>
      </c>
      <c r="K153" s="27" t="inlineStr">
        <is>
          <t>https://danieldelaney.com/episodes/150</t>
        </is>
      </c>
      <c r="L153" s="27" t="n">
        <v>17</v>
      </c>
      <c r="M153" s="27" t="n">
        <v>21</v>
      </c>
      <c r="N153" s="27" t="inlineStr">
        <is>
          <t>Membership</t>
        </is>
      </c>
      <c r="O153" s="27" t="inlineStr">
        <is>
          <t>https://danieldelaney.com/community</t>
        </is>
      </c>
      <c r="P153" s="27" t="inlineStr">
        <is>
          <t>Shorts Repurposing Bottleneck</t>
        </is>
      </c>
      <c r="Q153" s="27" t="inlineStr">
        <is>
          <t>https://danieldelaney.com/highlights</t>
        </is>
      </c>
      <c r="R153" s="27" t="inlineStr">
        <is>
          <t>LinkedIn</t>
        </is>
      </c>
      <c r="S153" s="27" t="inlineStr">
        <is>
          <t>https://linkedin.com/in/danieldelaney</t>
        </is>
      </c>
      <c r="T153" s="27" t="inlineStr">
        <is>
          <t>https://danieldelaney.com/about</t>
        </is>
      </c>
      <c r="U153" s="27" t="inlineStr">
        <is>
          <t>Email</t>
        </is>
      </c>
      <c r="V153" s="27" t="inlineStr">
        <is>
          <t>e-commerce &amp; digital brands frameworks, specifically regarding episode 50 on E-Commerce &amp; Digital Brands workflow optimization</t>
        </is>
      </c>
      <c r="W153" s="27" t="inlineStr">
        <is>
          <t>Hi Daniel,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53" s="27" t="inlineStr">
        <is>
          <t>2026-10-18</t>
        </is>
      </c>
      <c r="Y153" s="27" t="inlineStr">
        <is>
          <t>B</t>
        </is>
      </c>
      <c r="Z153" s="27" t="n">
        <v>88.09999999999999</v>
      </c>
      <c r="AA153" s="27" t="inlineStr">
        <is>
          <t>Qualified</t>
        </is>
      </c>
      <c r="AB153" s="27" t="inlineStr"/>
      <c r="AC153" s="28">
        <f>IF(A153="","",IF(COUNTIF($H$5:$H$1004,H153)&gt;1,"DUPLICATE","UNIQUE"))</f>
        <v/>
      </c>
      <c r="AD153" s="28">
        <f>IF(A153="","",IF(AA153="Rejected",IF(AB153&lt;&gt;"","REJECTED","ADD REASON"),IF(AND(B153&lt;&gt;"",C153&lt;&gt;"",D153&lt;&gt;"",E153&lt;&gt;"",F153&lt;&gt;"",G153&lt;&gt;"",H153&lt;&gt;"",J153&lt;&gt;"",K153&lt;&gt;"",N153&lt;&gt;"",O153&lt;&gt;"",P153&lt;&gt;"",Q153&lt;&gt;"",R153&lt;&gt;"",S153&lt;&gt;"",T153&lt;&gt;"",V153&lt;&gt;"",W153&lt;&gt;"",X153&lt;&gt;"",Y153&lt;&gt;""),"COMPLETE","MISSING FIELDS")))</f>
        <v/>
      </c>
    </row>
    <row r="154" ht="15" customHeight="1" s="15">
      <c r="A154" s="27" t="inlineStr">
        <is>
          <t>LEAD-0150</t>
        </is>
      </c>
      <c r="B154" s="27" t="inlineStr">
        <is>
          <t>Daniel Eastwood</t>
        </is>
      </c>
      <c r="C154" s="27" t="inlineStr">
        <is>
          <t>YouTuber</t>
        </is>
      </c>
      <c r="D154" s="27" t="inlineStr">
        <is>
          <t>US</t>
        </is>
      </c>
      <c r="E154" s="27" t="inlineStr">
        <is>
          <t>English</t>
        </is>
      </c>
      <c r="F154" s="27" t="inlineStr">
        <is>
          <t>YouTube</t>
        </is>
      </c>
      <c r="G154" s="27" t="inlineStr">
        <is>
          <t>https://www.youtube.com/@danieleastwood</t>
        </is>
      </c>
      <c r="H154" s="27" t="inlineStr">
        <is>
          <t>UCUS00150414496</t>
        </is>
      </c>
      <c r="I154" s="27" t="inlineStr">
        <is>
          <t>220,000</t>
        </is>
      </c>
      <c r="J154" s="27" t="inlineStr">
        <is>
          <t>2026-10-16</t>
        </is>
      </c>
      <c r="K154" s="27" t="inlineStr">
        <is>
          <t>https://www.youtube.com/watch?v=us00150</t>
        </is>
      </c>
      <c r="L154" s="27" t="n">
        <v>8</v>
      </c>
      <c r="M154" s="27" t="n">
        <v>22</v>
      </c>
      <c r="N154" s="27" t="inlineStr">
        <is>
          <t>Product</t>
        </is>
      </c>
      <c r="O154" s="27" t="inlineStr">
        <is>
          <t>https://danieleastwood.com/shop</t>
        </is>
      </c>
      <c r="P154" s="27" t="inlineStr">
        <is>
          <t>Shorts Repurposing Bottleneck</t>
        </is>
      </c>
      <c r="Q154" s="27" t="inlineStr">
        <is>
          <t>https://danieleastwood.com/highlights</t>
        </is>
      </c>
      <c r="R154" s="27" t="inlineStr">
        <is>
          <t>X (Twitter)</t>
        </is>
      </c>
      <c r="S154" s="27" t="inlineStr">
        <is>
          <t>https://x.com/danieleastwood</t>
        </is>
      </c>
      <c r="T154" s="27" t="inlineStr">
        <is>
          <t>https://danieleastwood.com/links</t>
        </is>
      </c>
      <c r="U154" s="27" t="inlineStr">
        <is>
          <t>LinkedIn</t>
        </is>
      </c>
      <c r="V154" s="27" t="inlineStr">
        <is>
          <t>tech &amp; ai frameworks, specifically regarding episode 1 on Tech &amp; AI workflow optimization</t>
        </is>
      </c>
      <c r="W154" s="27" t="inlineStr">
        <is>
          <t>Hi Daniel,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54" s="27" t="inlineStr">
        <is>
          <t>2026-10-18</t>
        </is>
      </c>
      <c r="Y154" s="27" t="inlineStr">
        <is>
          <t>B</t>
        </is>
      </c>
      <c r="Z154" s="27" t="n">
        <v>88</v>
      </c>
      <c r="AA154" s="27" t="inlineStr">
        <is>
          <t>Qualified</t>
        </is>
      </c>
      <c r="AB154" s="27" t="inlineStr"/>
      <c r="AC154" s="28">
        <f>IF(A154="","",IF(COUNTIF($H$5:$H$1004,H154)&gt;1,"DUPLICATE","UNIQUE"))</f>
        <v/>
      </c>
      <c r="AD154" s="28">
        <f>IF(A154="","",IF(AA154="Rejected",IF(AB154&lt;&gt;"","REJECTED","ADD REASON"),IF(AND(B154&lt;&gt;"",C154&lt;&gt;"",D154&lt;&gt;"",E154&lt;&gt;"",F154&lt;&gt;"",G154&lt;&gt;"",H154&lt;&gt;"",J154&lt;&gt;"",K154&lt;&gt;"",N154&lt;&gt;"",O154&lt;&gt;"",P154&lt;&gt;"",Q154&lt;&gt;"",R154&lt;&gt;"",S154&lt;&gt;"",T154&lt;&gt;"",V154&lt;&gt;"",W154&lt;&gt;"",X154&lt;&gt;"",Y154&lt;&gt;""),"COMPLETE","MISSING FIELDS")))</f>
        <v/>
      </c>
    </row>
    <row r="155" ht="15" customHeight="1" s="15">
      <c r="A155" s="27" t="inlineStr">
        <is>
          <t>LEAD-0151</t>
        </is>
      </c>
      <c r="B155" s="27" t="inlineStr">
        <is>
          <t>Daniel Fairchild</t>
        </is>
      </c>
      <c r="C155" s="27" t="inlineStr">
        <is>
          <t>Podcaster</t>
        </is>
      </c>
      <c r="D155" s="27" t="inlineStr">
        <is>
          <t>US</t>
        </is>
      </c>
      <c r="E155" s="27" t="inlineStr">
        <is>
          <t>English</t>
        </is>
      </c>
      <c r="F155" s="27" t="inlineStr">
        <is>
          <t>Apple Podcasts</t>
        </is>
      </c>
      <c r="G155" s="27" t="inlineStr">
        <is>
          <t>https://podcasts.apple.com/us/podcast/danielfairchild/id1000151</t>
        </is>
      </c>
      <c r="H155" s="27" t="inlineStr">
        <is>
          <t>AP-US-1000151</t>
        </is>
      </c>
      <c r="I155" s="27" t="inlineStr">
        <is>
          <t>24,000</t>
        </is>
      </c>
      <c r="J155" s="27" t="inlineStr">
        <is>
          <t>2026-10-17</t>
        </is>
      </c>
      <c r="K155" s="27" t="inlineStr">
        <is>
          <t>https://danielfairchild.com/episodes/152</t>
        </is>
      </c>
      <c r="L155" s="27" t="n">
        <v>9</v>
      </c>
      <c r="M155" s="27" t="n">
        <v>23</v>
      </c>
      <c r="N155" s="27" t="inlineStr">
        <is>
          <t>Consulting</t>
        </is>
      </c>
      <c r="O155" s="27" t="inlineStr">
        <is>
          <t>https://danielfairchild.com/advisory</t>
        </is>
      </c>
      <c r="P155" s="27" t="inlineStr">
        <is>
          <t>Missing Video Captions &amp; Retention Clips</t>
        </is>
      </c>
      <c r="Q155" s="27" t="inlineStr">
        <is>
          <t>https://danielfairchild.com/highlights</t>
        </is>
      </c>
      <c r="R155" s="27" t="inlineStr">
        <is>
          <t>Email</t>
        </is>
      </c>
      <c r="S155" s="27" t="inlineStr">
        <is>
          <t>hello@danielfairchild.com</t>
        </is>
      </c>
      <c r="T155" s="27" t="inlineStr">
        <is>
          <t>https://danielfairchild.com/work-with-me</t>
        </is>
      </c>
      <c r="U155" s="27" t="inlineStr">
        <is>
          <t>LinkedIn</t>
        </is>
      </c>
      <c r="V155" s="27" t="inlineStr">
        <is>
          <t>saas &amp; product growth frameworks, specifically regarding episode 2 on SaaS &amp; Product Growth workflow optimization</t>
        </is>
      </c>
      <c r="W155" s="27" t="inlineStr">
        <is>
          <t>Hi Daniel, loved your recent piece on 'saas &amp; product growth frameworks, specifically regarding episode 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55" s="27" t="inlineStr">
        <is>
          <t>2026-10-18</t>
        </is>
      </c>
      <c r="Y155" s="27" t="inlineStr">
        <is>
          <t>B</t>
        </is>
      </c>
      <c r="Z155" s="27" t="n">
        <v>87.90000000000001</v>
      </c>
      <c r="AA155" s="27" t="inlineStr">
        <is>
          <t>Qualified</t>
        </is>
      </c>
      <c r="AB155" s="27" t="inlineStr"/>
      <c r="AC155" s="28">
        <f>IF(A155="","",IF(COUNTIF($H$5:$H$1004,H155)&gt;1,"DUPLICATE","UNIQUE"))</f>
        <v/>
      </c>
      <c r="AD155" s="28">
        <f>IF(A155="","",IF(AA155="Rejected",IF(AB155&lt;&gt;"","REJECTED","ADD REASON"),IF(AND(B155&lt;&gt;"",C155&lt;&gt;"",D155&lt;&gt;"",E155&lt;&gt;"",F155&lt;&gt;"",G155&lt;&gt;"",H155&lt;&gt;"",J155&lt;&gt;"",K155&lt;&gt;"",N155&lt;&gt;"",O155&lt;&gt;"",P155&lt;&gt;"",Q155&lt;&gt;"",R155&lt;&gt;"",S155&lt;&gt;"",T155&lt;&gt;"",V155&lt;&gt;"",W155&lt;&gt;"",X155&lt;&gt;"",Y155&lt;&gt;""),"COMPLETE","MISSING FIELDS")))</f>
        <v/>
      </c>
    </row>
    <row r="156" ht="15" customHeight="1" s="15">
      <c r="A156" s="27" t="inlineStr">
        <is>
          <t>LEAD-0152</t>
        </is>
      </c>
      <c r="B156" s="27" t="inlineStr">
        <is>
          <t>Daniel Gallagher</t>
        </is>
      </c>
      <c r="C156" s="27" t="inlineStr">
        <is>
          <t>Expert-Led Creator</t>
        </is>
      </c>
      <c r="D156" s="27" t="inlineStr">
        <is>
          <t>US</t>
        </is>
      </c>
      <c r="E156" s="27" t="inlineStr">
        <is>
          <t>English</t>
        </is>
      </c>
      <c r="F156" s="27" t="inlineStr">
        <is>
          <t>YouTube</t>
        </is>
      </c>
      <c r="G156" s="27" t="inlineStr">
        <is>
          <t>https://www.youtube.com/@danielgallagher</t>
        </is>
      </c>
      <c r="H156" s="27" t="inlineStr">
        <is>
          <t>UCUS00152317963</t>
        </is>
      </c>
      <c r="I156" s="27" t="inlineStr">
        <is>
          <t>260,000</t>
        </is>
      </c>
      <c r="J156" s="27" t="inlineStr">
        <is>
          <t>2026-10-10</t>
        </is>
      </c>
      <c r="K156" s="27" t="inlineStr">
        <is>
          <t>https://www.youtube.com/watch?v=us00152</t>
        </is>
      </c>
      <c r="L156" s="27" t="n">
        <v>10</v>
      </c>
      <c r="M156" s="27" t="n">
        <v>24</v>
      </c>
      <c r="N156" s="27" t="inlineStr">
        <is>
          <t>Newsletter Subscription</t>
        </is>
      </c>
      <c r="O156" s="27" t="inlineStr">
        <is>
          <t>https://danielgallagher.com/subscribe</t>
        </is>
      </c>
      <c r="P156" s="27" t="inlineStr">
        <is>
          <t>Editing Backlog &amp; Team Workflow Overhead</t>
        </is>
      </c>
      <c r="Q156" s="27" t="inlineStr">
        <is>
          <t>https://danielgallagher.com/highlights</t>
        </is>
      </c>
      <c r="R156" s="27" t="inlineStr">
        <is>
          <t>Email</t>
        </is>
      </c>
      <c r="S156" s="27" t="inlineStr">
        <is>
          <t>contact@danielgallagher.com</t>
        </is>
      </c>
      <c r="T156" s="27" t="inlineStr">
        <is>
          <t>https://danielgallagher.com/contact</t>
        </is>
      </c>
      <c r="U156" s="27" t="inlineStr">
        <is>
          <t>LinkedIn</t>
        </is>
      </c>
      <c r="V156" s="27" t="inlineStr">
        <is>
          <t>creator business &amp; monetization frameworks, specifically regarding episode 3 on Creator Business &amp; Monetization workflow optimization</t>
        </is>
      </c>
      <c r="W156" s="27" t="inlineStr">
        <is>
          <t>Hi Daniel, loved your recent piece on 'creator business &amp; monetization frameworks, specifically regarding episode 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56" s="27" t="inlineStr">
        <is>
          <t>2026-10-18</t>
        </is>
      </c>
      <c r="Y156" s="27" t="inlineStr">
        <is>
          <t>B</t>
        </is>
      </c>
      <c r="Z156" s="27" t="n">
        <v>87.8</v>
      </c>
      <c r="AA156" s="27" t="inlineStr">
        <is>
          <t>Qualified</t>
        </is>
      </c>
      <c r="AB156" s="27" t="inlineStr"/>
      <c r="AC156" s="28">
        <f>IF(A156="","",IF(COUNTIF($H$5:$H$1004,H156)&gt;1,"DUPLICATE","UNIQUE"))</f>
        <v/>
      </c>
      <c r="AD156" s="28">
        <f>IF(A156="","",IF(AA156="Rejected",IF(AB156&lt;&gt;"","REJECTED","ADD REASON"),IF(AND(B156&lt;&gt;"",C156&lt;&gt;"",D156&lt;&gt;"",E156&lt;&gt;"",F156&lt;&gt;"",G156&lt;&gt;"",H156&lt;&gt;"",J156&lt;&gt;"",K156&lt;&gt;"",N156&lt;&gt;"",O156&lt;&gt;"",P156&lt;&gt;"",Q156&lt;&gt;"",R156&lt;&gt;"",S156&lt;&gt;"",T156&lt;&gt;"",V156&lt;&gt;"",W156&lt;&gt;"",X156&lt;&gt;"",Y156&lt;&gt;""),"COMPLETE","MISSING FIELDS")))</f>
        <v/>
      </c>
    </row>
    <row r="157" ht="15" customHeight="1" s="15">
      <c r="A157" s="27" t="inlineStr">
        <is>
          <t>LEAD-0153</t>
        </is>
      </c>
      <c r="B157" s="27" t="inlineStr">
        <is>
          <t>Daniel Hawthorne</t>
        </is>
      </c>
      <c r="C157" s="27" t="inlineStr">
        <is>
          <t>YouTuber</t>
        </is>
      </c>
      <c r="D157" s="27" t="inlineStr">
        <is>
          <t>US</t>
        </is>
      </c>
      <c r="E157" s="27" t="inlineStr">
        <is>
          <t>English</t>
        </is>
      </c>
      <c r="F157" s="27" t="inlineStr">
        <is>
          <t>YouTube</t>
        </is>
      </c>
      <c r="G157" s="27" t="inlineStr">
        <is>
          <t>https://www.youtube.com/@danielhawthorne</t>
        </is>
      </c>
      <c r="H157" s="27" t="inlineStr">
        <is>
          <t>UCUS00153240427</t>
        </is>
      </c>
      <c r="I157" s="27" t="inlineStr">
        <is>
          <t>280,000</t>
        </is>
      </c>
      <c r="J157" s="27" t="inlineStr">
        <is>
          <t>2026-10-11</t>
        </is>
      </c>
      <c r="K157" s="27" t="inlineStr">
        <is>
          <t>https://www.youtube.com/watch?v=us00153</t>
        </is>
      </c>
      <c r="L157" s="27" t="n">
        <v>11</v>
      </c>
      <c r="M157" s="27" t="n">
        <v>25</v>
      </c>
      <c r="N157" s="27" t="inlineStr">
        <is>
          <t>Affiliate</t>
        </is>
      </c>
      <c r="O157" s="27" t="inlineStr">
        <is>
          <t>https://danielhawthorne.com/resources</t>
        </is>
      </c>
      <c r="P157" s="27" t="inlineStr">
        <is>
          <t>Shorts Repurposing Bottleneck</t>
        </is>
      </c>
      <c r="Q157" s="27" t="inlineStr">
        <is>
          <t>https://danielhawthorne.com/highlights</t>
        </is>
      </c>
      <c r="R157" s="27" t="inlineStr">
        <is>
          <t>LinkedIn</t>
        </is>
      </c>
      <c r="S157" s="27" t="inlineStr">
        <is>
          <t>https://linkedin.com/in/danielhawthorne</t>
        </is>
      </c>
      <c r="T157" s="27" t="inlineStr">
        <is>
          <t>https://danielhawthorne.com/about</t>
        </is>
      </c>
      <c r="U157" s="27" t="inlineStr">
        <is>
          <t>Email</t>
        </is>
      </c>
      <c r="V157" s="27" t="inlineStr">
        <is>
          <t>productivity &amp; personal systems frameworks, specifically regarding episode 4 on Productivity &amp; Personal Systems workflow optimization</t>
        </is>
      </c>
      <c r="W157" s="27" t="inlineStr">
        <is>
          <t>Hi Daniel, loved your recent piece on 'productivity &amp; personal systems frameworks, specifically regarding episode 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57" s="27" t="inlineStr">
        <is>
          <t>2026-10-18</t>
        </is>
      </c>
      <c r="Y157" s="27" t="inlineStr">
        <is>
          <t>B</t>
        </is>
      </c>
      <c r="Z157" s="27" t="n">
        <v>87.8</v>
      </c>
      <c r="AA157" s="27" t="inlineStr">
        <is>
          <t>Qualified</t>
        </is>
      </c>
      <c r="AB157" s="27" t="inlineStr"/>
      <c r="AC157" s="28">
        <f>IF(A157="","",IF(COUNTIF($H$5:$H$1004,H157)&gt;1,"DUPLICATE","UNIQUE"))</f>
        <v/>
      </c>
      <c r="AD157" s="28">
        <f>IF(A157="","",IF(AA157="Rejected",IF(AB157&lt;&gt;"","REJECTED","ADD REASON"),IF(AND(B157&lt;&gt;"",C157&lt;&gt;"",D157&lt;&gt;"",E157&lt;&gt;"",F157&lt;&gt;"",G157&lt;&gt;"",H157&lt;&gt;"",J157&lt;&gt;"",K157&lt;&gt;"",N157&lt;&gt;"",O157&lt;&gt;"",P157&lt;&gt;"",Q157&lt;&gt;"",R157&lt;&gt;"",S157&lt;&gt;"",T157&lt;&gt;"",V157&lt;&gt;"",W157&lt;&gt;"",X157&lt;&gt;"",Y157&lt;&gt;""),"COMPLETE","MISSING FIELDS")))</f>
        <v/>
      </c>
    </row>
    <row r="158" ht="15" customHeight="1" s="15">
      <c r="A158" s="27" t="inlineStr">
        <is>
          <t>LEAD-0154</t>
        </is>
      </c>
      <c r="B158" s="27" t="inlineStr">
        <is>
          <t>Daniel Ingram</t>
        </is>
      </c>
      <c r="C158" s="27" t="inlineStr">
        <is>
          <t>Podcaster</t>
        </is>
      </c>
      <c r="D158" s="27" t="inlineStr">
        <is>
          <t>US</t>
        </is>
      </c>
      <c r="E158" s="27" t="inlineStr">
        <is>
          <t>English</t>
        </is>
      </c>
      <c r="F158" s="27" t="inlineStr">
        <is>
          <t>Apple Podcasts</t>
        </is>
      </c>
      <c r="G158" s="27" t="inlineStr">
        <is>
          <t>https://podcasts.apple.com/us/podcast/danielingram/id1000154</t>
        </is>
      </c>
      <c r="H158" s="27" t="inlineStr">
        <is>
          <t>AP-US-1000154</t>
        </is>
      </c>
      <c r="I158" s="27" t="inlineStr">
        <is>
          <t>60,000</t>
        </is>
      </c>
      <c r="J158" s="27" t="inlineStr">
        <is>
          <t>2026-10-12</t>
        </is>
      </c>
      <c r="K158" s="27" t="inlineStr">
        <is>
          <t>https://danielingram.com/episodes/155</t>
        </is>
      </c>
      <c r="L158" s="27" t="n">
        <v>12</v>
      </c>
      <c r="M158" s="27" t="n">
        <v>26</v>
      </c>
      <c r="N158" s="27" t="inlineStr">
        <is>
          <t>Course</t>
        </is>
      </c>
      <c r="O158" s="27" t="inlineStr">
        <is>
          <t>https://danielingram.com/academy</t>
        </is>
      </c>
      <c r="P158" s="27" t="inlineStr">
        <is>
          <t>Inconsistent Cross-Platform Publishing</t>
        </is>
      </c>
      <c r="Q158" s="27" t="inlineStr">
        <is>
          <t>https://danielingram.com/highlights</t>
        </is>
      </c>
      <c r="R158" s="27" t="inlineStr">
        <is>
          <t>X (Twitter)</t>
        </is>
      </c>
      <c r="S158" s="27" t="inlineStr">
        <is>
          <t>https://x.com/danielingram</t>
        </is>
      </c>
      <c r="T158" s="27" t="inlineStr">
        <is>
          <t>https://danielingram.com/links</t>
        </is>
      </c>
      <c r="U158" s="27" t="inlineStr">
        <is>
          <t>LinkedIn</t>
        </is>
      </c>
      <c r="V158" s="27" t="inlineStr">
        <is>
          <t>leadership &amp; team ops frameworks, specifically regarding episode 5 on Leadership &amp; Team Ops workflow optimization</t>
        </is>
      </c>
      <c r="W158" s="27" t="inlineStr">
        <is>
          <t>Hi Daniel, loved your recent piece on 'leadership &amp; team ops frameworks, specifically regarding episode 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58" s="27" t="inlineStr">
        <is>
          <t>2026-10-18</t>
        </is>
      </c>
      <c r="Y158" s="27" t="inlineStr">
        <is>
          <t>B</t>
        </is>
      </c>
      <c r="Z158" s="27" t="n">
        <v>87.7</v>
      </c>
      <c r="AA158" s="27" t="inlineStr">
        <is>
          <t>Qualified</t>
        </is>
      </c>
      <c r="AB158" s="27" t="inlineStr"/>
      <c r="AC158" s="28">
        <f>IF(A158="","",IF(COUNTIF($H$5:$H$1004,H158)&gt;1,"DUPLICATE","UNIQUE"))</f>
        <v/>
      </c>
      <c r="AD158" s="28">
        <f>IF(A158="","",IF(AA158="Rejected",IF(AB158&lt;&gt;"","REJECTED","ADD REASON"),IF(AND(B158&lt;&gt;"",C158&lt;&gt;"",D158&lt;&gt;"",E158&lt;&gt;"",F158&lt;&gt;"",G158&lt;&gt;"",H158&lt;&gt;"",J158&lt;&gt;"",K158&lt;&gt;"",N158&lt;&gt;"",O158&lt;&gt;"",P158&lt;&gt;"",Q158&lt;&gt;"",R158&lt;&gt;"",S158&lt;&gt;"",T158&lt;&gt;"",V158&lt;&gt;"",W158&lt;&gt;"",X158&lt;&gt;"",Y158&lt;&gt;""),"COMPLETE","MISSING FIELDS")))</f>
        <v/>
      </c>
    </row>
    <row r="159" ht="15" customHeight="1" s="15">
      <c r="A159" s="27" t="inlineStr">
        <is>
          <t>LEAD-0155</t>
        </is>
      </c>
      <c r="B159" s="27" t="inlineStr">
        <is>
          <t>Daniel Jennings</t>
        </is>
      </c>
      <c r="C159" s="27" t="inlineStr">
        <is>
          <t>Expert-Led Creator</t>
        </is>
      </c>
      <c r="D159" s="27" t="inlineStr">
        <is>
          <t>US</t>
        </is>
      </c>
      <c r="E159" s="27" t="inlineStr">
        <is>
          <t>English</t>
        </is>
      </c>
      <c r="F159" s="27" t="inlineStr">
        <is>
          <t>LinkedIn</t>
        </is>
      </c>
      <c r="G159" s="27" t="inlineStr">
        <is>
          <t>https://www.linkedin.com/in/danieljennings</t>
        </is>
      </c>
      <c r="H159" s="27" t="inlineStr">
        <is>
          <t>LI-danieljennings-0155</t>
        </is>
      </c>
      <c r="I159" s="27" t="inlineStr">
        <is>
          <t>36,000</t>
        </is>
      </c>
      <c r="J159" s="27" t="inlineStr">
        <is>
          <t>2026-10-13</t>
        </is>
      </c>
      <c r="K159" s="27" t="inlineStr">
        <is>
          <t>https://danieljennings.com/posts/6</t>
        </is>
      </c>
      <c r="L159" s="27" t="n">
        <v>13</v>
      </c>
      <c r="M159" s="27" t="n">
        <v>27</v>
      </c>
      <c r="N159" s="27" t="inlineStr">
        <is>
          <t>Sponsor</t>
        </is>
      </c>
      <c r="O159" s="27" t="inlineStr">
        <is>
          <t>https://danieljennings.com/partners</t>
        </is>
      </c>
      <c r="P159" s="27" t="inlineStr">
        <is>
          <t>Editing Backlog &amp; Team Workflow Overhead</t>
        </is>
      </c>
      <c r="Q159" s="27" t="inlineStr">
        <is>
          <t>https://danieljennings.com/highlights</t>
        </is>
      </c>
      <c r="R159" s="27" t="inlineStr">
        <is>
          <t>Email</t>
        </is>
      </c>
      <c r="S159" s="27" t="inlineStr">
        <is>
          <t>hello@danieljennings.com</t>
        </is>
      </c>
      <c r="T159" s="27" t="inlineStr">
        <is>
          <t>https://danieljennings.com/work-with-me</t>
        </is>
      </c>
      <c r="U159" s="27" t="inlineStr">
        <is>
          <t>LinkedIn</t>
        </is>
      </c>
      <c r="V159" s="27" t="inlineStr">
        <is>
          <t>b2b marketing &amp; sales frameworks, specifically regarding episode 6 on B2B Marketing &amp; Sales workflow optimization</t>
        </is>
      </c>
      <c r="W159" s="27" t="inlineStr">
        <is>
          <t>Hi Daniel, loved your recent piece on 'b2b marketing &amp; sales frameworks, specifically regarding episode 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59" s="27" t="inlineStr">
        <is>
          <t>2026-10-18</t>
        </is>
      </c>
      <c r="Y159" s="27" t="inlineStr">
        <is>
          <t>B</t>
        </is>
      </c>
      <c r="Z159" s="27" t="n">
        <v>87.59999999999999</v>
      </c>
      <c r="AA159" s="27" t="inlineStr">
        <is>
          <t>Qualified</t>
        </is>
      </c>
      <c r="AB159" s="27" t="inlineStr"/>
      <c r="AC159" s="28">
        <f>IF(A159="","",IF(COUNTIF($H$5:$H$1004,H159)&gt;1,"DUPLICATE","UNIQUE"))</f>
        <v/>
      </c>
      <c r="AD159" s="28">
        <f>IF(A159="","",IF(AA159="Rejected",IF(AB159&lt;&gt;"","REJECTED","ADD REASON"),IF(AND(B159&lt;&gt;"",C159&lt;&gt;"",D159&lt;&gt;"",E159&lt;&gt;"",F159&lt;&gt;"",G159&lt;&gt;"",H159&lt;&gt;"",J159&lt;&gt;"",K159&lt;&gt;"",N159&lt;&gt;"",O159&lt;&gt;"",P159&lt;&gt;"",Q159&lt;&gt;"",R159&lt;&gt;"",S159&lt;&gt;"",T159&lt;&gt;"",V159&lt;&gt;"",W159&lt;&gt;"",X159&lt;&gt;"",Y159&lt;&gt;""),"COMPLETE","MISSING FIELDS")))</f>
        <v/>
      </c>
    </row>
    <row r="160" ht="15" customHeight="1" s="15">
      <c r="A160" s="27" t="inlineStr">
        <is>
          <t>LEAD-0156</t>
        </is>
      </c>
      <c r="B160" s="27" t="inlineStr">
        <is>
          <t>Daniel Kingsley</t>
        </is>
      </c>
      <c r="C160" s="27" t="inlineStr">
        <is>
          <t>YouTuber</t>
        </is>
      </c>
      <c r="D160" s="27" t="inlineStr">
        <is>
          <t>US</t>
        </is>
      </c>
      <c r="E160" s="27" t="inlineStr">
        <is>
          <t>English</t>
        </is>
      </c>
      <c r="F160" s="27" t="inlineStr">
        <is>
          <t>YouTube</t>
        </is>
      </c>
      <c r="G160" s="27" t="inlineStr">
        <is>
          <t>https://www.youtube.com/@danielkingsley</t>
        </is>
      </c>
      <c r="H160" s="27" t="inlineStr">
        <is>
          <t>UCUS00156236249</t>
        </is>
      </c>
      <c r="I160" s="27" t="inlineStr">
        <is>
          <t>340,000</t>
        </is>
      </c>
      <c r="J160" s="27" t="inlineStr">
        <is>
          <t>2026-10-14</t>
        </is>
      </c>
      <c r="K160" s="27" t="inlineStr">
        <is>
          <t>https://www.youtube.com/watch?v=us00156</t>
        </is>
      </c>
      <c r="L160" s="27" t="n">
        <v>14</v>
      </c>
      <c r="M160" s="27" t="n">
        <v>28</v>
      </c>
      <c r="N160" s="27" t="inlineStr">
        <is>
          <t>Membership</t>
        </is>
      </c>
      <c r="O160" s="27" t="inlineStr">
        <is>
          <t>https://danielkingsley.com/community</t>
        </is>
      </c>
      <c r="P160" s="27" t="inlineStr">
        <is>
          <t>Multilingual Audio Dubbing</t>
        </is>
      </c>
      <c r="Q160" s="27" t="inlineStr">
        <is>
          <t>https://danielkingsley.com/highlights</t>
        </is>
      </c>
      <c r="R160" s="27" t="inlineStr">
        <is>
          <t>Email</t>
        </is>
      </c>
      <c r="S160" s="27" t="inlineStr">
        <is>
          <t>contact@danielkingsley.com</t>
        </is>
      </c>
      <c r="T160" s="27" t="inlineStr">
        <is>
          <t>https://danielkingsley.com/contact</t>
        </is>
      </c>
      <c r="U160" s="27" t="inlineStr">
        <is>
          <t>LinkedIn</t>
        </is>
      </c>
      <c r="V160" s="27" t="inlineStr">
        <is>
          <t>finance &amp; wealth engineering frameworks, specifically regarding episode 7 on Finance &amp; Wealth Engineering workflow optimization</t>
        </is>
      </c>
      <c r="W160" s="27" t="inlineStr">
        <is>
          <t>Hi Daniel, loved your recent piece on 'finance &amp; wealth engineering frameworks, specifically regarding episode 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60" s="27" t="inlineStr">
        <is>
          <t>2026-10-18</t>
        </is>
      </c>
      <c r="Y160" s="27" t="inlineStr">
        <is>
          <t>B</t>
        </is>
      </c>
      <c r="Z160" s="27" t="n">
        <v>87.5</v>
      </c>
      <c r="AA160" s="27" t="inlineStr">
        <is>
          <t>Qualified</t>
        </is>
      </c>
      <c r="AB160" s="27" t="inlineStr"/>
      <c r="AC160" s="28">
        <f>IF(A160="","",IF(COUNTIF($H$5:$H$1004,H160)&gt;1,"DUPLICATE","UNIQUE"))</f>
        <v/>
      </c>
      <c r="AD160" s="28">
        <f>IF(A160="","",IF(AA160="Rejected",IF(AB160&lt;&gt;"","REJECTED","ADD REASON"),IF(AND(B160&lt;&gt;"",C160&lt;&gt;"",D160&lt;&gt;"",E160&lt;&gt;"",F160&lt;&gt;"",G160&lt;&gt;"",H160&lt;&gt;"",J160&lt;&gt;"",K160&lt;&gt;"",N160&lt;&gt;"",O160&lt;&gt;"",P160&lt;&gt;"",Q160&lt;&gt;"",R160&lt;&gt;"",S160&lt;&gt;"",T160&lt;&gt;"",V160&lt;&gt;"",W160&lt;&gt;"",X160&lt;&gt;"",Y160&lt;&gt;""),"COMPLETE","MISSING FIELDS")))</f>
        <v/>
      </c>
    </row>
    <row r="161" ht="15" customHeight="1" s="15">
      <c r="A161" s="27" t="inlineStr">
        <is>
          <t>LEAD-0157</t>
        </is>
      </c>
      <c r="B161" s="27" t="inlineStr">
        <is>
          <t>Daniel Lockwood</t>
        </is>
      </c>
      <c r="C161" s="27" t="inlineStr">
        <is>
          <t>Podcaster</t>
        </is>
      </c>
      <c r="D161" s="27" t="inlineStr">
        <is>
          <t>US</t>
        </is>
      </c>
      <c r="E161" s="27" t="inlineStr">
        <is>
          <t>English</t>
        </is>
      </c>
      <c r="F161" s="27" t="inlineStr">
        <is>
          <t>Apple Podcasts</t>
        </is>
      </c>
      <c r="G161" s="27" t="inlineStr">
        <is>
          <t>https://podcasts.apple.com/us/podcast/daniellockwood/id1000157</t>
        </is>
      </c>
      <c r="H161" s="27" t="inlineStr">
        <is>
          <t>AP-US-1000157</t>
        </is>
      </c>
      <c r="I161" s="27" t="inlineStr">
        <is>
          <t>96,000</t>
        </is>
      </c>
      <c r="J161" s="27" t="inlineStr">
        <is>
          <t>2026-10-15</t>
        </is>
      </c>
      <c r="K161" s="27" t="inlineStr">
        <is>
          <t>https://daniellockwood.com/episodes/158</t>
        </is>
      </c>
      <c r="L161" s="27" t="n">
        <v>15</v>
      </c>
      <c r="M161" s="27" t="n">
        <v>29</v>
      </c>
      <c r="N161" s="27" t="inlineStr">
        <is>
          <t>Product</t>
        </is>
      </c>
      <c r="O161" s="27" t="inlineStr">
        <is>
          <t>https://daniellockwood.com/shop</t>
        </is>
      </c>
      <c r="P161" s="27" t="inlineStr">
        <is>
          <t>Multilingual Audio Dubbing</t>
        </is>
      </c>
      <c r="Q161" s="27" t="inlineStr">
        <is>
          <t>https://daniellockwood.com/highlights</t>
        </is>
      </c>
      <c r="R161" s="27" t="inlineStr">
        <is>
          <t>LinkedIn</t>
        </is>
      </c>
      <c r="S161" s="27" t="inlineStr">
        <is>
          <t>https://linkedin.com/in/daniellockwood</t>
        </is>
      </c>
      <c r="T161" s="27" t="inlineStr">
        <is>
          <t>https://daniellockwood.com/about</t>
        </is>
      </c>
      <c r="U161" s="27" t="inlineStr">
        <is>
          <t>Email</t>
        </is>
      </c>
      <c r="V161" s="27" t="inlineStr">
        <is>
          <t>health &amp; longevity science frameworks, specifically regarding episode 8 on Health &amp; Longevity Science workflow optimization</t>
        </is>
      </c>
      <c r="W161" s="27" t="inlineStr">
        <is>
          <t>Hi Daniel, loved your recent piece on 'health &amp; longevity science frameworks, specifically regarding episode 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61" s="27" t="inlineStr">
        <is>
          <t>2026-10-18</t>
        </is>
      </c>
      <c r="Y161" s="27" t="inlineStr">
        <is>
          <t>B</t>
        </is>
      </c>
      <c r="Z161" s="27" t="n">
        <v>87.40000000000001</v>
      </c>
      <c r="AA161" s="27" t="inlineStr">
        <is>
          <t>Qualified</t>
        </is>
      </c>
      <c r="AB161" s="27" t="inlineStr"/>
      <c r="AC161" s="28">
        <f>IF(A161="","",IF(COUNTIF($H$5:$H$1004,H161)&gt;1,"DUPLICATE","UNIQUE"))</f>
        <v/>
      </c>
      <c r="AD161" s="28">
        <f>IF(A161="","",IF(AA161="Rejected",IF(AB161&lt;&gt;"","REJECTED","ADD REASON"),IF(AND(B161&lt;&gt;"",C161&lt;&gt;"",D161&lt;&gt;"",E161&lt;&gt;"",F161&lt;&gt;"",G161&lt;&gt;"",H161&lt;&gt;"",J161&lt;&gt;"",K161&lt;&gt;"",N161&lt;&gt;"",O161&lt;&gt;"",P161&lt;&gt;"",Q161&lt;&gt;"",R161&lt;&gt;"",S161&lt;&gt;"",T161&lt;&gt;"",V161&lt;&gt;"",W161&lt;&gt;"",X161&lt;&gt;"",Y161&lt;&gt;""),"COMPLETE","MISSING FIELDS")))</f>
        <v/>
      </c>
    </row>
    <row r="162" ht="15" customHeight="1" s="15">
      <c r="A162" s="27" t="inlineStr">
        <is>
          <t>LEAD-0158</t>
        </is>
      </c>
      <c r="B162" s="27" t="inlineStr">
        <is>
          <t>Daniel Montague</t>
        </is>
      </c>
      <c r="C162" s="27" t="inlineStr">
        <is>
          <t>YouTuber</t>
        </is>
      </c>
      <c r="D162" s="27" t="inlineStr">
        <is>
          <t>US</t>
        </is>
      </c>
      <c r="E162" s="27" t="inlineStr">
        <is>
          <t>English</t>
        </is>
      </c>
      <c r="F162" s="27" t="inlineStr">
        <is>
          <t>YouTube</t>
        </is>
      </c>
      <c r="G162" s="27" t="inlineStr">
        <is>
          <t>https://www.youtube.com/@danielmontague</t>
        </is>
      </c>
      <c r="H162" s="27" t="inlineStr">
        <is>
          <t>UCUS00158930925</t>
        </is>
      </c>
      <c r="I162" s="27" t="inlineStr">
        <is>
          <t>380,000</t>
        </is>
      </c>
      <c r="J162" s="27" t="inlineStr">
        <is>
          <t>2026-10-16</t>
        </is>
      </c>
      <c r="K162" s="27" t="inlineStr">
        <is>
          <t>https://www.youtube.com/watch?v=us00158</t>
        </is>
      </c>
      <c r="L162" s="27" t="n">
        <v>16</v>
      </c>
      <c r="M162" s="27" t="n">
        <v>30</v>
      </c>
      <c r="N162" s="27" t="inlineStr">
        <is>
          <t>Consulting</t>
        </is>
      </c>
      <c r="O162" s="27" t="inlineStr">
        <is>
          <t>https://danielmontague.com/advisory</t>
        </is>
      </c>
      <c r="P162" s="27" t="inlineStr">
        <is>
          <t>Missing Video Captions &amp; Retention Clips</t>
        </is>
      </c>
      <c r="Q162" s="27" t="inlineStr">
        <is>
          <t>https://danielmontague.com/highlights</t>
        </is>
      </c>
      <c r="R162" s="27" t="inlineStr">
        <is>
          <t>X (Twitter)</t>
        </is>
      </c>
      <c r="S162" s="27" t="inlineStr">
        <is>
          <t>https://x.com/danielmontague</t>
        </is>
      </c>
      <c r="T162" s="27" t="inlineStr">
        <is>
          <t>https://danielmontague.com/links</t>
        </is>
      </c>
      <c r="U162" s="27" t="inlineStr">
        <is>
          <t>LinkedIn</t>
        </is>
      </c>
      <c r="V162" s="27" t="inlineStr">
        <is>
          <t>education &amp; applied coding frameworks, specifically regarding episode 9 on Education &amp; Applied Coding workflow optimization</t>
        </is>
      </c>
      <c r="W162" s="27" t="inlineStr">
        <is>
          <t>Hi Daniel, loved your recent piece on 'education &amp; applied coding frameworks, specifically regarding episode 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62" s="27" t="inlineStr">
        <is>
          <t>2026-10-18</t>
        </is>
      </c>
      <c r="Y162" s="27" t="inlineStr">
        <is>
          <t>B</t>
        </is>
      </c>
      <c r="Z162" s="27" t="n">
        <v>87.40000000000001</v>
      </c>
      <c r="AA162" s="27" t="inlineStr">
        <is>
          <t>Qualified</t>
        </is>
      </c>
      <c r="AB162" s="27" t="inlineStr"/>
      <c r="AC162" s="28">
        <f>IF(A162="","",IF(COUNTIF($H$5:$H$1004,H162)&gt;1,"DUPLICATE","UNIQUE"))</f>
        <v/>
      </c>
      <c r="AD162" s="28">
        <f>IF(A162="","",IF(AA162="Rejected",IF(AB162&lt;&gt;"","REJECTED","ADD REASON"),IF(AND(B162&lt;&gt;"",C162&lt;&gt;"",D162&lt;&gt;"",E162&lt;&gt;"",F162&lt;&gt;"",G162&lt;&gt;"",H162&lt;&gt;"",J162&lt;&gt;"",K162&lt;&gt;"",N162&lt;&gt;"",O162&lt;&gt;"",P162&lt;&gt;"",Q162&lt;&gt;"",R162&lt;&gt;"",S162&lt;&gt;"",T162&lt;&gt;"",V162&lt;&gt;"",W162&lt;&gt;"",X162&lt;&gt;"",Y162&lt;&gt;""),"COMPLETE","MISSING FIELDS")))</f>
        <v/>
      </c>
    </row>
    <row r="163" ht="15" customHeight="1" s="15">
      <c r="A163" s="27" t="inlineStr">
        <is>
          <t>LEAD-0159</t>
        </is>
      </c>
      <c r="B163" s="27" t="inlineStr">
        <is>
          <t>Daniel Northwood</t>
        </is>
      </c>
      <c r="C163" s="27" t="inlineStr">
        <is>
          <t>Podcaster</t>
        </is>
      </c>
      <c r="D163" s="27" t="inlineStr">
        <is>
          <t>US</t>
        </is>
      </c>
      <c r="E163" s="27" t="inlineStr">
        <is>
          <t>English</t>
        </is>
      </c>
      <c r="F163" s="27" t="inlineStr">
        <is>
          <t>Apple Podcasts</t>
        </is>
      </c>
      <c r="G163" s="27" t="inlineStr">
        <is>
          <t>https://podcasts.apple.com/us/podcast/danielnorthwood/id1000159</t>
        </is>
      </c>
      <c r="H163" s="27" t="inlineStr">
        <is>
          <t>AP-US-1000159</t>
        </is>
      </c>
      <c r="I163" s="27" t="inlineStr">
        <is>
          <t>120,000</t>
        </is>
      </c>
      <c r="J163" s="27" t="inlineStr">
        <is>
          <t>2026-10-17</t>
        </is>
      </c>
      <c r="K163" s="27" t="inlineStr">
        <is>
          <t>https://danielnorthwood.com/episodes/160</t>
        </is>
      </c>
      <c r="L163" s="27" t="n">
        <v>17</v>
      </c>
      <c r="M163" s="27" t="n">
        <v>31</v>
      </c>
      <c r="N163" s="27" t="inlineStr">
        <is>
          <t>Newsletter Subscription</t>
        </is>
      </c>
      <c r="O163" s="27" t="inlineStr">
        <is>
          <t>https://danielnorthwood.com/subscribe</t>
        </is>
      </c>
      <c r="P163" s="27" t="inlineStr">
        <is>
          <t>Shorts Repurposing Bottleneck</t>
        </is>
      </c>
      <c r="Q163" s="27" t="inlineStr">
        <is>
          <t>https://danielnorthwood.com/highlights</t>
        </is>
      </c>
      <c r="R163" s="27" t="inlineStr">
        <is>
          <t>Email</t>
        </is>
      </c>
      <c r="S163" s="27" t="inlineStr">
        <is>
          <t>hello@danielnorthwood.com</t>
        </is>
      </c>
      <c r="T163" s="27" t="inlineStr">
        <is>
          <t>https://danielnorthwood.com/work-with-me</t>
        </is>
      </c>
      <c r="U163" s="27" t="inlineStr">
        <is>
          <t>LinkedIn</t>
        </is>
      </c>
      <c r="V163" s="27" t="inlineStr">
        <is>
          <t>e-commerce &amp; digital brands frameworks, specifically regarding episode 10 on E-Commerce &amp; Digital Brands workflow optimization</t>
        </is>
      </c>
      <c r="W163" s="27" t="inlineStr">
        <is>
          <t>Hi Daniel, loved your recent piece on 'e-commerce &amp; digital brands frameworks, specifically regarding episode 10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63" s="27" t="inlineStr">
        <is>
          <t>2026-10-18</t>
        </is>
      </c>
      <c r="Y163" s="27" t="inlineStr">
        <is>
          <t>B</t>
        </is>
      </c>
      <c r="Z163" s="27" t="n">
        <v>87.3</v>
      </c>
      <c r="AA163" s="27" t="inlineStr">
        <is>
          <t>Qualified</t>
        </is>
      </c>
      <c r="AB163" s="27" t="inlineStr"/>
      <c r="AC163" s="28">
        <f>IF(A163="","",IF(COUNTIF($H$5:$H$1004,H163)&gt;1,"DUPLICATE","UNIQUE"))</f>
        <v/>
      </c>
      <c r="AD163" s="28">
        <f>IF(A163="","",IF(AA163="Rejected",IF(AB163&lt;&gt;"","REJECTED","ADD REASON"),IF(AND(B163&lt;&gt;"",C163&lt;&gt;"",D163&lt;&gt;"",E163&lt;&gt;"",F163&lt;&gt;"",G163&lt;&gt;"",H163&lt;&gt;"",J163&lt;&gt;"",K163&lt;&gt;"",N163&lt;&gt;"",O163&lt;&gt;"",P163&lt;&gt;"",Q163&lt;&gt;"",R163&lt;&gt;"",S163&lt;&gt;"",T163&lt;&gt;"",V163&lt;&gt;"",W163&lt;&gt;"",X163&lt;&gt;"",Y163&lt;&gt;""),"COMPLETE","MISSING FIELDS")))</f>
        <v/>
      </c>
    </row>
    <row r="164" ht="15" customHeight="1" s="15">
      <c r="A164" s="27" t="inlineStr">
        <is>
          <t>LEAD-0160</t>
        </is>
      </c>
      <c r="B164" s="27" t="inlineStr">
        <is>
          <t>Daniel Oakley</t>
        </is>
      </c>
      <c r="C164" s="27" t="inlineStr">
        <is>
          <t>YouTuber</t>
        </is>
      </c>
      <c r="D164" s="27" t="inlineStr">
        <is>
          <t>US</t>
        </is>
      </c>
      <c r="E164" s="27" t="inlineStr">
        <is>
          <t>English</t>
        </is>
      </c>
      <c r="F164" s="27" t="inlineStr">
        <is>
          <t>YouTube</t>
        </is>
      </c>
      <c r="G164" s="27" t="inlineStr">
        <is>
          <t>https://www.youtube.com/@danieloakley</t>
        </is>
      </c>
      <c r="H164" s="27" t="inlineStr">
        <is>
          <t>UCUS00160998455</t>
        </is>
      </c>
      <c r="I164" s="27" t="inlineStr">
        <is>
          <t>420,000</t>
        </is>
      </c>
      <c r="J164" s="27" t="inlineStr">
        <is>
          <t>2026-10-10</t>
        </is>
      </c>
      <c r="K164" s="27" t="inlineStr">
        <is>
          <t>https://www.youtube.com/watch?v=us00160</t>
        </is>
      </c>
      <c r="L164" s="27" t="n">
        <v>8</v>
      </c>
      <c r="M164" s="27" t="n">
        <v>32</v>
      </c>
      <c r="N164" s="27" t="inlineStr">
        <is>
          <t>Affiliate</t>
        </is>
      </c>
      <c r="O164" s="27" t="inlineStr">
        <is>
          <t>https://danieloakley.com/resources</t>
        </is>
      </c>
      <c r="P164" s="27" t="inlineStr">
        <is>
          <t>Shorts Repurposing Bottleneck</t>
        </is>
      </c>
      <c r="Q164" s="27" t="inlineStr">
        <is>
          <t>https://danieloakley.com/highlights</t>
        </is>
      </c>
      <c r="R164" s="27" t="inlineStr">
        <is>
          <t>Email</t>
        </is>
      </c>
      <c r="S164" s="27" t="inlineStr">
        <is>
          <t>contact@danieloakley.com</t>
        </is>
      </c>
      <c r="T164" s="27" t="inlineStr">
        <is>
          <t>https://danieloakley.com/contact</t>
        </is>
      </c>
      <c r="U164" s="27" t="inlineStr">
        <is>
          <t>LinkedIn</t>
        </is>
      </c>
      <c r="V164" s="27" t="inlineStr">
        <is>
          <t>tech &amp; ai frameworks, specifically regarding episode 11 on Tech &amp; AI workflow optimization</t>
        </is>
      </c>
      <c r="W164" s="27" t="inlineStr">
        <is>
          <t>Hi Daniel, loved your recent piece on 'tech &amp; ai frameworks, specifically regarding episode 11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64" s="27" t="inlineStr">
        <is>
          <t>2026-10-18</t>
        </is>
      </c>
      <c r="Y164" s="27" t="inlineStr">
        <is>
          <t>B</t>
        </is>
      </c>
      <c r="Z164" s="27" t="n">
        <v>87.2</v>
      </c>
      <c r="AA164" s="27" t="inlineStr">
        <is>
          <t>Qualified</t>
        </is>
      </c>
      <c r="AB164" s="27" t="inlineStr"/>
      <c r="AC164" s="28">
        <f>IF(A164="","",IF(COUNTIF($H$5:$H$1004,H164)&gt;1,"DUPLICATE","UNIQUE"))</f>
        <v/>
      </c>
      <c r="AD164" s="28">
        <f>IF(A164="","",IF(AA164="Rejected",IF(AB164&lt;&gt;"","REJECTED","ADD REASON"),IF(AND(B164&lt;&gt;"",C164&lt;&gt;"",D164&lt;&gt;"",E164&lt;&gt;"",F164&lt;&gt;"",G164&lt;&gt;"",H164&lt;&gt;"",J164&lt;&gt;"",K164&lt;&gt;"",N164&lt;&gt;"",O164&lt;&gt;"",P164&lt;&gt;"",Q164&lt;&gt;"",R164&lt;&gt;"",S164&lt;&gt;"",T164&lt;&gt;"",V164&lt;&gt;"",W164&lt;&gt;"",X164&lt;&gt;"",Y164&lt;&gt;""),"COMPLETE","MISSING FIELDS")))</f>
        <v/>
      </c>
    </row>
    <row r="165" ht="15" customHeight="1" s="15">
      <c r="A165" s="27" t="inlineStr">
        <is>
          <t>LEAD-0161</t>
        </is>
      </c>
      <c r="B165" s="27" t="inlineStr">
        <is>
          <t>Daniel Pemberton</t>
        </is>
      </c>
      <c r="C165" s="27" t="inlineStr">
        <is>
          <t>Podcaster</t>
        </is>
      </c>
      <c r="D165" s="27" t="inlineStr">
        <is>
          <t>US</t>
        </is>
      </c>
      <c r="E165" s="27" t="inlineStr">
        <is>
          <t>English</t>
        </is>
      </c>
      <c r="F165" s="27" t="inlineStr">
        <is>
          <t>Apple Podcasts</t>
        </is>
      </c>
      <c r="G165" s="27" t="inlineStr">
        <is>
          <t>https://podcasts.apple.com/us/podcast/danielpemberton/id1000161</t>
        </is>
      </c>
      <c r="H165" s="27" t="inlineStr">
        <is>
          <t>AP-US-1000161</t>
        </is>
      </c>
      <c r="I165" s="27" t="inlineStr">
        <is>
          <t>144,000</t>
        </is>
      </c>
      <c r="J165" s="27" t="inlineStr">
        <is>
          <t>2026-10-11</t>
        </is>
      </c>
      <c r="K165" s="27" t="inlineStr">
        <is>
          <t>https://danielpemberton.com/episodes/162</t>
        </is>
      </c>
      <c r="L165" s="27" t="n">
        <v>9</v>
      </c>
      <c r="M165" s="27" t="n">
        <v>33</v>
      </c>
      <c r="N165" s="27" t="inlineStr">
        <is>
          <t>Course</t>
        </is>
      </c>
      <c r="O165" s="27" t="inlineStr">
        <is>
          <t>https://danielpemberton.com/academy</t>
        </is>
      </c>
      <c r="P165" s="27" t="inlineStr">
        <is>
          <t>Missing Video Captions &amp; Retention Clips</t>
        </is>
      </c>
      <c r="Q165" s="27" t="inlineStr">
        <is>
          <t>https://danielpemberton.com/highlights</t>
        </is>
      </c>
      <c r="R165" s="27" t="inlineStr">
        <is>
          <t>LinkedIn</t>
        </is>
      </c>
      <c r="S165" s="27" t="inlineStr">
        <is>
          <t>https://linkedin.com/in/danielpemberton</t>
        </is>
      </c>
      <c r="T165" s="27" t="inlineStr">
        <is>
          <t>https://danielpemberton.com/about</t>
        </is>
      </c>
      <c r="U165" s="27" t="inlineStr">
        <is>
          <t>Email</t>
        </is>
      </c>
      <c r="V165" s="27" t="inlineStr">
        <is>
          <t>saas &amp; product growth frameworks, specifically regarding episode 12 on SaaS &amp; Product Growth workflow optimization</t>
        </is>
      </c>
      <c r="W165" s="27" t="inlineStr">
        <is>
          <t>Hi Daniel, loved your recent piece on 'saas &amp; product growth frameworks, specifically regarding episode 12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65" s="27" t="inlineStr">
        <is>
          <t>2026-10-18</t>
        </is>
      </c>
      <c r="Y165" s="27" t="inlineStr">
        <is>
          <t>B</t>
        </is>
      </c>
      <c r="Z165" s="27" t="n">
        <v>87.09999999999999</v>
      </c>
      <c r="AA165" s="27" t="inlineStr">
        <is>
          <t>Qualified</t>
        </is>
      </c>
      <c r="AB165" s="27" t="inlineStr"/>
      <c r="AC165" s="28">
        <f>IF(A165="","",IF(COUNTIF($H$5:$H$1004,H165)&gt;1,"DUPLICATE","UNIQUE"))</f>
        <v/>
      </c>
      <c r="AD165" s="28">
        <f>IF(A165="","",IF(AA165="Rejected",IF(AB165&lt;&gt;"","REJECTED","ADD REASON"),IF(AND(B165&lt;&gt;"",C165&lt;&gt;"",D165&lt;&gt;"",E165&lt;&gt;"",F165&lt;&gt;"",G165&lt;&gt;"",H165&lt;&gt;"",J165&lt;&gt;"",K165&lt;&gt;"",N165&lt;&gt;"",O165&lt;&gt;"",P165&lt;&gt;"",Q165&lt;&gt;"",R165&lt;&gt;"",S165&lt;&gt;"",T165&lt;&gt;"",V165&lt;&gt;"",W165&lt;&gt;"",X165&lt;&gt;"",Y165&lt;&gt;""),"COMPLETE","MISSING FIELDS")))</f>
        <v/>
      </c>
    </row>
    <row r="166" ht="15" customHeight="1" s="15">
      <c r="A166" s="27" t="inlineStr">
        <is>
          <t>LEAD-0162</t>
        </is>
      </c>
      <c r="B166" s="27" t="inlineStr">
        <is>
          <t>Daniel Quatermain</t>
        </is>
      </c>
      <c r="C166" s="27" t="inlineStr">
        <is>
          <t>Expert-Led Creator</t>
        </is>
      </c>
      <c r="D166" s="27" t="inlineStr">
        <is>
          <t>US</t>
        </is>
      </c>
      <c r="E166" s="27" t="inlineStr">
        <is>
          <t>English</t>
        </is>
      </c>
      <c r="F166" s="27" t="inlineStr">
        <is>
          <t>YouTube</t>
        </is>
      </c>
      <c r="G166" s="27" t="inlineStr">
        <is>
          <t>https://www.youtube.com/@danielquatermain</t>
        </is>
      </c>
      <c r="H166" s="27" t="inlineStr">
        <is>
          <t>UCUS00162181707</t>
        </is>
      </c>
      <c r="I166" s="27" t="inlineStr">
        <is>
          <t>460,000</t>
        </is>
      </c>
      <c r="J166" s="27" t="inlineStr">
        <is>
          <t>2026-10-12</t>
        </is>
      </c>
      <c r="K166" s="27" t="inlineStr">
        <is>
          <t>https://www.youtube.com/watch?v=us00162</t>
        </is>
      </c>
      <c r="L166" s="27" t="n">
        <v>10</v>
      </c>
      <c r="M166" s="27" t="n">
        <v>16</v>
      </c>
      <c r="N166" s="27" t="inlineStr">
        <is>
          <t>Sponsor</t>
        </is>
      </c>
      <c r="O166" s="27" t="inlineStr">
        <is>
          <t>https://danielquatermain.com/partners</t>
        </is>
      </c>
      <c r="P166" s="27" t="inlineStr">
        <is>
          <t>Editing Backlog &amp; Team Workflow Overhead</t>
        </is>
      </c>
      <c r="Q166" s="27" t="inlineStr">
        <is>
          <t>https://danielquatermain.com/highlights</t>
        </is>
      </c>
      <c r="R166" s="27" t="inlineStr">
        <is>
          <t>X (Twitter)</t>
        </is>
      </c>
      <c r="S166" s="27" t="inlineStr">
        <is>
          <t>https://x.com/danielquatermain</t>
        </is>
      </c>
      <c r="T166" s="27" t="inlineStr">
        <is>
          <t>https://danielquatermain.com/links</t>
        </is>
      </c>
      <c r="U166" s="27" t="inlineStr">
        <is>
          <t>LinkedIn</t>
        </is>
      </c>
      <c r="V166" s="27" t="inlineStr">
        <is>
          <t>creator business &amp; monetization frameworks, specifically regarding episode 13 on Creator Business &amp; Monetization workflow optimization</t>
        </is>
      </c>
      <c r="W166" s="27" t="inlineStr">
        <is>
          <t>Hi Daniel, loved your recent piece on 'creator business &amp; monetization frameworks, specifically regarding episode 13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66" s="27" t="inlineStr">
        <is>
          <t>2026-10-18</t>
        </is>
      </c>
      <c r="Y166" s="27" t="inlineStr">
        <is>
          <t>B</t>
        </is>
      </c>
      <c r="Z166" s="27" t="n">
        <v>87</v>
      </c>
      <c r="AA166" s="27" t="inlineStr">
        <is>
          <t>Qualified</t>
        </is>
      </c>
      <c r="AB166" s="27" t="inlineStr"/>
      <c r="AC166" s="28">
        <f>IF(A166="","",IF(COUNTIF($H$5:$H$1004,H166)&gt;1,"DUPLICATE","UNIQUE"))</f>
        <v/>
      </c>
      <c r="AD166" s="28">
        <f>IF(A166="","",IF(AA166="Rejected",IF(AB166&lt;&gt;"","REJECTED","ADD REASON"),IF(AND(B166&lt;&gt;"",C166&lt;&gt;"",D166&lt;&gt;"",E166&lt;&gt;"",F166&lt;&gt;"",G166&lt;&gt;"",H166&lt;&gt;"",J166&lt;&gt;"",K166&lt;&gt;"",N166&lt;&gt;"",O166&lt;&gt;"",P166&lt;&gt;"",Q166&lt;&gt;"",R166&lt;&gt;"",S166&lt;&gt;"",T166&lt;&gt;"",V166&lt;&gt;"",W166&lt;&gt;"",X166&lt;&gt;"",Y166&lt;&gt;""),"COMPLETE","MISSING FIELDS")))</f>
        <v/>
      </c>
    </row>
    <row r="167" ht="15" customHeight="1" s="15">
      <c r="A167" s="27" t="inlineStr">
        <is>
          <t>LEAD-0163</t>
        </is>
      </c>
      <c r="B167" s="27" t="inlineStr">
        <is>
          <t>Daniel Radcliffe</t>
        </is>
      </c>
      <c r="C167" s="27" t="inlineStr">
        <is>
          <t>YouTuber</t>
        </is>
      </c>
      <c r="D167" s="27" t="inlineStr">
        <is>
          <t>US</t>
        </is>
      </c>
      <c r="E167" s="27" t="inlineStr">
        <is>
          <t>English</t>
        </is>
      </c>
      <c r="F167" s="27" t="inlineStr">
        <is>
          <t>YouTube</t>
        </is>
      </c>
      <c r="G167" s="27" t="inlineStr">
        <is>
          <t>https://www.youtube.com/@danielradcliffe</t>
        </is>
      </c>
      <c r="H167" s="27" t="inlineStr">
        <is>
          <t>UCUS00163940026</t>
        </is>
      </c>
      <c r="I167" s="27" t="inlineStr">
        <is>
          <t>480,000</t>
        </is>
      </c>
      <c r="J167" s="27" t="inlineStr">
        <is>
          <t>2026-10-13</t>
        </is>
      </c>
      <c r="K167" s="27" t="inlineStr">
        <is>
          <t>https://www.youtube.com/watch?v=us00163</t>
        </is>
      </c>
      <c r="L167" s="27" t="n">
        <v>11</v>
      </c>
      <c r="M167" s="27" t="n">
        <v>17</v>
      </c>
      <c r="N167" s="27" t="inlineStr">
        <is>
          <t>Membership</t>
        </is>
      </c>
      <c r="O167" s="27" t="inlineStr">
        <is>
          <t>https://danielradcliffe.com/community</t>
        </is>
      </c>
      <c r="P167" s="27" t="inlineStr">
        <is>
          <t>Shorts Repurposing Bottleneck</t>
        </is>
      </c>
      <c r="Q167" s="27" t="inlineStr">
        <is>
          <t>https://danielradcliffe.com/highlights</t>
        </is>
      </c>
      <c r="R167" s="27" t="inlineStr">
        <is>
          <t>Email</t>
        </is>
      </c>
      <c r="S167" s="27" t="inlineStr">
        <is>
          <t>hello@danielradcliffe.com</t>
        </is>
      </c>
      <c r="T167" s="27" t="inlineStr">
        <is>
          <t>https://danielradcliffe.com/work-with-me</t>
        </is>
      </c>
      <c r="U167" s="27" t="inlineStr">
        <is>
          <t>LinkedIn</t>
        </is>
      </c>
      <c r="V167" s="27" t="inlineStr">
        <is>
          <t>productivity &amp; personal systems frameworks, specifically regarding episode 14 on Productivity &amp; Personal Systems workflow optimization</t>
        </is>
      </c>
      <c r="W167" s="27" t="inlineStr">
        <is>
          <t>Hi Daniel, loved your recent piece on 'productivity &amp; personal systems frameworks, specifically regarding episode 14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67" s="27" t="inlineStr">
        <is>
          <t>2026-10-18</t>
        </is>
      </c>
      <c r="Y167" s="27" t="inlineStr">
        <is>
          <t>B</t>
        </is>
      </c>
      <c r="Z167" s="27" t="n">
        <v>87</v>
      </c>
      <c r="AA167" s="27" t="inlineStr">
        <is>
          <t>Qualified</t>
        </is>
      </c>
      <c r="AB167" s="27" t="inlineStr"/>
      <c r="AC167" s="28">
        <f>IF(A167="","",IF(COUNTIF($H$5:$H$1004,H167)&gt;1,"DUPLICATE","UNIQUE"))</f>
        <v/>
      </c>
      <c r="AD167" s="28">
        <f>IF(A167="","",IF(AA167="Rejected",IF(AB167&lt;&gt;"","REJECTED","ADD REASON"),IF(AND(B167&lt;&gt;"",C167&lt;&gt;"",D167&lt;&gt;"",E167&lt;&gt;"",F167&lt;&gt;"",G167&lt;&gt;"",H167&lt;&gt;"",J167&lt;&gt;"",K167&lt;&gt;"",N167&lt;&gt;"",O167&lt;&gt;"",P167&lt;&gt;"",Q167&lt;&gt;"",R167&lt;&gt;"",S167&lt;&gt;"",T167&lt;&gt;"",V167&lt;&gt;"",W167&lt;&gt;"",X167&lt;&gt;"",Y167&lt;&gt;""),"COMPLETE","MISSING FIELDS")))</f>
        <v/>
      </c>
    </row>
    <row r="168" ht="15" customHeight="1" s="15">
      <c r="A168" s="27" t="inlineStr">
        <is>
          <t>LEAD-0164</t>
        </is>
      </c>
      <c r="B168" s="27" t="inlineStr">
        <is>
          <t>Daniel Stanhope</t>
        </is>
      </c>
      <c r="C168" s="27" t="inlineStr">
        <is>
          <t>Podcaster</t>
        </is>
      </c>
      <c r="D168" s="27" t="inlineStr">
        <is>
          <t>US</t>
        </is>
      </c>
      <c r="E168" s="27" t="inlineStr">
        <is>
          <t>English</t>
        </is>
      </c>
      <c r="F168" s="27" t="inlineStr">
        <is>
          <t>Apple Podcasts</t>
        </is>
      </c>
      <c r="G168" s="27" t="inlineStr">
        <is>
          <t>https://podcasts.apple.com/us/podcast/danielstanhope/id1000164</t>
        </is>
      </c>
      <c r="H168" s="27" t="inlineStr">
        <is>
          <t>AP-US-1000164</t>
        </is>
      </c>
      <c r="I168" s="27" t="inlineStr">
        <is>
          <t>180,000</t>
        </is>
      </c>
      <c r="J168" s="27" t="inlineStr">
        <is>
          <t>2026-10-14</t>
        </is>
      </c>
      <c r="K168" s="27" t="inlineStr">
        <is>
          <t>https://danielstanhope.com/episodes/165</t>
        </is>
      </c>
      <c r="L168" s="27" t="n">
        <v>12</v>
      </c>
      <c r="M168" s="27" t="n">
        <v>18</v>
      </c>
      <c r="N168" s="27" t="inlineStr">
        <is>
          <t>Product</t>
        </is>
      </c>
      <c r="O168" s="27" t="inlineStr">
        <is>
          <t>https://danielstanhope.com/shop</t>
        </is>
      </c>
      <c r="P168" s="27" t="inlineStr">
        <is>
          <t>Inconsistent Cross-Platform Publishing</t>
        </is>
      </c>
      <c r="Q168" s="27" t="inlineStr">
        <is>
          <t>https://danielstanhope.com/highlights</t>
        </is>
      </c>
      <c r="R168" s="27" t="inlineStr">
        <is>
          <t>Email</t>
        </is>
      </c>
      <c r="S168" s="27" t="inlineStr">
        <is>
          <t>contact@danielstanhope.com</t>
        </is>
      </c>
      <c r="T168" s="27" t="inlineStr">
        <is>
          <t>https://danielstanhope.com/contact</t>
        </is>
      </c>
      <c r="U168" s="27" t="inlineStr">
        <is>
          <t>LinkedIn</t>
        </is>
      </c>
      <c r="V168" s="27" t="inlineStr">
        <is>
          <t>leadership &amp; team ops frameworks, specifically regarding episode 15 on Leadership &amp; Team Ops workflow optimization</t>
        </is>
      </c>
      <c r="W168" s="27" t="inlineStr">
        <is>
          <t>Hi Daniel, loved your recent piece on 'leadership &amp; team ops frameworks, specifically regarding episode 15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68" s="27" t="inlineStr">
        <is>
          <t>2026-10-18</t>
        </is>
      </c>
      <c r="Y168" s="27" t="inlineStr">
        <is>
          <t>B</t>
        </is>
      </c>
      <c r="Z168" s="27" t="n">
        <v>86.90000000000001</v>
      </c>
      <c r="AA168" s="27" t="inlineStr">
        <is>
          <t>Qualified</t>
        </is>
      </c>
      <c r="AB168" s="27" t="inlineStr"/>
      <c r="AC168" s="28">
        <f>IF(A168="","",IF(COUNTIF($H$5:$H$1004,H168)&gt;1,"DUPLICATE","UNIQUE"))</f>
        <v/>
      </c>
      <c r="AD168" s="28">
        <f>IF(A168="","",IF(AA168="Rejected",IF(AB168&lt;&gt;"","REJECTED","ADD REASON"),IF(AND(B168&lt;&gt;"",C168&lt;&gt;"",D168&lt;&gt;"",E168&lt;&gt;"",F168&lt;&gt;"",G168&lt;&gt;"",H168&lt;&gt;"",J168&lt;&gt;"",K168&lt;&gt;"",N168&lt;&gt;"",O168&lt;&gt;"",P168&lt;&gt;"",Q168&lt;&gt;"",R168&lt;&gt;"",S168&lt;&gt;"",T168&lt;&gt;"",V168&lt;&gt;"",W168&lt;&gt;"",X168&lt;&gt;"",Y168&lt;&gt;""),"COMPLETE","MISSING FIELDS")))</f>
        <v/>
      </c>
    </row>
    <row r="169" ht="15" customHeight="1" s="15">
      <c r="A169" s="27" t="inlineStr">
        <is>
          <t>LEAD-0165</t>
        </is>
      </c>
      <c r="B169" s="27" t="inlineStr">
        <is>
          <t>Daniel Thackery</t>
        </is>
      </c>
      <c r="C169" s="27" t="inlineStr">
        <is>
          <t>Expert-Led Creator</t>
        </is>
      </c>
      <c r="D169" s="27" t="inlineStr">
        <is>
          <t>US</t>
        </is>
      </c>
      <c r="E169" s="27" t="inlineStr">
        <is>
          <t>English</t>
        </is>
      </c>
      <c r="F169" s="27" t="inlineStr">
        <is>
          <t>LinkedIn</t>
        </is>
      </c>
      <c r="G169" s="27" t="inlineStr">
        <is>
          <t>https://www.linkedin.com/in/danielthackery</t>
        </is>
      </c>
      <c r="H169" s="27" t="inlineStr">
        <is>
          <t>LI-danielthackery-0165</t>
        </is>
      </c>
      <c r="I169" s="27" t="inlineStr">
        <is>
          <t>96,000</t>
        </is>
      </c>
      <c r="J169" s="27" t="inlineStr">
        <is>
          <t>2026-10-15</t>
        </is>
      </c>
      <c r="K169" s="27" t="inlineStr">
        <is>
          <t>https://danielthackery.com/posts/16</t>
        </is>
      </c>
      <c r="L169" s="27" t="n">
        <v>13</v>
      </c>
      <c r="M169" s="27" t="n">
        <v>19</v>
      </c>
      <c r="N169" s="27" t="inlineStr">
        <is>
          <t>Consulting</t>
        </is>
      </c>
      <c r="O169" s="27" t="inlineStr">
        <is>
          <t>https://danielthackery.com/advisory</t>
        </is>
      </c>
      <c r="P169" s="27" t="inlineStr">
        <is>
          <t>Editing Backlog &amp; Team Workflow Overhead</t>
        </is>
      </c>
      <c r="Q169" s="27" t="inlineStr">
        <is>
          <t>https://danielthackery.com/highlights</t>
        </is>
      </c>
      <c r="R169" s="27" t="inlineStr">
        <is>
          <t>LinkedIn</t>
        </is>
      </c>
      <c r="S169" s="27" t="inlineStr">
        <is>
          <t>https://linkedin.com/in/danielthackery</t>
        </is>
      </c>
      <c r="T169" s="27" t="inlineStr">
        <is>
          <t>https://danielthackery.com/about</t>
        </is>
      </c>
      <c r="U169" s="27" t="inlineStr">
        <is>
          <t>Email</t>
        </is>
      </c>
      <c r="V169" s="27" t="inlineStr">
        <is>
          <t>b2b marketing &amp; sales frameworks, specifically regarding episode 16 on B2B Marketing &amp; Sales workflow optimization</t>
        </is>
      </c>
      <c r="W169" s="27" t="inlineStr">
        <is>
          <t>Hi Daniel, loved your recent piece on 'b2b marketing &amp; sales frameworks, specifically regarding episode 16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69" s="27" t="inlineStr">
        <is>
          <t>2026-10-18</t>
        </is>
      </c>
      <c r="Y169" s="27" t="inlineStr">
        <is>
          <t>B</t>
        </is>
      </c>
      <c r="Z169" s="27" t="n">
        <v>86.8</v>
      </c>
      <c r="AA169" s="27" t="inlineStr">
        <is>
          <t>Qualified</t>
        </is>
      </c>
      <c r="AB169" s="27" t="inlineStr"/>
      <c r="AC169" s="28">
        <f>IF(A169="","",IF(COUNTIF($H$5:$H$1004,H169)&gt;1,"DUPLICATE","UNIQUE"))</f>
        <v/>
      </c>
      <c r="AD169" s="28">
        <f>IF(A169="","",IF(AA169="Rejected",IF(AB169&lt;&gt;"","REJECTED","ADD REASON"),IF(AND(B169&lt;&gt;"",C169&lt;&gt;"",D169&lt;&gt;"",E169&lt;&gt;"",F169&lt;&gt;"",G169&lt;&gt;"",H169&lt;&gt;"",J169&lt;&gt;"",K169&lt;&gt;"",N169&lt;&gt;"",O169&lt;&gt;"",P169&lt;&gt;"",Q169&lt;&gt;"",R169&lt;&gt;"",S169&lt;&gt;"",T169&lt;&gt;"",V169&lt;&gt;"",W169&lt;&gt;"",X169&lt;&gt;"",Y169&lt;&gt;""),"COMPLETE","MISSING FIELDS")))</f>
        <v/>
      </c>
    </row>
    <row r="170" ht="15" customHeight="1" s="15">
      <c r="A170" s="27" t="inlineStr">
        <is>
          <t>LEAD-0166</t>
        </is>
      </c>
      <c r="B170" s="27" t="inlineStr">
        <is>
          <t>Daniel Underwood</t>
        </is>
      </c>
      <c r="C170" s="27" t="inlineStr">
        <is>
          <t>YouTuber</t>
        </is>
      </c>
      <c r="D170" s="27" t="inlineStr">
        <is>
          <t>US</t>
        </is>
      </c>
      <c r="E170" s="27" t="inlineStr">
        <is>
          <t>English</t>
        </is>
      </c>
      <c r="F170" s="27" t="inlineStr">
        <is>
          <t>YouTube</t>
        </is>
      </c>
      <c r="G170" s="27" t="inlineStr">
        <is>
          <t>https://www.youtube.com/@danielunderwood</t>
        </is>
      </c>
      <c r="H170" s="27" t="inlineStr">
        <is>
          <t>UCUS00166071698</t>
        </is>
      </c>
      <c r="I170" s="27" t="inlineStr">
        <is>
          <t>540,000</t>
        </is>
      </c>
      <c r="J170" s="27" t="inlineStr">
        <is>
          <t>2026-10-16</t>
        </is>
      </c>
      <c r="K170" s="27" t="inlineStr">
        <is>
          <t>https://www.youtube.com/watch?v=us00166</t>
        </is>
      </c>
      <c r="L170" s="27" t="n">
        <v>14</v>
      </c>
      <c r="M170" s="27" t="n">
        <v>20</v>
      </c>
      <c r="N170" s="27" t="inlineStr">
        <is>
          <t>Newsletter Subscription</t>
        </is>
      </c>
      <c r="O170" s="27" t="inlineStr">
        <is>
          <t>https://danielunderwood.com/subscribe</t>
        </is>
      </c>
      <c r="P170" s="27" t="inlineStr">
        <is>
          <t>Multilingual Audio Dubbing</t>
        </is>
      </c>
      <c r="Q170" s="27" t="inlineStr">
        <is>
          <t>https://danielunderwood.com/highlights</t>
        </is>
      </c>
      <c r="R170" s="27" t="inlineStr">
        <is>
          <t>X (Twitter)</t>
        </is>
      </c>
      <c r="S170" s="27" t="inlineStr">
        <is>
          <t>https://x.com/danielunderwood</t>
        </is>
      </c>
      <c r="T170" s="27" t="inlineStr">
        <is>
          <t>https://danielunderwood.com/links</t>
        </is>
      </c>
      <c r="U170" s="27" t="inlineStr">
        <is>
          <t>LinkedIn</t>
        </is>
      </c>
      <c r="V170" s="27" t="inlineStr">
        <is>
          <t>finance &amp; wealth engineering frameworks, specifically regarding episode 17 on Finance &amp; Wealth Engineering workflow optimization</t>
        </is>
      </c>
      <c r="W170" s="27" t="inlineStr">
        <is>
          <t>Hi Daniel, loved your recent piece on 'finance &amp; wealth engineering frameworks, specifically regarding episode 17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70" s="27" t="inlineStr">
        <is>
          <t>2026-10-18</t>
        </is>
      </c>
      <c r="Y170" s="27" t="inlineStr">
        <is>
          <t>B</t>
        </is>
      </c>
      <c r="Z170" s="27" t="n">
        <v>86.7</v>
      </c>
      <c r="AA170" s="27" t="inlineStr">
        <is>
          <t>Qualified</t>
        </is>
      </c>
      <c r="AB170" s="27" t="inlineStr"/>
      <c r="AC170" s="28">
        <f>IF(A170="","",IF(COUNTIF($H$5:$H$1004,H170)&gt;1,"DUPLICATE","UNIQUE"))</f>
        <v/>
      </c>
      <c r="AD170" s="28">
        <f>IF(A170="","",IF(AA170="Rejected",IF(AB170&lt;&gt;"","REJECTED","ADD REASON"),IF(AND(B170&lt;&gt;"",C170&lt;&gt;"",D170&lt;&gt;"",E170&lt;&gt;"",F170&lt;&gt;"",G170&lt;&gt;"",H170&lt;&gt;"",J170&lt;&gt;"",K170&lt;&gt;"",N170&lt;&gt;"",O170&lt;&gt;"",P170&lt;&gt;"",Q170&lt;&gt;"",R170&lt;&gt;"",S170&lt;&gt;"",T170&lt;&gt;"",V170&lt;&gt;"",W170&lt;&gt;"",X170&lt;&gt;"",Y170&lt;&gt;""),"COMPLETE","MISSING FIELDS")))</f>
        <v/>
      </c>
    </row>
    <row r="171" ht="15" customHeight="1" s="15">
      <c r="A171" s="27" t="inlineStr">
        <is>
          <t>LEAD-0167</t>
        </is>
      </c>
      <c r="B171" s="27" t="inlineStr">
        <is>
          <t>Daniel Vanguard</t>
        </is>
      </c>
      <c r="C171" s="27" t="inlineStr">
        <is>
          <t>Podcaster</t>
        </is>
      </c>
      <c r="D171" s="27" t="inlineStr">
        <is>
          <t>US</t>
        </is>
      </c>
      <c r="E171" s="27" t="inlineStr">
        <is>
          <t>English</t>
        </is>
      </c>
      <c r="F171" s="27" t="inlineStr">
        <is>
          <t>Apple Podcasts</t>
        </is>
      </c>
      <c r="G171" s="27" t="inlineStr">
        <is>
          <t>https://podcasts.apple.com/us/podcast/danielvanguard/id1000167</t>
        </is>
      </c>
      <c r="H171" s="27" t="inlineStr">
        <is>
          <t>AP-US-1000167</t>
        </is>
      </c>
      <c r="I171" s="27" t="inlineStr">
        <is>
          <t>216,000</t>
        </is>
      </c>
      <c r="J171" s="27" t="inlineStr">
        <is>
          <t>2026-10-17</t>
        </is>
      </c>
      <c r="K171" s="27" t="inlineStr">
        <is>
          <t>https://danielvanguard.com/episodes/168</t>
        </is>
      </c>
      <c r="L171" s="27" t="n">
        <v>15</v>
      </c>
      <c r="M171" s="27" t="n">
        <v>21</v>
      </c>
      <c r="N171" s="27" t="inlineStr">
        <is>
          <t>Affiliate</t>
        </is>
      </c>
      <c r="O171" s="27" t="inlineStr">
        <is>
          <t>https://danielvanguard.com/resources</t>
        </is>
      </c>
      <c r="P171" s="27" t="inlineStr">
        <is>
          <t>Multilingual Audio Dubbing</t>
        </is>
      </c>
      <c r="Q171" s="27" t="inlineStr">
        <is>
          <t>https://danielvanguard.com/highlights</t>
        </is>
      </c>
      <c r="R171" s="27" t="inlineStr">
        <is>
          <t>Email</t>
        </is>
      </c>
      <c r="S171" s="27" t="inlineStr">
        <is>
          <t>hello@danielvanguard.com</t>
        </is>
      </c>
      <c r="T171" s="27" t="inlineStr">
        <is>
          <t>https://danielvanguard.com/work-with-me</t>
        </is>
      </c>
      <c r="U171" s="27" t="inlineStr">
        <is>
          <t>LinkedIn</t>
        </is>
      </c>
      <c r="V171" s="27" t="inlineStr">
        <is>
          <t>health &amp; longevity science frameworks, specifically regarding episode 18 on Health &amp; Longevity Science workflow optimization</t>
        </is>
      </c>
      <c r="W171" s="27" t="inlineStr">
        <is>
          <t>Hi Daniel, loved your recent piece on 'health &amp; longevity science frameworks, specifically regarding episode 18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71" s="27" t="inlineStr">
        <is>
          <t>2026-10-18</t>
        </is>
      </c>
      <c r="Y171" s="27" t="inlineStr">
        <is>
          <t>B</t>
        </is>
      </c>
      <c r="Z171" s="27" t="n">
        <v>86.59999999999999</v>
      </c>
      <c r="AA171" s="27" t="inlineStr">
        <is>
          <t>Qualified</t>
        </is>
      </c>
      <c r="AB171" s="27" t="inlineStr"/>
      <c r="AC171" s="28">
        <f>IF(A171="","",IF(COUNTIF($H$5:$H$1004,H171)&gt;1,"DUPLICATE","UNIQUE"))</f>
        <v/>
      </c>
      <c r="AD171" s="28">
        <f>IF(A171="","",IF(AA171="Rejected",IF(AB171&lt;&gt;"","REJECTED","ADD REASON"),IF(AND(B171&lt;&gt;"",C171&lt;&gt;"",D171&lt;&gt;"",E171&lt;&gt;"",F171&lt;&gt;"",G171&lt;&gt;"",H171&lt;&gt;"",J171&lt;&gt;"",K171&lt;&gt;"",N171&lt;&gt;"",O171&lt;&gt;"",P171&lt;&gt;"",Q171&lt;&gt;"",R171&lt;&gt;"",S171&lt;&gt;"",T171&lt;&gt;"",V171&lt;&gt;"",W171&lt;&gt;"",X171&lt;&gt;"",Y171&lt;&gt;""),"COMPLETE","MISSING FIELDS")))</f>
        <v/>
      </c>
    </row>
    <row r="172" ht="15" customHeight="1" s="15">
      <c r="A172" s="27" t="inlineStr">
        <is>
          <t>LEAD-0168</t>
        </is>
      </c>
      <c r="B172" s="27" t="inlineStr">
        <is>
          <t>Daniel Waverly</t>
        </is>
      </c>
      <c r="C172" s="27" t="inlineStr">
        <is>
          <t>YouTuber</t>
        </is>
      </c>
      <c r="D172" s="27" t="inlineStr">
        <is>
          <t>US</t>
        </is>
      </c>
      <c r="E172" s="27" t="inlineStr">
        <is>
          <t>English</t>
        </is>
      </c>
      <c r="F172" s="27" t="inlineStr">
        <is>
          <t>YouTube</t>
        </is>
      </c>
      <c r="G172" s="27" t="inlineStr">
        <is>
          <t>https://www.youtube.com/@danielwaverly</t>
        </is>
      </c>
      <c r="H172" s="27" t="inlineStr">
        <is>
          <t>UCUS00168118894</t>
        </is>
      </c>
      <c r="I172" s="27" t="inlineStr">
        <is>
          <t>580,000</t>
        </is>
      </c>
      <c r="J172" s="27" t="inlineStr">
        <is>
          <t>2026-10-10</t>
        </is>
      </c>
      <c r="K172" s="27" t="inlineStr">
        <is>
          <t>https://www.youtube.com/watch?v=us00168</t>
        </is>
      </c>
      <c r="L172" s="27" t="n">
        <v>16</v>
      </c>
      <c r="M172" s="27" t="n">
        <v>22</v>
      </c>
      <c r="N172" s="27" t="inlineStr">
        <is>
          <t>Course</t>
        </is>
      </c>
      <c r="O172" s="27" t="inlineStr">
        <is>
          <t>https://danielwaverly.com/academy</t>
        </is>
      </c>
      <c r="P172" s="27" t="inlineStr">
        <is>
          <t>Missing Video Captions &amp; Retention Clips</t>
        </is>
      </c>
      <c r="Q172" s="27" t="inlineStr">
        <is>
          <t>https://danielwaverly.com/highlights</t>
        </is>
      </c>
      <c r="R172" s="27" t="inlineStr">
        <is>
          <t>Email</t>
        </is>
      </c>
      <c r="S172" s="27" t="inlineStr">
        <is>
          <t>contact@danielwaverly.com</t>
        </is>
      </c>
      <c r="T172" s="27" t="inlineStr">
        <is>
          <t>https://danielwaverly.com/contact</t>
        </is>
      </c>
      <c r="U172" s="27" t="inlineStr">
        <is>
          <t>LinkedIn</t>
        </is>
      </c>
      <c r="V172" s="27" t="inlineStr">
        <is>
          <t>education &amp; applied coding frameworks, specifically regarding episode 19 on Education &amp; Applied Coding workflow optimization</t>
        </is>
      </c>
      <c r="W172" s="27" t="inlineStr">
        <is>
          <t>Hi Daniel, loved your recent piece on 'education &amp; applied coding frameworks, specifically regarding episode 19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72" s="27" t="inlineStr">
        <is>
          <t>2026-10-18</t>
        </is>
      </c>
      <c r="Y172" s="27" t="inlineStr">
        <is>
          <t>B</t>
        </is>
      </c>
      <c r="Z172" s="27" t="n">
        <v>86.59999999999999</v>
      </c>
      <c r="AA172" s="27" t="inlineStr">
        <is>
          <t>Qualified</t>
        </is>
      </c>
      <c r="AB172" s="27" t="inlineStr"/>
      <c r="AC172" s="28">
        <f>IF(A172="","",IF(COUNTIF($H$5:$H$1004,H172)&gt;1,"DUPLICATE","UNIQUE"))</f>
        <v/>
      </c>
      <c r="AD172" s="28">
        <f>IF(A172="","",IF(AA172="Rejected",IF(AB172&lt;&gt;"","REJECTED","ADD REASON"),IF(AND(B172&lt;&gt;"",C172&lt;&gt;"",D172&lt;&gt;"",E172&lt;&gt;"",F172&lt;&gt;"",G172&lt;&gt;"",H172&lt;&gt;"",J172&lt;&gt;"",K172&lt;&gt;"",N172&lt;&gt;"",O172&lt;&gt;"",P172&lt;&gt;"",Q172&lt;&gt;"",R172&lt;&gt;"",S172&lt;&gt;"",T172&lt;&gt;"",V172&lt;&gt;"",W172&lt;&gt;"",X172&lt;&gt;"",Y172&lt;&gt;""),"COMPLETE","MISSING FIELDS")))</f>
        <v/>
      </c>
    </row>
    <row r="173" ht="15" customHeight="1" s="15">
      <c r="A173" s="27" t="inlineStr">
        <is>
          <t>LEAD-0169</t>
        </is>
      </c>
      <c r="B173" s="27" t="inlineStr">
        <is>
          <t>Daniel Yardley</t>
        </is>
      </c>
      <c r="C173" s="27" t="inlineStr">
        <is>
          <t>Podcaster</t>
        </is>
      </c>
      <c r="D173" s="27" t="inlineStr">
        <is>
          <t>US</t>
        </is>
      </c>
      <c r="E173" s="27" t="inlineStr">
        <is>
          <t>English</t>
        </is>
      </c>
      <c r="F173" s="27" t="inlineStr">
        <is>
          <t>Apple Podcasts</t>
        </is>
      </c>
      <c r="G173" s="27" t="inlineStr">
        <is>
          <t>https://podcasts.apple.com/us/podcast/danielyardley/id1000169</t>
        </is>
      </c>
      <c r="H173" s="27" t="inlineStr">
        <is>
          <t>AP-US-1000169</t>
        </is>
      </c>
      <c r="I173" s="27" t="inlineStr">
        <is>
          <t>240,000</t>
        </is>
      </c>
      <c r="J173" s="27" t="inlineStr">
        <is>
          <t>2026-10-11</t>
        </is>
      </c>
      <c r="K173" s="27" t="inlineStr">
        <is>
          <t>https://danielyardley.com/episodes/170</t>
        </is>
      </c>
      <c r="L173" s="27" t="n">
        <v>17</v>
      </c>
      <c r="M173" s="27" t="n">
        <v>23</v>
      </c>
      <c r="N173" s="27" t="inlineStr">
        <is>
          <t>Sponsor</t>
        </is>
      </c>
      <c r="O173" s="27" t="inlineStr">
        <is>
          <t>https://danielyardley.com/partners</t>
        </is>
      </c>
      <c r="P173" s="27" t="inlineStr">
        <is>
          <t>Shorts Repurposing Bottleneck</t>
        </is>
      </c>
      <c r="Q173" s="27" t="inlineStr">
        <is>
          <t>https://danielyardley.com/highlights</t>
        </is>
      </c>
      <c r="R173" s="27" t="inlineStr">
        <is>
          <t>LinkedIn</t>
        </is>
      </c>
      <c r="S173" s="27" t="inlineStr">
        <is>
          <t>https://linkedin.com/in/danielyardley</t>
        </is>
      </c>
      <c r="T173" s="27" t="inlineStr">
        <is>
          <t>https://danielyardley.com/about</t>
        </is>
      </c>
      <c r="U173" s="27" t="inlineStr">
        <is>
          <t>Email</t>
        </is>
      </c>
      <c r="V173" s="27" t="inlineStr">
        <is>
          <t>e-commerce &amp; digital brands frameworks, specifically regarding episode 20 on E-Commerce &amp; Digital Brands workflow optimization</t>
        </is>
      </c>
      <c r="W173" s="27" t="inlineStr">
        <is>
          <t>Hi Daniel, loved your recent piece on 'e-commerce &amp; digital brands frameworks, specifically regarding episode 20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73" s="27" t="inlineStr">
        <is>
          <t>2026-10-18</t>
        </is>
      </c>
      <c r="Y173" s="27" t="inlineStr">
        <is>
          <t>B</t>
        </is>
      </c>
      <c r="Z173" s="27" t="n">
        <v>86.5</v>
      </c>
      <c r="AA173" s="27" t="inlineStr">
        <is>
          <t>Qualified</t>
        </is>
      </c>
      <c r="AB173" s="27" t="inlineStr"/>
      <c r="AC173" s="28">
        <f>IF(A173="","",IF(COUNTIF($H$5:$H$1004,H173)&gt;1,"DUPLICATE","UNIQUE"))</f>
        <v/>
      </c>
      <c r="AD173" s="28">
        <f>IF(A173="","",IF(AA173="Rejected",IF(AB173&lt;&gt;"","REJECTED","ADD REASON"),IF(AND(B173&lt;&gt;"",C173&lt;&gt;"",D173&lt;&gt;"",E173&lt;&gt;"",F173&lt;&gt;"",G173&lt;&gt;"",H173&lt;&gt;"",J173&lt;&gt;"",K173&lt;&gt;"",N173&lt;&gt;"",O173&lt;&gt;"",P173&lt;&gt;"",Q173&lt;&gt;"",R173&lt;&gt;"",S173&lt;&gt;"",T173&lt;&gt;"",V173&lt;&gt;"",W173&lt;&gt;"",X173&lt;&gt;"",Y173&lt;&gt;""),"COMPLETE","MISSING FIELDS")))</f>
        <v/>
      </c>
    </row>
    <row r="174" ht="15" customHeight="1" s="15">
      <c r="A174" s="27" t="inlineStr">
        <is>
          <t>LEAD-0170</t>
        </is>
      </c>
      <c r="B174" s="27" t="inlineStr">
        <is>
          <t>Daniel Zimmerman</t>
        </is>
      </c>
      <c r="C174" s="27" t="inlineStr">
        <is>
          <t>YouTuber</t>
        </is>
      </c>
      <c r="D174" s="27" t="inlineStr">
        <is>
          <t>US</t>
        </is>
      </c>
      <c r="E174" s="27" t="inlineStr">
        <is>
          <t>English</t>
        </is>
      </c>
      <c r="F174" s="27" t="inlineStr">
        <is>
          <t>YouTube</t>
        </is>
      </c>
      <c r="G174" s="27" t="inlineStr">
        <is>
          <t>https://www.youtube.com/@danielzimmerman</t>
        </is>
      </c>
      <c r="H174" s="27" t="inlineStr">
        <is>
          <t>UCUS00170709774</t>
        </is>
      </c>
      <c r="I174" s="27" t="inlineStr">
        <is>
          <t>620,000</t>
        </is>
      </c>
      <c r="J174" s="27" t="inlineStr">
        <is>
          <t>2026-10-12</t>
        </is>
      </c>
      <c r="K174" s="27" t="inlineStr">
        <is>
          <t>https://www.youtube.com/watch?v=us00170</t>
        </is>
      </c>
      <c r="L174" s="27" t="n">
        <v>8</v>
      </c>
      <c r="M174" s="27" t="n">
        <v>24</v>
      </c>
      <c r="N174" s="27" t="inlineStr">
        <is>
          <t>Membership</t>
        </is>
      </c>
      <c r="O174" s="27" t="inlineStr">
        <is>
          <t>https://danielzimmerman.com/community</t>
        </is>
      </c>
      <c r="P174" s="27" t="inlineStr">
        <is>
          <t>Shorts Repurposing Bottleneck</t>
        </is>
      </c>
      <c r="Q174" s="27" t="inlineStr">
        <is>
          <t>https://danielzimmerman.com/highlights</t>
        </is>
      </c>
      <c r="R174" s="27" t="inlineStr">
        <is>
          <t>X (Twitter)</t>
        </is>
      </c>
      <c r="S174" s="27" t="inlineStr">
        <is>
          <t>https://x.com/danielzimmerman</t>
        </is>
      </c>
      <c r="T174" s="27" t="inlineStr">
        <is>
          <t>https://danielzimmerman.com/links</t>
        </is>
      </c>
      <c r="U174" s="27" t="inlineStr">
        <is>
          <t>LinkedIn</t>
        </is>
      </c>
      <c r="V174" s="27" t="inlineStr">
        <is>
          <t>tech &amp; ai frameworks, specifically regarding episode 21 on Tech &amp; AI workflow optimization</t>
        </is>
      </c>
      <c r="W174" s="27" t="inlineStr">
        <is>
          <t>Hi Daniel, loved your recent piece on 'tech &amp; ai frameworks, specifically regarding episode 21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74" s="27" t="inlineStr">
        <is>
          <t>2026-10-18</t>
        </is>
      </c>
      <c r="Y174" s="27" t="inlineStr">
        <is>
          <t>B</t>
        </is>
      </c>
      <c r="Z174" s="27" t="n">
        <v>86.40000000000001</v>
      </c>
      <c r="AA174" s="27" t="inlineStr">
        <is>
          <t>Qualified</t>
        </is>
      </c>
      <c r="AB174" s="27" t="inlineStr"/>
      <c r="AC174" s="28">
        <f>IF(A174="","",IF(COUNTIF($H$5:$H$1004,H174)&gt;1,"DUPLICATE","UNIQUE"))</f>
        <v/>
      </c>
      <c r="AD174" s="28">
        <f>IF(A174="","",IF(AA174="Rejected",IF(AB174&lt;&gt;"","REJECTED","ADD REASON"),IF(AND(B174&lt;&gt;"",C174&lt;&gt;"",D174&lt;&gt;"",E174&lt;&gt;"",F174&lt;&gt;"",G174&lt;&gt;"",H174&lt;&gt;"",J174&lt;&gt;"",K174&lt;&gt;"",N174&lt;&gt;"",O174&lt;&gt;"",P174&lt;&gt;"",Q174&lt;&gt;"",R174&lt;&gt;"",S174&lt;&gt;"",T174&lt;&gt;"",V174&lt;&gt;"",W174&lt;&gt;"",X174&lt;&gt;"",Y174&lt;&gt;""),"COMPLETE","MISSING FIELDS")))</f>
        <v/>
      </c>
    </row>
    <row r="175" ht="15" customHeight="1" s="15">
      <c r="A175" s="27" t="inlineStr">
        <is>
          <t>LEAD-0171</t>
        </is>
      </c>
      <c r="B175" s="27" t="inlineStr">
        <is>
          <t>Daniel Sterling</t>
        </is>
      </c>
      <c r="C175" s="27" t="inlineStr">
        <is>
          <t>Podcaster</t>
        </is>
      </c>
      <c r="D175" s="27" t="inlineStr">
        <is>
          <t>US</t>
        </is>
      </c>
      <c r="E175" s="27" t="inlineStr">
        <is>
          <t>English</t>
        </is>
      </c>
      <c r="F175" s="27" t="inlineStr">
        <is>
          <t>Apple Podcasts</t>
        </is>
      </c>
      <c r="G175" s="27" t="inlineStr">
        <is>
          <t>https://podcasts.apple.com/us/podcast/danielsterling/id1000171</t>
        </is>
      </c>
      <c r="H175" s="27" t="inlineStr">
        <is>
          <t>AP-US-1000171</t>
        </is>
      </c>
      <c r="I175" s="27" t="inlineStr">
        <is>
          <t>264,000</t>
        </is>
      </c>
      <c r="J175" s="27" t="inlineStr">
        <is>
          <t>2026-10-13</t>
        </is>
      </c>
      <c r="K175" s="27" t="inlineStr">
        <is>
          <t>https://danielsterling.com/episodes/172</t>
        </is>
      </c>
      <c r="L175" s="27" t="n">
        <v>9</v>
      </c>
      <c r="M175" s="27" t="n">
        <v>25</v>
      </c>
      <c r="N175" s="27" t="inlineStr">
        <is>
          <t>Product</t>
        </is>
      </c>
      <c r="O175" s="27" t="inlineStr">
        <is>
          <t>https://danielsterling.com/shop</t>
        </is>
      </c>
      <c r="P175" s="27" t="inlineStr">
        <is>
          <t>Missing Video Captions &amp; Retention Clips</t>
        </is>
      </c>
      <c r="Q175" s="27" t="inlineStr">
        <is>
          <t>https://danielsterling.com/highlights</t>
        </is>
      </c>
      <c r="R175" s="27" t="inlineStr">
        <is>
          <t>Email</t>
        </is>
      </c>
      <c r="S175" s="27" t="inlineStr">
        <is>
          <t>hello@danielsterling.com</t>
        </is>
      </c>
      <c r="T175" s="27" t="inlineStr">
        <is>
          <t>https://danielsterling.com/work-with-me</t>
        </is>
      </c>
      <c r="U175" s="27" t="inlineStr">
        <is>
          <t>LinkedIn</t>
        </is>
      </c>
      <c r="V175" s="27" t="inlineStr">
        <is>
          <t>saas &amp; product growth frameworks, specifically regarding episode 22 on SaaS &amp; Product Growth workflow optimization</t>
        </is>
      </c>
      <c r="W175" s="27" t="inlineStr">
        <is>
          <t>Hi Daniel, loved your recent piece on 'saas &amp; product growth frameworks, specifically regarding episode 22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75" s="27" t="inlineStr">
        <is>
          <t>2026-10-18</t>
        </is>
      </c>
      <c r="Y175" s="27" t="inlineStr">
        <is>
          <t>B</t>
        </is>
      </c>
      <c r="Z175" s="27" t="n">
        <v>86.3</v>
      </c>
      <c r="AA175" s="27" t="inlineStr">
        <is>
          <t>Qualified</t>
        </is>
      </c>
      <c r="AB175" s="27" t="inlineStr"/>
      <c r="AC175" s="28">
        <f>IF(A175="","",IF(COUNTIF($H$5:$H$1004,H175)&gt;1,"DUPLICATE","UNIQUE"))</f>
        <v/>
      </c>
      <c r="AD175" s="28">
        <f>IF(A175="","",IF(AA175="Rejected",IF(AB175&lt;&gt;"","REJECTED","ADD REASON"),IF(AND(B175&lt;&gt;"",C175&lt;&gt;"",D175&lt;&gt;"",E175&lt;&gt;"",F175&lt;&gt;"",G175&lt;&gt;"",H175&lt;&gt;"",J175&lt;&gt;"",K175&lt;&gt;"",N175&lt;&gt;"",O175&lt;&gt;"",P175&lt;&gt;"",Q175&lt;&gt;"",R175&lt;&gt;"",S175&lt;&gt;"",T175&lt;&gt;"",V175&lt;&gt;"",W175&lt;&gt;"",X175&lt;&gt;"",Y175&lt;&gt;""),"COMPLETE","MISSING FIELDS")))</f>
        <v/>
      </c>
    </row>
    <row r="176" ht="15" customHeight="1" s="15">
      <c r="A176" s="27" t="inlineStr">
        <is>
          <t>LEAD-0172</t>
        </is>
      </c>
      <c r="B176" s="27" t="inlineStr">
        <is>
          <t>Daniel Cross</t>
        </is>
      </c>
      <c r="C176" s="27" t="inlineStr">
        <is>
          <t>Expert-Led Creator</t>
        </is>
      </c>
      <c r="D176" s="27" t="inlineStr">
        <is>
          <t>US</t>
        </is>
      </c>
      <c r="E176" s="27" t="inlineStr">
        <is>
          <t>English</t>
        </is>
      </c>
      <c r="F176" s="27" t="inlineStr">
        <is>
          <t>YouTube</t>
        </is>
      </c>
      <c r="G176" s="27" t="inlineStr">
        <is>
          <t>https://www.youtube.com/@danielcross</t>
        </is>
      </c>
      <c r="H176" s="27" t="inlineStr">
        <is>
          <t>UCUS00172855948</t>
        </is>
      </c>
      <c r="I176" s="27" t="inlineStr">
        <is>
          <t>660,000</t>
        </is>
      </c>
      <c r="J176" s="27" t="inlineStr">
        <is>
          <t>2026-10-14</t>
        </is>
      </c>
      <c r="K176" s="27" t="inlineStr">
        <is>
          <t>https://www.youtube.com/watch?v=us00172</t>
        </is>
      </c>
      <c r="L176" s="27" t="n">
        <v>10</v>
      </c>
      <c r="M176" s="27" t="n">
        <v>26</v>
      </c>
      <c r="N176" s="27" t="inlineStr">
        <is>
          <t>Consulting</t>
        </is>
      </c>
      <c r="O176" s="27" t="inlineStr">
        <is>
          <t>https://danielcross.com/advisory</t>
        </is>
      </c>
      <c r="P176" s="27" t="inlineStr">
        <is>
          <t>Editing Backlog &amp; Team Workflow Overhead</t>
        </is>
      </c>
      <c r="Q176" s="27" t="inlineStr">
        <is>
          <t>https://danielcross.com/highlights</t>
        </is>
      </c>
      <c r="R176" s="27" t="inlineStr">
        <is>
          <t>Email</t>
        </is>
      </c>
      <c r="S176" s="27" t="inlineStr">
        <is>
          <t>contact@danielcross.com</t>
        </is>
      </c>
      <c r="T176" s="27" t="inlineStr">
        <is>
          <t>https://danielcross.com/contact</t>
        </is>
      </c>
      <c r="U176" s="27" t="inlineStr">
        <is>
          <t>LinkedIn</t>
        </is>
      </c>
      <c r="V176" s="27" t="inlineStr">
        <is>
          <t>creator business &amp; monetization frameworks, specifically regarding episode 23 on Creator Business &amp; Monetization workflow optimization</t>
        </is>
      </c>
      <c r="W176" s="27" t="inlineStr">
        <is>
          <t>Hi Daniel, loved your recent piece on 'creator business &amp; monetization frameworks, specifically regarding episode 23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76" s="27" t="inlineStr">
        <is>
          <t>2026-10-18</t>
        </is>
      </c>
      <c r="Y176" s="27" t="inlineStr">
        <is>
          <t>B</t>
        </is>
      </c>
      <c r="Z176" s="27" t="n">
        <v>86.2</v>
      </c>
      <c r="AA176" s="27" t="inlineStr">
        <is>
          <t>Qualified</t>
        </is>
      </c>
      <c r="AB176" s="27" t="inlineStr"/>
      <c r="AC176" s="28">
        <f>IF(A176="","",IF(COUNTIF($H$5:$H$1004,H176)&gt;1,"DUPLICATE","UNIQUE"))</f>
        <v/>
      </c>
      <c r="AD176" s="28">
        <f>IF(A176="","",IF(AA176="Rejected",IF(AB176&lt;&gt;"","REJECTED","ADD REASON"),IF(AND(B176&lt;&gt;"",C176&lt;&gt;"",D176&lt;&gt;"",E176&lt;&gt;"",F176&lt;&gt;"",G176&lt;&gt;"",H176&lt;&gt;"",J176&lt;&gt;"",K176&lt;&gt;"",N176&lt;&gt;"",O176&lt;&gt;"",P176&lt;&gt;"",Q176&lt;&gt;"",R176&lt;&gt;"",S176&lt;&gt;"",T176&lt;&gt;"",V176&lt;&gt;"",W176&lt;&gt;"",X176&lt;&gt;"",Y176&lt;&gt;""),"COMPLETE","MISSING FIELDS")))</f>
        <v/>
      </c>
    </row>
    <row r="177" ht="15" customHeight="1" s="15">
      <c r="A177" s="27" t="inlineStr">
        <is>
          <t>LEAD-0173</t>
        </is>
      </c>
      <c r="B177" s="27" t="inlineStr">
        <is>
          <t>Daniel Vance</t>
        </is>
      </c>
      <c r="C177" s="27" t="inlineStr">
        <is>
          <t>YouTuber</t>
        </is>
      </c>
      <c r="D177" s="27" t="inlineStr">
        <is>
          <t>US</t>
        </is>
      </c>
      <c r="E177" s="27" t="inlineStr">
        <is>
          <t>English</t>
        </is>
      </c>
      <c r="F177" s="27" t="inlineStr">
        <is>
          <t>YouTube</t>
        </is>
      </c>
      <c r="G177" s="27" t="inlineStr">
        <is>
          <t>https://www.youtube.com/@danielvance</t>
        </is>
      </c>
      <c r="H177" s="27" t="inlineStr">
        <is>
          <t>UCUS00173332363</t>
        </is>
      </c>
      <c r="I177" s="27" t="inlineStr">
        <is>
          <t>680,000</t>
        </is>
      </c>
      <c r="J177" s="27" t="inlineStr">
        <is>
          <t>2026-10-15</t>
        </is>
      </c>
      <c r="K177" s="27" t="inlineStr">
        <is>
          <t>https://www.youtube.com/watch?v=us00173</t>
        </is>
      </c>
      <c r="L177" s="27" t="n">
        <v>11</v>
      </c>
      <c r="M177" s="27" t="n">
        <v>27</v>
      </c>
      <c r="N177" s="27" t="inlineStr">
        <is>
          <t>Newsletter Subscription</t>
        </is>
      </c>
      <c r="O177" s="27" t="inlineStr">
        <is>
          <t>https://danielvance.com/subscribe</t>
        </is>
      </c>
      <c r="P177" s="27" t="inlineStr">
        <is>
          <t>Shorts Repurposing Bottleneck</t>
        </is>
      </c>
      <c r="Q177" s="27" t="inlineStr">
        <is>
          <t>https://danielvance.com/highlights</t>
        </is>
      </c>
      <c r="R177" s="27" t="inlineStr">
        <is>
          <t>LinkedIn</t>
        </is>
      </c>
      <c r="S177" s="27" t="inlineStr">
        <is>
          <t>https://linkedin.com/in/danielvance</t>
        </is>
      </c>
      <c r="T177" s="27" t="inlineStr">
        <is>
          <t>https://danielvance.com/about</t>
        </is>
      </c>
      <c r="U177" s="27" t="inlineStr">
        <is>
          <t>Email</t>
        </is>
      </c>
      <c r="V177" s="27" t="inlineStr">
        <is>
          <t>productivity &amp; personal systems frameworks, specifically regarding episode 24 on Productivity &amp; Personal Systems workflow optimization</t>
        </is>
      </c>
      <c r="W177" s="27" t="inlineStr">
        <is>
          <t>Hi Daniel, loved your recent piece on 'productivity &amp; personal systems frameworks, specifically regarding episode 24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77" s="27" t="inlineStr">
        <is>
          <t>2026-10-18</t>
        </is>
      </c>
      <c r="Y177" s="27" t="inlineStr">
        <is>
          <t>B</t>
        </is>
      </c>
      <c r="Z177" s="27" t="n">
        <v>86.2</v>
      </c>
      <c r="AA177" s="27" t="inlineStr">
        <is>
          <t>Qualified</t>
        </is>
      </c>
      <c r="AB177" s="27" t="inlineStr"/>
      <c r="AC177" s="28">
        <f>IF(A177="","",IF(COUNTIF($H$5:$H$1004,H177)&gt;1,"DUPLICATE","UNIQUE"))</f>
        <v/>
      </c>
      <c r="AD177" s="28">
        <f>IF(A177="","",IF(AA177="Rejected",IF(AB177&lt;&gt;"","REJECTED","ADD REASON"),IF(AND(B177&lt;&gt;"",C177&lt;&gt;"",D177&lt;&gt;"",E177&lt;&gt;"",F177&lt;&gt;"",G177&lt;&gt;"",H177&lt;&gt;"",J177&lt;&gt;"",K177&lt;&gt;"",N177&lt;&gt;"",O177&lt;&gt;"",P177&lt;&gt;"",Q177&lt;&gt;"",R177&lt;&gt;"",S177&lt;&gt;"",T177&lt;&gt;"",V177&lt;&gt;"",W177&lt;&gt;"",X177&lt;&gt;"",Y177&lt;&gt;""),"COMPLETE","MISSING FIELDS")))</f>
        <v/>
      </c>
    </row>
    <row r="178" ht="15" customHeight="1" s="15">
      <c r="A178" s="27" t="inlineStr">
        <is>
          <t>LEAD-0174</t>
        </is>
      </c>
      <c r="B178" s="27" t="inlineStr">
        <is>
          <t>Daniel Mercer</t>
        </is>
      </c>
      <c r="C178" s="27" t="inlineStr">
        <is>
          <t>Podcaster</t>
        </is>
      </c>
      <c r="D178" s="27" t="inlineStr">
        <is>
          <t>US</t>
        </is>
      </c>
      <c r="E178" s="27" t="inlineStr">
        <is>
          <t>English</t>
        </is>
      </c>
      <c r="F178" s="27" t="inlineStr">
        <is>
          <t>Apple Podcasts</t>
        </is>
      </c>
      <c r="G178" s="27" t="inlineStr">
        <is>
          <t>https://podcasts.apple.com/us/podcast/danielmercer/id1000174</t>
        </is>
      </c>
      <c r="H178" s="27" t="inlineStr">
        <is>
          <t>AP-US-1000174</t>
        </is>
      </c>
      <c r="I178" s="27" t="inlineStr">
        <is>
          <t>300,000</t>
        </is>
      </c>
      <c r="J178" s="27" t="inlineStr">
        <is>
          <t>2026-10-16</t>
        </is>
      </c>
      <c r="K178" s="27" t="inlineStr">
        <is>
          <t>https://danielmercer.com/episodes/175</t>
        </is>
      </c>
      <c r="L178" s="27" t="n">
        <v>12</v>
      </c>
      <c r="M178" s="27" t="n">
        <v>28</v>
      </c>
      <c r="N178" s="27" t="inlineStr">
        <is>
          <t>Affiliate</t>
        </is>
      </c>
      <c r="O178" s="27" t="inlineStr">
        <is>
          <t>https://danielmercer.com/resources</t>
        </is>
      </c>
      <c r="P178" s="27" t="inlineStr">
        <is>
          <t>Inconsistent Cross-Platform Publishing</t>
        </is>
      </c>
      <c r="Q178" s="27" t="inlineStr">
        <is>
          <t>https://danielmercer.com/highlights</t>
        </is>
      </c>
      <c r="R178" s="27" t="inlineStr">
        <is>
          <t>X (Twitter)</t>
        </is>
      </c>
      <c r="S178" s="27" t="inlineStr">
        <is>
          <t>https://x.com/danielmercer</t>
        </is>
      </c>
      <c r="T178" s="27" t="inlineStr">
        <is>
          <t>https://danielmercer.com/links</t>
        </is>
      </c>
      <c r="U178" s="27" t="inlineStr">
        <is>
          <t>LinkedIn</t>
        </is>
      </c>
      <c r="V178" s="27" t="inlineStr">
        <is>
          <t>leadership &amp; team ops frameworks, specifically regarding episode 25 on Leadership &amp; Team Ops workflow optimization</t>
        </is>
      </c>
      <c r="W178" s="27" t="inlineStr">
        <is>
          <t>Hi Daniel, loved your recent piece on 'leadership &amp; team ops frameworks, specifically regarding episode 25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78" s="27" t="inlineStr">
        <is>
          <t>2026-10-18</t>
        </is>
      </c>
      <c r="Y178" s="27" t="inlineStr">
        <is>
          <t>B</t>
        </is>
      </c>
      <c r="Z178" s="27" t="n">
        <v>86.09999999999999</v>
      </c>
      <c r="AA178" s="27" t="inlineStr">
        <is>
          <t>Qualified</t>
        </is>
      </c>
      <c r="AB178" s="27" t="inlineStr"/>
      <c r="AC178" s="28">
        <f>IF(A178="","",IF(COUNTIF($H$5:$H$1004,H178)&gt;1,"DUPLICATE","UNIQUE"))</f>
        <v/>
      </c>
      <c r="AD178" s="28">
        <f>IF(A178="","",IF(AA178="Rejected",IF(AB178&lt;&gt;"","REJECTED","ADD REASON"),IF(AND(B178&lt;&gt;"",C178&lt;&gt;"",D178&lt;&gt;"",E178&lt;&gt;"",F178&lt;&gt;"",G178&lt;&gt;"",H178&lt;&gt;"",J178&lt;&gt;"",K178&lt;&gt;"",N178&lt;&gt;"",O178&lt;&gt;"",P178&lt;&gt;"",Q178&lt;&gt;"",R178&lt;&gt;"",S178&lt;&gt;"",T178&lt;&gt;"",V178&lt;&gt;"",W178&lt;&gt;"",X178&lt;&gt;"",Y178&lt;&gt;""),"COMPLETE","MISSING FIELDS")))</f>
        <v/>
      </c>
    </row>
    <row r="179" ht="15" customHeight="1" s="15">
      <c r="A179" s="27" t="inlineStr">
        <is>
          <t>LEAD-0175</t>
        </is>
      </c>
      <c r="B179" s="27" t="inlineStr">
        <is>
          <t>Daniel Sinclair</t>
        </is>
      </c>
      <c r="C179" s="27" t="inlineStr">
        <is>
          <t>Expert-Led Creator</t>
        </is>
      </c>
      <c r="D179" s="27" t="inlineStr">
        <is>
          <t>US</t>
        </is>
      </c>
      <c r="E179" s="27" t="inlineStr">
        <is>
          <t>English</t>
        </is>
      </c>
      <c r="F179" s="27" t="inlineStr">
        <is>
          <t>LinkedIn</t>
        </is>
      </c>
      <c r="G179" s="27" t="inlineStr">
        <is>
          <t>https://www.linkedin.com/in/danielsinclair</t>
        </is>
      </c>
      <c r="H179" s="27" t="inlineStr">
        <is>
          <t>LI-danielsinclair-0175</t>
        </is>
      </c>
      <c r="I179" s="27" t="inlineStr">
        <is>
          <t>156,000</t>
        </is>
      </c>
      <c r="J179" s="27" t="inlineStr">
        <is>
          <t>2026-10-17</t>
        </is>
      </c>
      <c r="K179" s="27" t="inlineStr">
        <is>
          <t>https://danielsinclair.com/posts/26</t>
        </is>
      </c>
      <c r="L179" s="27" t="n">
        <v>13</v>
      </c>
      <c r="M179" s="27" t="n">
        <v>29</v>
      </c>
      <c r="N179" s="27" t="inlineStr">
        <is>
          <t>Course</t>
        </is>
      </c>
      <c r="O179" s="27" t="inlineStr">
        <is>
          <t>https://danielsinclair.com/academy</t>
        </is>
      </c>
      <c r="P179" s="27" t="inlineStr">
        <is>
          <t>Editing Backlog &amp; Team Workflow Overhead</t>
        </is>
      </c>
      <c r="Q179" s="27" t="inlineStr">
        <is>
          <t>https://danielsinclair.com/highlights</t>
        </is>
      </c>
      <c r="R179" s="27" t="inlineStr">
        <is>
          <t>Email</t>
        </is>
      </c>
      <c r="S179" s="27" t="inlineStr">
        <is>
          <t>hello@danielsinclair.com</t>
        </is>
      </c>
      <c r="T179" s="27" t="inlineStr">
        <is>
          <t>https://danielsinclair.com/work-with-me</t>
        </is>
      </c>
      <c r="U179" s="27" t="inlineStr">
        <is>
          <t>LinkedIn</t>
        </is>
      </c>
      <c r="V179" s="27" t="inlineStr">
        <is>
          <t>b2b marketing &amp; sales frameworks, specifically regarding episode 26 on B2B Marketing &amp; Sales workflow optimization</t>
        </is>
      </c>
      <c r="W179" s="27" t="inlineStr">
        <is>
          <t>Hi Daniel, loved your recent piece on 'b2b marketing &amp; sales frameworks, specifically regarding episode 26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79" s="27" t="inlineStr">
        <is>
          <t>2026-10-18</t>
        </is>
      </c>
      <c r="Y179" s="27" t="inlineStr">
        <is>
          <t>B</t>
        </is>
      </c>
      <c r="Z179" s="27" t="n">
        <v>86</v>
      </c>
      <c r="AA179" s="27" t="inlineStr">
        <is>
          <t>Qualified</t>
        </is>
      </c>
      <c r="AB179" s="27" t="inlineStr"/>
      <c r="AC179" s="28">
        <f>IF(A179="","",IF(COUNTIF($H$5:$H$1004,H179)&gt;1,"DUPLICATE","UNIQUE"))</f>
        <v/>
      </c>
      <c r="AD179" s="28">
        <f>IF(A179="","",IF(AA179="Rejected",IF(AB179&lt;&gt;"","REJECTED","ADD REASON"),IF(AND(B179&lt;&gt;"",C179&lt;&gt;"",D179&lt;&gt;"",E179&lt;&gt;"",F179&lt;&gt;"",G179&lt;&gt;"",H179&lt;&gt;"",J179&lt;&gt;"",K179&lt;&gt;"",N179&lt;&gt;"",O179&lt;&gt;"",P179&lt;&gt;"",Q179&lt;&gt;"",R179&lt;&gt;"",S179&lt;&gt;"",T179&lt;&gt;"",V179&lt;&gt;"",W179&lt;&gt;"",X179&lt;&gt;"",Y179&lt;&gt;""),"COMPLETE","MISSING FIELDS")))</f>
        <v/>
      </c>
    </row>
    <row r="180" ht="15" customHeight="1" s="15">
      <c r="A180" s="27" t="inlineStr">
        <is>
          <t>LEAD-0176</t>
        </is>
      </c>
      <c r="B180" s="27" t="inlineStr">
        <is>
          <t>Daniel Carrington</t>
        </is>
      </c>
      <c r="C180" s="27" t="inlineStr">
        <is>
          <t>YouTuber</t>
        </is>
      </c>
      <c r="D180" s="27" t="inlineStr">
        <is>
          <t>US</t>
        </is>
      </c>
      <c r="E180" s="27" t="inlineStr">
        <is>
          <t>English</t>
        </is>
      </c>
      <c r="F180" s="27" t="inlineStr">
        <is>
          <t>YouTube</t>
        </is>
      </c>
      <c r="G180" s="27" t="inlineStr">
        <is>
          <t>https://www.youtube.com/@danielcarrington</t>
        </is>
      </c>
      <c r="H180" s="27" t="inlineStr">
        <is>
          <t>UCUS00176317620</t>
        </is>
      </c>
      <c r="I180" s="27" t="inlineStr">
        <is>
          <t>40,000</t>
        </is>
      </c>
      <c r="J180" s="27" t="inlineStr">
        <is>
          <t>2026-10-10</t>
        </is>
      </c>
      <c r="K180" s="27" t="inlineStr">
        <is>
          <t>https://www.youtube.com/watch?v=us00176</t>
        </is>
      </c>
      <c r="L180" s="27" t="n">
        <v>14</v>
      </c>
      <c r="M180" s="27" t="n">
        <v>30</v>
      </c>
      <c r="N180" s="27" t="inlineStr">
        <is>
          <t>Sponsor</t>
        </is>
      </c>
      <c r="O180" s="27" t="inlineStr">
        <is>
          <t>https://danielcarrington.com/partners</t>
        </is>
      </c>
      <c r="P180" s="27" t="inlineStr">
        <is>
          <t>Multilingual Audio Dubbing</t>
        </is>
      </c>
      <c r="Q180" s="27" t="inlineStr">
        <is>
          <t>https://danielcarrington.com/highlights</t>
        </is>
      </c>
      <c r="R180" s="27" t="inlineStr">
        <is>
          <t>Email</t>
        </is>
      </c>
      <c r="S180" s="27" t="inlineStr">
        <is>
          <t>contact@danielcarrington.com</t>
        </is>
      </c>
      <c r="T180" s="27" t="inlineStr">
        <is>
          <t>https://danielcarrington.com/contact</t>
        </is>
      </c>
      <c r="U180" s="27" t="inlineStr">
        <is>
          <t>LinkedIn</t>
        </is>
      </c>
      <c r="V180" s="27" t="inlineStr">
        <is>
          <t>finance &amp; wealth engineering frameworks, specifically regarding episode 27 on Finance &amp; Wealth Engineering workflow optimization</t>
        </is>
      </c>
      <c r="W180" s="27" t="inlineStr">
        <is>
          <t>Hi Daniel,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80" s="27" t="inlineStr">
        <is>
          <t>2026-10-18</t>
        </is>
      </c>
      <c r="Y180" s="27" t="inlineStr">
        <is>
          <t>B</t>
        </is>
      </c>
      <c r="Z180" s="27" t="n">
        <v>85.90000000000001</v>
      </c>
      <c r="AA180" s="27" t="inlineStr">
        <is>
          <t>Qualified</t>
        </is>
      </c>
      <c r="AB180" s="27" t="inlineStr"/>
      <c r="AC180" s="28">
        <f>IF(A180="","",IF(COUNTIF($H$5:$H$1004,H180)&gt;1,"DUPLICATE","UNIQUE"))</f>
        <v/>
      </c>
      <c r="AD180" s="28">
        <f>IF(A180="","",IF(AA180="Rejected",IF(AB180&lt;&gt;"","REJECTED","ADD REASON"),IF(AND(B180&lt;&gt;"",C180&lt;&gt;"",D180&lt;&gt;"",E180&lt;&gt;"",F180&lt;&gt;"",G180&lt;&gt;"",H180&lt;&gt;"",J180&lt;&gt;"",K180&lt;&gt;"",N180&lt;&gt;"",O180&lt;&gt;"",P180&lt;&gt;"",Q180&lt;&gt;"",R180&lt;&gt;"",S180&lt;&gt;"",T180&lt;&gt;"",V180&lt;&gt;"",W180&lt;&gt;"",X180&lt;&gt;"",Y180&lt;&gt;""),"COMPLETE","MISSING FIELDS")))</f>
        <v/>
      </c>
    </row>
    <row r="181" ht="15" customHeight="1" s="15">
      <c r="A181" s="27" t="inlineStr">
        <is>
          <t>LEAD-0177</t>
        </is>
      </c>
      <c r="B181" s="27" t="inlineStr">
        <is>
          <t>Daniel Prescott</t>
        </is>
      </c>
      <c r="C181" s="27" t="inlineStr">
        <is>
          <t>Podcaster</t>
        </is>
      </c>
      <c r="D181" s="27" t="inlineStr">
        <is>
          <t>US</t>
        </is>
      </c>
      <c r="E181" s="27" t="inlineStr">
        <is>
          <t>English</t>
        </is>
      </c>
      <c r="F181" s="27" t="inlineStr">
        <is>
          <t>Apple Podcasts</t>
        </is>
      </c>
      <c r="G181" s="27" t="inlineStr">
        <is>
          <t>https://podcasts.apple.com/us/podcast/danielprescott/id1000177</t>
        </is>
      </c>
      <c r="H181" s="27" t="inlineStr">
        <is>
          <t>AP-US-1000177</t>
        </is>
      </c>
      <c r="I181" s="27" t="inlineStr">
        <is>
          <t>36,000</t>
        </is>
      </c>
      <c r="J181" s="27" t="inlineStr">
        <is>
          <t>2026-10-11</t>
        </is>
      </c>
      <c r="K181" s="27" t="inlineStr">
        <is>
          <t>https://danielprescott.com/episodes/178</t>
        </is>
      </c>
      <c r="L181" s="27" t="n">
        <v>15</v>
      </c>
      <c r="M181" s="27" t="n">
        <v>31</v>
      </c>
      <c r="N181" s="27" t="inlineStr">
        <is>
          <t>Membership</t>
        </is>
      </c>
      <c r="O181" s="27" t="inlineStr">
        <is>
          <t>https://danielprescott.com/community</t>
        </is>
      </c>
      <c r="P181" s="27" t="inlineStr">
        <is>
          <t>Multilingual Audio Dubbing</t>
        </is>
      </c>
      <c r="Q181" s="27" t="inlineStr">
        <is>
          <t>https://danielprescott.com/highlights</t>
        </is>
      </c>
      <c r="R181" s="27" t="inlineStr">
        <is>
          <t>LinkedIn</t>
        </is>
      </c>
      <c r="S181" s="27" t="inlineStr">
        <is>
          <t>https://linkedin.com/in/danielprescott</t>
        </is>
      </c>
      <c r="T181" s="27" t="inlineStr">
        <is>
          <t>https://danielprescott.com/about</t>
        </is>
      </c>
      <c r="U181" s="27" t="inlineStr">
        <is>
          <t>Email</t>
        </is>
      </c>
      <c r="V181" s="27" t="inlineStr">
        <is>
          <t>health &amp; longevity science frameworks, specifically regarding episode 28 on Health &amp; Longevity Science workflow optimization</t>
        </is>
      </c>
      <c r="W181" s="27" t="inlineStr">
        <is>
          <t>Hi Daniel,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81" s="27" t="inlineStr">
        <is>
          <t>2026-10-18</t>
        </is>
      </c>
      <c r="Y181" s="27" t="inlineStr">
        <is>
          <t>B</t>
        </is>
      </c>
      <c r="Z181" s="27" t="n">
        <v>85.8</v>
      </c>
      <c r="AA181" s="27" t="inlineStr">
        <is>
          <t>Qualified</t>
        </is>
      </c>
      <c r="AB181" s="27" t="inlineStr"/>
      <c r="AC181" s="28">
        <f>IF(A181="","",IF(COUNTIF($H$5:$H$1004,H181)&gt;1,"DUPLICATE","UNIQUE"))</f>
        <v/>
      </c>
      <c r="AD181" s="28">
        <f>IF(A181="","",IF(AA181="Rejected",IF(AB181&lt;&gt;"","REJECTED","ADD REASON"),IF(AND(B181&lt;&gt;"",C181&lt;&gt;"",D181&lt;&gt;"",E181&lt;&gt;"",F181&lt;&gt;"",G181&lt;&gt;"",H181&lt;&gt;"",J181&lt;&gt;"",K181&lt;&gt;"",N181&lt;&gt;"",O181&lt;&gt;"",P181&lt;&gt;"",Q181&lt;&gt;"",R181&lt;&gt;"",S181&lt;&gt;"",T181&lt;&gt;"",V181&lt;&gt;"",W181&lt;&gt;"",X181&lt;&gt;"",Y181&lt;&gt;""),"COMPLETE","MISSING FIELDS")))</f>
        <v/>
      </c>
    </row>
    <row r="182" ht="15" customHeight="1" s="15">
      <c r="A182" s="27" t="inlineStr">
        <is>
          <t>LEAD-0178</t>
        </is>
      </c>
      <c r="B182" s="27" t="inlineStr">
        <is>
          <t>Daniel Winslow</t>
        </is>
      </c>
      <c r="C182" s="27" t="inlineStr">
        <is>
          <t>YouTuber</t>
        </is>
      </c>
      <c r="D182" s="27" t="inlineStr">
        <is>
          <t>US</t>
        </is>
      </c>
      <c r="E182" s="27" t="inlineStr">
        <is>
          <t>English</t>
        </is>
      </c>
      <c r="F182" s="27" t="inlineStr">
        <is>
          <t>YouTube</t>
        </is>
      </c>
      <c r="G182" s="27" t="inlineStr">
        <is>
          <t>https://www.youtube.com/@danielwinslow</t>
        </is>
      </c>
      <c r="H182" s="27" t="inlineStr">
        <is>
          <t>UCUS00178677098</t>
        </is>
      </c>
      <c r="I182" s="27" t="inlineStr">
        <is>
          <t>80,000</t>
        </is>
      </c>
      <c r="J182" s="27" t="inlineStr">
        <is>
          <t>2026-10-12</t>
        </is>
      </c>
      <c r="K182" s="27" t="inlineStr">
        <is>
          <t>https://www.youtube.com/watch?v=us00178</t>
        </is>
      </c>
      <c r="L182" s="27" t="n">
        <v>16</v>
      </c>
      <c r="M182" s="27" t="n">
        <v>32</v>
      </c>
      <c r="N182" s="27" t="inlineStr">
        <is>
          <t>Product</t>
        </is>
      </c>
      <c r="O182" s="27" t="inlineStr">
        <is>
          <t>https://danielwinslow.com/shop</t>
        </is>
      </c>
      <c r="P182" s="27" t="inlineStr">
        <is>
          <t>Missing Video Captions &amp; Retention Clips</t>
        </is>
      </c>
      <c r="Q182" s="27" t="inlineStr">
        <is>
          <t>https://danielwinslow.com/highlights</t>
        </is>
      </c>
      <c r="R182" s="27" t="inlineStr">
        <is>
          <t>X (Twitter)</t>
        </is>
      </c>
      <c r="S182" s="27" t="inlineStr">
        <is>
          <t>https://x.com/danielwinslow</t>
        </is>
      </c>
      <c r="T182" s="27" t="inlineStr">
        <is>
          <t>https://danielwinslow.com/links</t>
        </is>
      </c>
      <c r="U182" s="27" t="inlineStr">
        <is>
          <t>LinkedIn</t>
        </is>
      </c>
      <c r="V182" s="27" t="inlineStr">
        <is>
          <t>education &amp; applied coding frameworks, specifically regarding episode 29 on Education &amp; Applied Coding workflow optimization</t>
        </is>
      </c>
      <c r="W182" s="27" t="inlineStr">
        <is>
          <t>Hi Daniel,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82" s="27" t="inlineStr">
        <is>
          <t>2026-10-18</t>
        </is>
      </c>
      <c r="Y182" s="27" t="inlineStr">
        <is>
          <t>B</t>
        </is>
      </c>
      <c r="Z182" s="27" t="n">
        <v>85.8</v>
      </c>
      <c r="AA182" s="27" t="inlineStr">
        <is>
          <t>Qualified</t>
        </is>
      </c>
      <c r="AB182" s="27" t="inlineStr"/>
      <c r="AC182" s="28">
        <f>IF(A182="","",IF(COUNTIF($H$5:$H$1004,H182)&gt;1,"DUPLICATE","UNIQUE"))</f>
        <v/>
      </c>
      <c r="AD182" s="28">
        <f>IF(A182="","",IF(AA182="Rejected",IF(AB182&lt;&gt;"","REJECTED","ADD REASON"),IF(AND(B182&lt;&gt;"",C182&lt;&gt;"",D182&lt;&gt;"",E182&lt;&gt;"",F182&lt;&gt;"",G182&lt;&gt;"",H182&lt;&gt;"",J182&lt;&gt;"",K182&lt;&gt;"",N182&lt;&gt;"",O182&lt;&gt;"",P182&lt;&gt;"",Q182&lt;&gt;"",R182&lt;&gt;"",S182&lt;&gt;"",T182&lt;&gt;"",V182&lt;&gt;"",W182&lt;&gt;"",X182&lt;&gt;"",Y182&lt;&gt;""),"COMPLETE","MISSING FIELDS")))</f>
        <v/>
      </c>
    </row>
    <row r="183" ht="15" customHeight="1" s="15">
      <c r="A183" s="27" t="inlineStr">
        <is>
          <t>LEAD-0179</t>
        </is>
      </c>
      <c r="B183" s="27" t="inlineStr">
        <is>
          <t>Daniel Bradford</t>
        </is>
      </c>
      <c r="C183" s="27" t="inlineStr">
        <is>
          <t>Podcaster</t>
        </is>
      </c>
      <c r="D183" s="27" t="inlineStr">
        <is>
          <t>US</t>
        </is>
      </c>
      <c r="E183" s="27" t="inlineStr">
        <is>
          <t>English</t>
        </is>
      </c>
      <c r="F183" s="27" t="inlineStr">
        <is>
          <t>Apple Podcasts</t>
        </is>
      </c>
      <c r="G183" s="27" t="inlineStr">
        <is>
          <t>https://podcasts.apple.com/us/podcast/danielbradford/id1000179</t>
        </is>
      </c>
      <c r="H183" s="27" t="inlineStr">
        <is>
          <t>AP-US-1000179</t>
        </is>
      </c>
      <c r="I183" s="27" t="inlineStr">
        <is>
          <t>60,000</t>
        </is>
      </c>
      <c r="J183" s="27" t="inlineStr">
        <is>
          <t>2026-10-13</t>
        </is>
      </c>
      <c r="K183" s="27" t="inlineStr">
        <is>
          <t>https://danielbradford.com/episodes/180</t>
        </is>
      </c>
      <c r="L183" s="27" t="n">
        <v>17</v>
      </c>
      <c r="M183" s="27" t="n">
        <v>33</v>
      </c>
      <c r="N183" s="27" t="inlineStr">
        <is>
          <t>Consulting</t>
        </is>
      </c>
      <c r="O183" s="27" t="inlineStr">
        <is>
          <t>https://danielbradford.com/advisory</t>
        </is>
      </c>
      <c r="P183" s="27" t="inlineStr">
        <is>
          <t>Shorts Repurposing Bottleneck</t>
        </is>
      </c>
      <c r="Q183" s="27" t="inlineStr">
        <is>
          <t>https://danielbradford.com/highlights</t>
        </is>
      </c>
      <c r="R183" s="27" t="inlineStr">
        <is>
          <t>Email</t>
        </is>
      </c>
      <c r="S183" s="27" t="inlineStr">
        <is>
          <t>hello@danielbradford.com</t>
        </is>
      </c>
      <c r="T183" s="27" t="inlineStr">
        <is>
          <t>https://danielbradford.com/work-with-me</t>
        </is>
      </c>
      <c r="U183" s="27" t="inlineStr">
        <is>
          <t>LinkedIn</t>
        </is>
      </c>
      <c r="V183" s="27" t="inlineStr">
        <is>
          <t>e-commerce &amp; digital brands frameworks, specifically regarding episode 30 on E-Commerce &amp; Digital Brands workflow optimization</t>
        </is>
      </c>
      <c r="W183" s="27" t="inlineStr">
        <is>
          <t>Hi Daniel,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83" s="27" t="inlineStr">
        <is>
          <t>2026-10-18</t>
        </is>
      </c>
      <c r="Y183" s="27" t="inlineStr">
        <is>
          <t>B</t>
        </is>
      </c>
      <c r="Z183" s="27" t="n">
        <v>85.7</v>
      </c>
      <c r="AA183" s="27" t="inlineStr">
        <is>
          <t>Qualified</t>
        </is>
      </c>
      <c r="AB183" s="27" t="inlineStr"/>
      <c r="AC183" s="28">
        <f>IF(A183="","",IF(COUNTIF($H$5:$H$1004,H183)&gt;1,"DUPLICATE","UNIQUE"))</f>
        <v/>
      </c>
      <c r="AD183" s="28">
        <f>IF(A183="","",IF(AA183="Rejected",IF(AB183&lt;&gt;"","REJECTED","ADD REASON"),IF(AND(B183&lt;&gt;"",C183&lt;&gt;"",D183&lt;&gt;"",E183&lt;&gt;"",F183&lt;&gt;"",G183&lt;&gt;"",H183&lt;&gt;"",J183&lt;&gt;"",K183&lt;&gt;"",N183&lt;&gt;"",O183&lt;&gt;"",P183&lt;&gt;"",Q183&lt;&gt;"",R183&lt;&gt;"",S183&lt;&gt;"",T183&lt;&gt;"",V183&lt;&gt;"",W183&lt;&gt;"",X183&lt;&gt;"",Y183&lt;&gt;""),"COMPLETE","MISSING FIELDS")))</f>
        <v/>
      </c>
    </row>
    <row r="184" ht="15" customHeight="1" s="15">
      <c r="A184" s="27" t="inlineStr">
        <is>
          <t>LEAD-0180</t>
        </is>
      </c>
      <c r="B184" s="27" t="inlineStr">
        <is>
          <t>Daniel Kensington</t>
        </is>
      </c>
      <c r="C184" s="27" t="inlineStr">
        <is>
          <t>YouTuber</t>
        </is>
      </c>
      <c r="D184" s="27" t="inlineStr">
        <is>
          <t>US</t>
        </is>
      </c>
      <c r="E184" s="27" t="inlineStr">
        <is>
          <t>English</t>
        </is>
      </c>
      <c r="F184" s="27" t="inlineStr">
        <is>
          <t>YouTube</t>
        </is>
      </c>
      <c r="G184" s="27" t="inlineStr">
        <is>
          <t>https://www.youtube.com/@danielkensington</t>
        </is>
      </c>
      <c r="H184" s="27" t="inlineStr">
        <is>
          <t>UCUS00180154859</t>
        </is>
      </c>
      <c r="I184" s="27" t="inlineStr">
        <is>
          <t>120,000</t>
        </is>
      </c>
      <c r="J184" s="27" t="inlineStr">
        <is>
          <t>2026-10-14</t>
        </is>
      </c>
      <c r="K184" s="27" t="inlineStr">
        <is>
          <t>https://www.youtube.com/watch?v=us00180</t>
        </is>
      </c>
      <c r="L184" s="27" t="n">
        <v>8</v>
      </c>
      <c r="M184" s="27" t="n">
        <v>16</v>
      </c>
      <c r="N184" s="27" t="inlineStr">
        <is>
          <t>Newsletter Subscription</t>
        </is>
      </c>
      <c r="O184" s="27" t="inlineStr">
        <is>
          <t>https://danielkensington.com/subscribe</t>
        </is>
      </c>
      <c r="P184" s="27" t="inlineStr">
        <is>
          <t>Shorts Repurposing Bottleneck</t>
        </is>
      </c>
      <c r="Q184" s="27" t="inlineStr">
        <is>
          <t>https://danielkensington.com/highlights</t>
        </is>
      </c>
      <c r="R184" s="27" t="inlineStr">
        <is>
          <t>Email</t>
        </is>
      </c>
      <c r="S184" s="27" t="inlineStr">
        <is>
          <t>contact@danielkensington.com</t>
        </is>
      </c>
      <c r="T184" s="27" t="inlineStr">
        <is>
          <t>https://danielkensington.com/contact</t>
        </is>
      </c>
      <c r="U184" s="27" t="inlineStr">
        <is>
          <t>LinkedIn</t>
        </is>
      </c>
      <c r="V184" s="27" t="inlineStr">
        <is>
          <t>tech &amp; ai frameworks, specifically regarding episode 31 on Tech &amp; AI workflow optimization</t>
        </is>
      </c>
      <c r="W184" s="27" t="inlineStr">
        <is>
          <t>Hi Daniel,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84" s="27" t="inlineStr">
        <is>
          <t>2026-10-18</t>
        </is>
      </c>
      <c r="Y184" s="27" t="inlineStr">
        <is>
          <t>B</t>
        </is>
      </c>
      <c r="Z184" s="27" t="n">
        <v>85.59999999999999</v>
      </c>
      <c r="AA184" s="27" t="inlineStr">
        <is>
          <t>Qualified</t>
        </is>
      </c>
      <c r="AB184" s="27" t="inlineStr"/>
      <c r="AC184" s="28">
        <f>IF(A184="","",IF(COUNTIF($H$5:$H$1004,H184)&gt;1,"DUPLICATE","UNIQUE"))</f>
        <v/>
      </c>
      <c r="AD184" s="28">
        <f>IF(A184="","",IF(AA184="Rejected",IF(AB184&lt;&gt;"","REJECTED","ADD REASON"),IF(AND(B184&lt;&gt;"",C184&lt;&gt;"",D184&lt;&gt;"",E184&lt;&gt;"",F184&lt;&gt;"",G184&lt;&gt;"",H184&lt;&gt;"",J184&lt;&gt;"",K184&lt;&gt;"",N184&lt;&gt;"",O184&lt;&gt;"",P184&lt;&gt;"",Q184&lt;&gt;"",R184&lt;&gt;"",S184&lt;&gt;"",T184&lt;&gt;"",V184&lt;&gt;"",W184&lt;&gt;"",X184&lt;&gt;"",Y184&lt;&gt;""),"COMPLETE","MISSING FIELDS")))</f>
        <v/>
      </c>
    </row>
    <row r="185" ht="15" customHeight="1" s="15">
      <c r="A185" s="27" t="inlineStr">
        <is>
          <t>LEAD-0181</t>
        </is>
      </c>
      <c r="B185" s="27" t="inlineStr">
        <is>
          <t>Daniel Lancaster</t>
        </is>
      </c>
      <c r="C185" s="27" t="inlineStr">
        <is>
          <t>Podcaster</t>
        </is>
      </c>
      <c r="D185" s="27" t="inlineStr">
        <is>
          <t>US</t>
        </is>
      </c>
      <c r="E185" s="27" t="inlineStr">
        <is>
          <t>English</t>
        </is>
      </c>
      <c r="F185" s="27" t="inlineStr">
        <is>
          <t>Apple Podcasts</t>
        </is>
      </c>
      <c r="G185" s="27" t="inlineStr">
        <is>
          <t>https://podcasts.apple.com/us/podcast/daniellancaster/id1000181</t>
        </is>
      </c>
      <c r="H185" s="27" t="inlineStr">
        <is>
          <t>AP-US-1000181</t>
        </is>
      </c>
      <c r="I185" s="27" t="inlineStr">
        <is>
          <t>84,000</t>
        </is>
      </c>
      <c r="J185" s="27" t="inlineStr">
        <is>
          <t>2026-10-15</t>
        </is>
      </c>
      <c r="K185" s="27" t="inlineStr">
        <is>
          <t>https://daniellancaster.com/episodes/182</t>
        </is>
      </c>
      <c r="L185" s="27" t="n">
        <v>9</v>
      </c>
      <c r="M185" s="27" t="n">
        <v>17</v>
      </c>
      <c r="N185" s="27" t="inlineStr">
        <is>
          <t>Affiliate</t>
        </is>
      </c>
      <c r="O185" s="27" t="inlineStr">
        <is>
          <t>https://daniellancaster.com/resources</t>
        </is>
      </c>
      <c r="P185" s="27" t="inlineStr">
        <is>
          <t>Missing Video Captions &amp; Retention Clips</t>
        </is>
      </c>
      <c r="Q185" s="27" t="inlineStr">
        <is>
          <t>https://daniellancaster.com/highlights</t>
        </is>
      </c>
      <c r="R185" s="27" t="inlineStr">
        <is>
          <t>LinkedIn</t>
        </is>
      </c>
      <c r="S185" s="27" t="inlineStr">
        <is>
          <t>https://linkedin.com/in/daniellancaster</t>
        </is>
      </c>
      <c r="T185" s="27" t="inlineStr">
        <is>
          <t>https://daniellancaster.com/about</t>
        </is>
      </c>
      <c r="U185" s="27" t="inlineStr">
        <is>
          <t>Email</t>
        </is>
      </c>
      <c r="V185" s="27" t="inlineStr">
        <is>
          <t>saas &amp; product growth frameworks, specifically regarding episode 32 on SaaS &amp; Product Growth workflow optimization</t>
        </is>
      </c>
      <c r="W185" s="27" t="inlineStr">
        <is>
          <t>Hi Daniel,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85" s="27" t="inlineStr">
        <is>
          <t>2026-10-18</t>
        </is>
      </c>
      <c r="Y185" s="27" t="inlineStr">
        <is>
          <t>B</t>
        </is>
      </c>
      <c r="Z185" s="27" t="n">
        <v>85.5</v>
      </c>
      <c r="AA185" s="27" t="inlineStr">
        <is>
          <t>Qualified</t>
        </is>
      </c>
      <c r="AB185" s="27" t="inlineStr"/>
      <c r="AC185" s="28">
        <f>IF(A185="","",IF(COUNTIF($H$5:$H$1004,H185)&gt;1,"DUPLICATE","UNIQUE"))</f>
        <v/>
      </c>
      <c r="AD185" s="28">
        <f>IF(A185="","",IF(AA185="Rejected",IF(AB185&lt;&gt;"","REJECTED","ADD REASON"),IF(AND(B185&lt;&gt;"",C185&lt;&gt;"",D185&lt;&gt;"",E185&lt;&gt;"",F185&lt;&gt;"",G185&lt;&gt;"",H185&lt;&gt;"",J185&lt;&gt;"",K185&lt;&gt;"",N185&lt;&gt;"",O185&lt;&gt;"",P185&lt;&gt;"",Q185&lt;&gt;"",R185&lt;&gt;"",S185&lt;&gt;"",T185&lt;&gt;"",V185&lt;&gt;"",W185&lt;&gt;"",X185&lt;&gt;"",Y185&lt;&gt;""),"COMPLETE","MISSING FIELDS")))</f>
        <v/>
      </c>
    </row>
    <row r="186" ht="15" customHeight="1" s="15">
      <c r="A186" s="27" t="inlineStr">
        <is>
          <t>LEAD-0182</t>
        </is>
      </c>
      <c r="B186" s="27" t="inlineStr">
        <is>
          <t>Daniel Montgomery</t>
        </is>
      </c>
      <c r="C186" s="27" t="inlineStr">
        <is>
          <t>Expert-Led Creator</t>
        </is>
      </c>
      <c r="D186" s="27" t="inlineStr">
        <is>
          <t>US</t>
        </is>
      </c>
      <c r="E186" s="27" t="inlineStr">
        <is>
          <t>English</t>
        </is>
      </c>
      <c r="F186" s="27" t="inlineStr">
        <is>
          <t>YouTube</t>
        </is>
      </c>
      <c r="G186" s="27" t="inlineStr">
        <is>
          <t>https://www.youtube.com/@danielmontgomery</t>
        </is>
      </c>
      <c r="H186" s="27" t="inlineStr">
        <is>
          <t>UCUS00182120875</t>
        </is>
      </c>
      <c r="I186" s="27" t="inlineStr">
        <is>
          <t>160,000</t>
        </is>
      </c>
      <c r="J186" s="27" t="inlineStr">
        <is>
          <t>2026-10-16</t>
        </is>
      </c>
      <c r="K186" s="27" t="inlineStr">
        <is>
          <t>https://www.youtube.com/watch?v=us00182</t>
        </is>
      </c>
      <c r="L186" s="27" t="n">
        <v>10</v>
      </c>
      <c r="M186" s="27" t="n">
        <v>18</v>
      </c>
      <c r="N186" s="27" t="inlineStr">
        <is>
          <t>Course</t>
        </is>
      </c>
      <c r="O186" s="27" t="inlineStr">
        <is>
          <t>https://danielmontgomery.com/academy</t>
        </is>
      </c>
      <c r="P186" s="27" t="inlineStr">
        <is>
          <t>Editing Backlog &amp; Team Workflow Overhead</t>
        </is>
      </c>
      <c r="Q186" s="27" t="inlineStr">
        <is>
          <t>https://danielmontgomery.com/highlights</t>
        </is>
      </c>
      <c r="R186" s="27" t="inlineStr">
        <is>
          <t>X (Twitter)</t>
        </is>
      </c>
      <c r="S186" s="27" t="inlineStr">
        <is>
          <t>https://x.com/danielmontgomery</t>
        </is>
      </c>
      <c r="T186" s="27" t="inlineStr">
        <is>
          <t>https://danielmontgomery.com/links</t>
        </is>
      </c>
      <c r="U186" s="27" t="inlineStr">
        <is>
          <t>LinkedIn</t>
        </is>
      </c>
      <c r="V186" s="27" t="inlineStr">
        <is>
          <t>creator business &amp; monetization frameworks, specifically regarding episode 33 on Creator Business &amp; Monetization workflow optimization</t>
        </is>
      </c>
      <c r="W186" s="27" t="inlineStr">
        <is>
          <t>Hi Daniel,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86" s="27" t="inlineStr">
        <is>
          <t>2026-10-18</t>
        </is>
      </c>
      <c r="Y186" s="27" t="inlineStr">
        <is>
          <t>B</t>
        </is>
      </c>
      <c r="Z186" s="27" t="n">
        <v>85.40000000000001</v>
      </c>
      <c r="AA186" s="27" t="inlineStr">
        <is>
          <t>Qualified</t>
        </is>
      </c>
      <c r="AB186" s="27" t="inlineStr"/>
      <c r="AC186" s="28">
        <f>IF(A186="","",IF(COUNTIF($H$5:$H$1004,H186)&gt;1,"DUPLICATE","UNIQUE"))</f>
        <v/>
      </c>
      <c r="AD186" s="28">
        <f>IF(A186="","",IF(AA186="Rejected",IF(AB186&lt;&gt;"","REJECTED","ADD REASON"),IF(AND(B186&lt;&gt;"",C186&lt;&gt;"",D186&lt;&gt;"",E186&lt;&gt;"",F186&lt;&gt;"",G186&lt;&gt;"",H186&lt;&gt;"",J186&lt;&gt;"",K186&lt;&gt;"",N186&lt;&gt;"",O186&lt;&gt;"",P186&lt;&gt;"",Q186&lt;&gt;"",R186&lt;&gt;"",S186&lt;&gt;"",T186&lt;&gt;"",V186&lt;&gt;"",W186&lt;&gt;"",X186&lt;&gt;"",Y186&lt;&gt;""),"COMPLETE","MISSING FIELDS")))</f>
        <v/>
      </c>
    </row>
    <row r="187" ht="15" customHeight="1" s="15">
      <c r="A187" s="27" t="inlineStr">
        <is>
          <t>LEAD-0183</t>
        </is>
      </c>
      <c r="B187" s="27" t="inlineStr">
        <is>
          <t>Daniel Barrington</t>
        </is>
      </c>
      <c r="C187" s="27" t="inlineStr">
        <is>
          <t>YouTuber</t>
        </is>
      </c>
      <c r="D187" s="27" t="inlineStr">
        <is>
          <t>US</t>
        </is>
      </c>
      <c r="E187" s="27" t="inlineStr">
        <is>
          <t>English</t>
        </is>
      </c>
      <c r="F187" s="27" t="inlineStr">
        <is>
          <t>YouTube</t>
        </is>
      </c>
      <c r="G187" s="27" t="inlineStr">
        <is>
          <t>https://www.youtube.com/@danielbarrington</t>
        </is>
      </c>
      <c r="H187" s="27" t="inlineStr">
        <is>
          <t>UCUS00183113992</t>
        </is>
      </c>
      <c r="I187" s="27" t="inlineStr">
        <is>
          <t>180,000</t>
        </is>
      </c>
      <c r="J187" s="27" t="inlineStr">
        <is>
          <t>2026-10-17</t>
        </is>
      </c>
      <c r="K187" s="27" t="inlineStr">
        <is>
          <t>https://www.youtube.com/watch?v=us00183</t>
        </is>
      </c>
      <c r="L187" s="27" t="n">
        <v>11</v>
      </c>
      <c r="M187" s="27" t="n">
        <v>19</v>
      </c>
      <c r="N187" s="27" t="inlineStr">
        <is>
          <t>Sponsor</t>
        </is>
      </c>
      <c r="O187" s="27" t="inlineStr">
        <is>
          <t>https://danielbarrington.com/partners</t>
        </is>
      </c>
      <c r="P187" s="27" t="inlineStr">
        <is>
          <t>Shorts Repurposing Bottleneck</t>
        </is>
      </c>
      <c r="Q187" s="27" t="inlineStr">
        <is>
          <t>https://danielbarrington.com/highlights</t>
        </is>
      </c>
      <c r="R187" s="27" t="inlineStr">
        <is>
          <t>Email</t>
        </is>
      </c>
      <c r="S187" s="27" t="inlineStr">
        <is>
          <t>hello@danielbarrington.com</t>
        </is>
      </c>
      <c r="T187" s="27" t="inlineStr">
        <is>
          <t>https://danielbarrington.com/work-with-me</t>
        </is>
      </c>
      <c r="U187" s="27" t="inlineStr">
        <is>
          <t>LinkedIn</t>
        </is>
      </c>
      <c r="V187" s="27" t="inlineStr">
        <is>
          <t>productivity &amp; personal systems frameworks, specifically regarding episode 34 on Productivity &amp; Personal Systems workflow optimization</t>
        </is>
      </c>
      <c r="W187" s="27" t="inlineStr">
        <is>
          <t>Hi Daniel,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87" s="27" t="inlineStr">
        <is>
          <t>2026-10-18</t>
        </is>
      </c>
      <c r="Y187" s="27" t="inlineStr">
        <is>
          <t>B</t>
        </is>
      </c>
      <c r="Z187" s="27" t="n">
        <v>85.40000000000001</v>
      </c>
      <c r="AA187" s="27" t="inlineStr">
        <is>
          <t>Qualified</t>
        </is>
      </c>
      <c r="AB187" s="27" t="inlineStr"/>
      <c r="AC187" s="28">
        <f>IF(A187="","",IF(COUNTIF($H$5:$H$1004,H187)&gt;1,"DUPLICATE","UNIQUE"))</f>
        <v/>
      </c>
      <c r="AD187" s="28">
        <f>IF(A187="","",IF(AA187="Rejected",IF(AB187&lt;&gt;"","REJECTED","ADD REASON"),IF(AND(B187&lt;&gt;"",C187&lt;&gt;"",D187&lt;&gt;"",E187&lt;&gt;"",F187&lt;&gt;"",G187&lt;&gt;"",H187&lt;&gt;"",J187&lt;&gt;"",K187&lt;&gt;"",N187&lt;&gt;"",O187&lt;&gt;"",P187&lt;&gt;"",Q187&lt;&gt;"",R187&lt;&gt;"",S187&lt;&gt;"",T187&lt;&gt;"",V187&lt;&gt;"",W187&lt;&gt;"",X187&lt;&gt;"",Y187&lt;&gt;""),"COMPLETE","MISSING FIELDS")))</f>
        <v/>
      </c>
    </row>
    <row r="188" ht="15" customHeight="1" s="15">
      <c r="A188" s="27" t="inlineStr">
        <is>
          <t>LEAD-0184</t>
        </is>
      </c>
      <c r="B188" s="27" t="inlineStr">
        <is>
          <t>Daniel Thornton</t>
        </is>
      </c>
      <c r="C188" s="27" t="inlineStr">
        <is>
          <t>Podcaster</t>
        </is>
      </c>
      <c r="D188" s="27" t="inlineStr">
        <is>
          <t>US</t>
        </is>
      </c>
      <c r="E188" s="27" t="inlineStr">
        <is>
          <t>English</t>
        </is>
      </c>
      <c r="F188" s="27" t="inlineStr">
        <is>
          <t>Apple Podcasts</t>
        </is>
      </c>
      <c r="G188" s="27" t="inlineStr">
        <is>
          <t>https://podcasts.apple.com/us/podcast/danielthornton/id1000184</t>
        </is>
      </c>
      <c r="H188" s="27" t="inlineStr">
        <is>
          <t>AP-US-1000184</t>
        </is>
      </c>
      <c r="I188" s="27" t="inlineStr">
        <is>
          <t>120,000</t>
        </is>
      </c>
      <c r="J188" s="27" t="inlineStr">
        <is>
          <t>2026-10-10</t>
        </is>
      </c>
      <c r="K188" s="27" t="inlineStr">
        <is>
          <t>https://danielthornton.com/episodes/185</t>
        </is>
      </c>
      <c r="L188" s="27" t="n">
        <v>12</v>
      </c>
      <c r="M188" s="27" t="n">
        <v>20</v>
      </c>
      <c r="N188" s="27" t="inlineStr">
        <is>
          <t>Membership</t>
        </is>
      </c>
      <c r="O188" s="27" t="inlineStr">
        <is>
          <t>https://danielthornton.com/community</t>
        </is>
      </c>
      <c r="P188" s="27" t="inlineStr">
        <is>
          <t>Inconsistent Cross-Platform Publishing</t>
        </is>
      </c>
      <c r="Q188" s="27" t="inlineStr">
        <is>
          <t>https://danielthornton.com/highlights</t>
        </is>
      </c>
      <c r="R188" s="27" t="inlineStr">
        <is>
          <t>Email</t>
        </is>
      </c>
      <c r="S188" s="27" t="inlineStr">
        <is>
          <t>contact@danielthornton.com</t>
        </is>
      </c>
      <c r="T188" s="27" t="inlineStr">
        <is>
          <t>https://danielthornton.com/contact</t>
        </is>
      </c>
      <c r="U188" s="27" t="inlineStr">
        <is>
          <t>LinkedIn</t>
        </is>
      </c>
      <c r="V188" s="27" t="inlineStr">
        <is>
          <t>leadership &amp; team ops frameworks, specifically regarding episode 35 on Leadership &amp; Team Ops workflow optimization</t>
        </is>
      </c>
      <c r="W188" s="27" t="inlineStr">
        <is>
          <t>Hi Daniel,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88" s="27" t="inlineStr">
        <is>
          <t>2026-10-18</t>
        </is>
      </c>
      <c r="Y188" s="27" t="inlineStr">
        <is>
          <t>B</t>
        </is>
      </c>
      <c r="Z188" s="27" t="n">
        <v>85.3</v>
      </c>
      <c r="AA188" s="27" t="inlineStr">
        <is>
          <t>Qualified</t>
        </is>
      </c>
      <c r="AB188" s="27" t="inlineStr"/>
      <c r="AC188" s="28">
        <f>IF(A188="","",IF(COUNTIF($H$5:$H$1004,H188)&gt;1,"DUPLICATE","UNIQUE"))</f>
        <v/>
      </c>
      <c r="AD188" s="28">
        <f>IF(A188="","",IF(AA188="Rejected",IF(AB188&lt;&gt;"","REJECTED","ADD REASON"),IF(AND(B188&lt;&gt;"",C188&lt;&gt;"",D188&lt;&gt;"",E188&lt;&gt;"",F188&lt;&gt;"",G188&lt;&gt;"",H188&lt;&gt;"",J188&lt;&gt;"",K188&lt;&gt;"",N188&lt;&gt;"",O188&lt;&gt;"",P188&lt;&gt;"",Q188&lt;&gt;"",R188&lt;&gt;"",S188&lt;&gt;"",T188&lt;&gt;"",V188&lt;&gt;"",W188&lt;&gt;"",X188&lt;&gt;"",Y188&lt;&gt;""),"COMPLETE","MISSING FIELDS")))</f>
        <v/>
      </c>
    </row>
    <row r="189" ht="15" customHeight="1" s="15">
      <c r="A189" s="27" t="inlineStr">
        <is>
          <t>LEAD-0185</t>
        </is>
      </c>
      <c r="B189" s="27" t="inlineStr">
        <is>
          <t>Daniel Wellington</t>
        </is>
      </c>
      <c r="C189" s="27" t="inlineStr">
        <is>
          <t>Expert-Led Creator</t>
        </is>
      </c>
      <c r="D189" s="27" t="inlineStr">
        <is>
          <t>US</t>
        </is>
      </c>
      <c r="E189" s="27" t="inlineStr">
        <is>
          <t>English</t>
        </is>
      </c>
      <c r="F189" s="27" t="inlineStr">
        <is>
          <t>LinkedIn</t>
        </is>
      </c>
      <c r="G189" s="27" t="inlineStr">
        <is>
          <t>https://www.linkedin.com/in/danielwellington</t>
        </is>
      </c>
      <c r="H189" s="27" t="inlineStr">
        <is>
          <t>LI-danielwellington-0185</t>
        </is>
      </c>
      <c r="I189" s="27" t="inlineStr">
        <is>
          <t>36,000</t>
        </is>
      </c>
      <c r="J189" s="27" t="inlineStr">
        <is>
          <t>2026-10-11</t>
        </is>
      </c>
      <c r="K189" s="27" t="inlineStr">
        <is>
          <t>https://danielwellington.com/posts/36</t>
        </is>
      </c>
      <c r="L189" s="27" t="n">
        <v>13</v>
      </c>
      <c r="M189" s="27" t="n">
        <v>21</v>
      </c>
      <c r="N189" s="27" t="inlineStr">
        <is>
          <t>Product</t>
        </is>
      </c>
      <c r="O189" s="27" t="inlineStr">
        <is>
          <t>https://danielwellington.com/shop</t>
        </is>
      </c>
      <c r="P189" s="27" t="inlineStr">
        <is>
          <t>Editing Backlog &amp; Team Workflow Overhead</t>
        </is>
      </c>
      <c r="Q189" s="27" t="inlineStr">
        <is>
          <t>https://danielwellington.com/highlights</t>
        </is>
      </c>
      <c r="R189" s="27" t="inlineStr">
        <is>
          <t>LinkedIn</t>
        </is>
      </c>
      <c r="S189" s="27" t="inlineStr">
        <is>
          <t>https://linkedin.com/in/danielwellington</t>
        </is>
      </c>
      <c r="T189" s="27" t="inlineStr">
        <is>
          <t>https://danielwellington.com/about</t>
        </is>
      </c>
      <c r="U189" s="27" t="inlineStr">
        <is>
          <t>Email</t>
        </is>
      </c>
      <c r="V189" s="27" t="inlineStr">
        <is>
          <t>b2b marketing &amp; sales frameworks, specifically regarding episode 36 on B2B Marketing &amp; Sales workflow optimization</t>
        </is>
      </c>
      <c r="W189" s="27" t="inlineStr">
        <is>
          <t>Hi Daniel,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89" s="27" t="inlineStr">
        <is>
          <t>2026-10-18</t>
        </is>
      </c>
      <c r="Y189" s="27" t="inlineStr">
        <is>
          <t>B</t>
        </is>
      </c>
      <c r="Z189" s="27" t="n">
        <v>85.2</v>
      </c>
      <c r="AA189" s="27" t="inlineStr">
        <is>
          <t>Qualified</t>
        </is>
      </c>
      <c r="AB189" s="27" t="inlineStr"/>
      <c r="AC189" s="28">
        <f>IF(A189="","",IF(COUNTIF($H$5:$H$1004,H189)&gt;1,"DUPLICATE","UNIQUE"))</f>
        <v/>
      </c>
      <c r="AD189" s="28">
        <f>IF(A189="","",IF(AA189="Rejected",IF(AB189&lt;&gt;"","REJECTED","ADD REASON"),IF(AND(B189&lt;&gt;"",C189&lt;&gt;"",D189&lt;&gt;"",E189&lt;&gt;"",F189&lt;&gt;"",G189&lt;&gt;"",H189&lt;&gt;"",J189&lt;&gt;"",K189&lt;&gt;"",N189&lt;&gt;"",O189&lt;&gt;"",P189&lt;&gt;"",Q189&lt;&gt;"",R189&lt;&gt;"",S189&lt;&gt;"",T189&lt;&gt;"",V189&lt;&gt;"",W189&lt;&gt;"",X189&lt;&gt;"",Y189&lt;&gt;""),"COMPLETE","MISSING FIELDS")))</f>
        <v/>
      </c>
    </row>
    <row r="190" ht="15" customHeight="1" s="15">
      <c r="A190" s="27" t="inlineStr">
        <is>
          <t>LEAD-0186</t>
        </is>
      </c>
      <c r="B190" s="27" t="inlineStr">
        <is>
          <t>Elijah Ashford</t>
        </is>
      </c>
      <c r="C190" s="27" t="inlineStr">
        <is>
          <t>YouTuber</t>
        </is>
      </c>
      <c r="D190" s="27" t="inlineStr">
        <is>
          <t>US</t>
        </is>
      </c>
      <c r="E190" s="27" t="inlineStr">
        <is>
          <t>English</t>
        </is>
      </c>
      <c r="F190" s="27" t="inlineStr">
        <is>
          <t>YouTube</t>
        </is>
      </c>
      <c r="G190" s="27" t="inlineStr">
        <is>
          <t>https://www.youtube.com/@elijahashford</t>
        </is>
      </c>
      <c r="H190" s="27" t="inlineStr">
        <is>
          <t>UCUS00186321804</t>
        </is>
      </c>
      <c r="I190" s="27" t="inlineStr">
        <is>
          <t>240,000</t>
        </is>
      </c>
      <c r="J190" s="27" t="inlineStr">
        <is>
          <t>2026-10-12</t>
        </is>
      </c>
      <c r="K190" s="27" t="inlineStr">
        <is>
          <t>https://www.youtube.com/watch?v=us00186</t>
        </is>
      </c>
      <c r="L190" s="27" t="n">
        <v>14</v>
      </c>
      <c r="M190" s="27" t="n">
        <v>22</v>
      </c>
      <c r="N190" s="27" t="inlineStr">
        <is>
          <t>Consulting</t>
        </is>
      </c>
      <c r="O190" s="27" t="inlineStr">
        <is>
          <t>https://elijahashford.com/advisory</t>
        </is>
      </c>
      <c r="P190" s="27" t="inlineStr">
        <is>
          <t>Multilingual Audio Dubbing</t>
        </is>
      </c>
      <c r="Q190" s="27" t="inlineStr">
        <is>
          <t>https://elijahashford.com/highlights</t>
        </is>
      </c>
      <c r="R190" s="27" t="inlineStr">
        <is>
          <t>X (Twitter)</t>
        </is>
      </c>
      <c r="S190" s="27" t="inlineStr">
        <is>
          <t>https://x.com/elijahashford</t>
        </is>
      </c>
      <c r="T190" s="27" t="inlineStr">
        <is>
          <t>https://elijahashford.com/links</t>
        </is>
      </c>
      <c r="U190" s="27" t="inlineStr">
        <is>
          <t>LinkedIn</t>
        </is>
      </c>
      <c r="V190" s="27" t="inlineStr">
        <is>
          <t>finance &amp; wealth engineering frameworks, specifically regarding episode 37 on Finance &amp; Wealth Engineering workflow optimization</t>
        </is>
      </c>
      <c r="W190" s="27" t="inlineStr">
        <is>
          <t>Hi Elijah,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90" s="27" t="inlineStr">
        <is>
          <t>2026-10-18</t>
        </is>
      </c>
      <c r="Y190" s="27" t="inlineStr">
        <is>
          <t>B</t>
        </is>
      </c>
      <c r="Z190" s="27" t="n">
        <v>85.09999999999999</v>
      </c>
      <c r="AA190" s="27" t="inlineStr">
        <is>
          <t>Qualified</t>
        </is>
      </c>
      <c r="AB190" s="27" t="inlineStr"/>
      <c r="AC190" s="28">
        <f>IF(A190="","",IF(COUNTIF($H$5:$H$1004,H190)&gt;1,"DUPLICATE","UNIQUE"))</f>
        <v/>
      </c>
      <c r="AD190" s="28">
        <f>IF(A190="","",IF(AA190="Rejected",IF(AB190&lt;&gt;"","REJECTED","ADD REASON"),IF(AND(B190&lt;&gt;"",C190&lt;&gt;"",D190&lt;&gt;"",E190&lt;&gt;"",F190&lt;&gt;"",G190&lt;&gt;"",H190&lt;&gt;"",J190&lt;&gt;"",K190&lt;&gt;"",N190&lt;&gt;"",O190&lt;&gt;"",P190&lt;&gt;"",Q190&lt;&gt;"",R190&lt;&gt;"",S190&lt;&gt;"",T190&lt;&gt;"",V190&lt;&gt;"",W190&lt;&gt;"",X190&lt;&gt;"",Y190&lt;&gt;""),"COMPLETE","MISSING FIELDS")))</f>
        <v/>
      </c>
    </row>
    <row r="191" ht="15" customHeight="1" s="15">
      <c r="A191" s="27" t="inlineStr">
        <is>
          <t>LEAD-0187</t>
        </is>
      </c>
      <c r="B191" s="27" t="inlineStr">
        <is>
          <t>Elijah Bancroft</t>
        </is>
      </c>
      <c r="C191" s="27" t="inlineStr">
        <is>
          <t>Podcaster</t>
        </is>
      </c>
      <c r="D191" s="27" t="inlineStr">
        <is>
          <t>US</t>
        </is>
      </c>
      <c r="E191" s="27" t="inlineStr">
        <is>
          <t>English</t>
        </is>
      </c>
      <c r="F191" s="27" t="inlineStr">
        <is>
          <t>Apple Podcasts</t>
        </is>
      </c>
      <c r="G191" s="27" t="inlineStr">
        <is>
          <t>https://podcasts.apple.com/us/podcast/elijahbancroft/id1000187</t>
        </is>
      </c>
      <c r="H191" s="27" t="inlineStr">
        <is>
          <t>AP-US-1000187</t>
        </is>
      </c>
      <c r="I191" s="27" t="inlineStr">
        <is>
          <t>156,000</t>
        </is>
      </c>
      <c r="J191" s="27" t="inlineStr">
        <is>
          <t>2026-10-13</t>
        </is>
      </c>
      <c r="K191" s="27" t="inlineStr">
        <is>
          <t>https://elijahbancroft.com/episodes/188</t>
        </is>
      </c>
      <c r="L191" s="27" t="n">
        <v>15</v>
      </c>
      <c r="M191" s="27" t="n">
        <v>23</v>
      </c>
      <c r="N191" s="27" t="inlineStr">
        <is>
          <t>Newsletter Subscription</t>
        </is>
      </c>
      <c r="O191" s="27" t="inlineStr">
        <is>
          <t>https://elijahbancroft.com/subscribe</t>
        </is>
      </c>
      <c r="P191" s="27" t="inlineStr">
        <is>
          <t>Multilingual Audio Dubbing</t>
        </is>
      </c>
      <c r="Q191" s="27" t="inlineStr">
        <is>
          <t>https://elijahbancroft.com/highlights</t>
        </is>
      </c>
      <c r="R191" s="27" t="inlineStr">
        <is>
          <t>Email</t>
        </is>
      </c>
      <c r="S191" s="27" t="inlineStr">
        <is>
          <t>hello@elijahbancroft.com</t>
        </is>
      </c>
      <c r="T191" s="27" t="inlineStr">
        <is>
          <t>https://elijahbancroft.com/work-with-me</t>
        </is>
      </c>
      <c r="U191" s="27" t="inlineStr">
        <is>
          <t>LinkedIn</t>
        </is>
      </c>
      <c r="V191" s="27" t="inlineStr">
        <is>
          <t>health &amp; longevity science frameworks, specifically regarding episode 38 on Health &amp; Longevity Science workflow optimization</t>
        </is>
      </c>
      <c r="W191" s="27" t="inlineStr">
        <is>
          <t>Hi Elijah,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91" s="27" t="inlineStr">
        <is>
          <t>2026-10-18</t>
        </is>
      </c>
      <c r="Y191" s="27" t="inlineStr">
        <is>
          <t>B</t>
        </is>
      </c>
      <c r="Z191" s="27" t="n">
        <v>85</v>
      </c>
      <c r="AA191" s="27" t="inlineStr">
        <is>
          <t>Qualified</t>
        </is>
      </c>
      <c r="AB191" s="27" t="inlineStr"/>
      <c r="AC191" s="28">
        <f>IF(A191="","",IF(COUNTIF($H$5:$H$1004,H191)&gt;1,"DUPLICATE","UNIQUE"))</f>
        <v/>
      </c>
      <c r="AD191" s="28">
        <f>IF(A191="","",IF(AA191="Rejected",IF(AB191&lt;&gt;"","REJECTED","ADD REASON"),IF(AND(B191&lt;&gt;"",C191&lt;&gt;"",D191&lt;&gt;"",E191&lt;&gt;"",F191&lt;&gt;"",G191&lt;&gt;"",H191&lt;&gt;"",J191&lt;&gt;"",K191&lt;&gt;"",N191&lt;&gt;"",O191&lt;&gt;"",P191&lt;&gt;"",Q191&lt;&gt;"",R191&lt;&gt;"",S191&lt;&gt;"",T191&lt;&gt;"",V191&lt;&gt;"",W191&lt;&gt;"",X191&lt;&gt;"",Y191&lt;&gt;""),"COMPLETE","MISSING FIELDS")))</f>
        <v/>
      </c>
    </row>
    <row r="192" ht="15" customHeight="1" s="15">
      <c r="A192" s="27" t="inlineStr">
        <is>
          <t>LEAD-0188</t>
        </is>
      </c>
      <c r="B192" s="27" t="inlineStr">
        <is>
          <t>Elijah Calloway</t>
        </is>
      </c>
      <c r="C192" s="27" t="inlineStr">
        <is>
          <t>YouTuber</t>
        </is>
      </c>
      <c r="D192" s="27" t="inlineStr">
        <is>
          <t>US</t>
        </is>
      </c>
      <c r="E192" s="27" t="inlineStr">
        <is>
          <t>English</t>
        </is>
      </c>
      <c r="F192" s="27" t="inlineStr">
        <is>
          <t>YouTube</t>
        </is>
      </c>
      <c r="G192" s="27" t="inlineStr">
        <is>
          <t>https://www.youtube.com/@elijahcalloway</t>
        </is>
      </c>
      <c r="H192" s="27" t="inlineStr">
        <is>
          <t>UCUS00188153360</t>
        </is>
      </c>
      <c r="I192" s="27" t="inlineStr">
        <is>
          <t>280,000</t>
        </is>
      </c>
      <c r="J192" s="27" t="inlineStr">
        <is>
          <t>2026-10-14</t>
        </is>
      </c>
      <c r="K192" s="27" t="inlineStr">
        <is>
          <t>https://www.youtube.com/watch?v=us00188</t>
        </is>
      </c>
      <c r="L192" s="27" t="n">
        <v>16</v>
      </c>
      <c r="M192" s="27" t="n">
        <v>24</v>
      </c>
      <c r="N192" s="27" t="inlineStr">
        <is>
          <t>Affiliate</t>
        </is>
      </c>
      <c r="O192" s="27" t="inlineStr">
        <is>
          <t>https://elijahcalloway.com/resources</t>
        </is>
      </c>
      <c r="P192" s="27" t="inlineStr">
        <is>
          <t>Missing Video Captions &amp; Retention Clips</t>
        </is>
      </c>
      <c r="Q192" s="27" t="inlineStr">
        <is>
          <t>https://elijahcalloway.com/highlights</t>
        </is>
      </c>
      <c r="R192" s="27" t="inlineStr">
        <is>
          <t>Email</t>
        </is>
      </c>
      <c r="S192" s="27" t="inlineStr">
        <is>
          <t>contact@elijahcalloway.com</t>
        </is>
      </c>
      <c r="T192" s="27" t="inlineStr">
        <is>
          <t>https://elijahcalloway.com/contact</t>
        </is>
      </c>
      <c r="U192" s="27" t="inlineStr">
        <is>
          <t>LinkedIn</t>
        </is>
      </c>
      <c r="V192" s="27" t="inlineStr">
        <is>
          <t>education &amp; applied coding frameworks, specifically regarding episode 39 on Education &amp; Applied Coding workflow optimization</t>
        </is>
      </c>
      <c r="W192" s="27" t="inlineStr">
        <is>
          <t>Hi Elijah,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92" s="27" t="inlineStr">
        <is>
          <t>2026-10-18</t>
        </is>
      </c>
      <c r="Y192" s="27" t="inlineStr">
        <is>
          <t>B</t>
        </is>
      </c>
      <c r="Z192" s="27" t="n">
        <v>85</v>
      </c>
      <c r="AA192" s="27" t="inlineStr">
        <is>
          <t>Qualified</t>
        </is>
      </c>
      <c r="AB192" s="27" t="inlineStr"/>
      <c r="AC192" s="28">
        <f>IF(A192="","",IF(COUNTIF($H$5:$H$1004,H192)&gt;1,"DUPLICATE","UNIQUE"))</f>
        <v/>
      </c>
      <c r="AD192" s="28">
        <f>IF(A192="","",IF(AA192="Rejected",IF(AB192&lt;&gt;"","REJECTED","ADD REASON"),IF(AND(B192&lt;&gt;"",C192&lt;&gt;"",D192&lt;&gt;"",E192&lt;&gt;"",F192&lt;&gt;"",G192&lt;&gt;"",H192&lt;&gt;"",J192&lt;&gt;"",K192&lt;&gt;"",N192&lt;&gt;"",O192&lt;&gt;"",P192&lt;&gt;"",Q192&lt;&gt;"",R192&lt;&gt;"",S192&lt;&gt;"",T192&lt;&gt;"",V192&lt;&gt;"",W192&lt;&gt;"",X192&lt;&gt;"",Y192&lt;&gt;""),"COMPLETE","MISSING FIELDS")))</f>
        <v/>
      </c>
    </row>
    <row r="193" ht="15" customHeight="1" s="15">
      <c r="A193" s="27" t="inlineStr">
        <is>
          <t>LEAD-0189</t>
        </is>
      </c>
      <c r="B193" s="27" t="inlineStr">
        <is>
          <t>Elijah Delaney</t>
        </is>
      </c>
      <c r="C193" s="27" t="inlineStr">
        <is>
          <t>Podcaster</t>
        </is>
      </c>
      <c r="D193" s="27" t="inlineStr">
        <is>
          <t>US</t>
        </is>
      </c>
      <c r="E193" s="27" t="inlineStr">
        <is>
          <t>English</t>
        </is>
      </c>
      <c r="F193" s="27" t="inlineStr">
        <is>
          <t>Apple Podcasts</t>
        </is>
      </c>
      <c r="G193" s="27" t="inlineStr">
        <is>
          <t>https://podcasts.apple.com/us/podcast/elijahdelaney/id1000189</t>
        </is>
      </c>
      <c r="H193" s="27" t="inlineStr">
        <is>
          <t>AP-US-1000189</t>
        </is>
      </c>
      <c r="I193" s="27" t="inlineStr">
        <is>
          <t>180,000</t>
        </is>
      </c>
      <c r="J193" s="27" t="inlineStr">
        <is>
          <t>2026-10-15</t>
        </is>
      </c>
      <c r="K193" s="27" t="inlineStr">
        <is>
          <t>https://elijahdelaney.com/episodes/190</t>
        </is>
      </c>
      <c r="L193" s="27" t="n">
        <v>17</v>
      </c>
      <c r="M193" s="27" t="n">
        <v>25</v>
      </c>
      <c r="N193" s="27" t="inlineStr">
        <is>
          <t>Course</t>
        </is>
      </c>
      <c r="O193" s="27" t="inlineStr">
        <is>
          <t>https://elijahdelaney.com/academy</t>
        </is>
      </c>
      <c r="P193" s="27" t="inlineStr">
        <is>
          <t>Shorts Repurposing Bottleneck</t>
        </is>
      </c>
      <c r="Q193" s="27" t="inlineStr">
        <is>
          <t>https://elijahdelaney.com/highlights</t>
        </is>
      </c>
      <c r="R193" s="27" t="inlineStr">
        <is>
          <t>LinkedIn</t>
        </is>
      </c>
      <c r="S193" s="27" t="inlineStr">
        <is>
          <t>https://linkedin.com/in/elijahdelaney</t>
        </is>
      </c>
      <c r="T193" s="27" t="inlineStr">
        <is>
          <t>https://elijahdelaney.com/about</t>
        </is>
      </c>
      <c r="U193" s="27" t="inlineStr">
        <is>
          <t>Email</t>
        </is>
      </c>
      <c r="V193" s="27" t="inlineStr">
        <is>
          <t>e-commerce &amp; digital brands frameworks, specifically regarding episode 40 on E-Commerce &amp; Digital Brands workflow optimization</t>
        </is>
      </c>
      <c r="W193" s="27" t="inlineStr">
        <is>
          <t>Hi Elijah,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93" s="27" t="inlineStr">
        <is>
          <t>2026-10-18</t>
        </is>
      </c>
      <c r="Y193" s="27" t="inlineStr">
        <is>
          <t>B</t>
        </is>
      </c>
      <c r="Z193" s="27" t="n">
        <v>84.90000000000001</v>
      </c>
      <c r="AA193" s="27" t="inlineStr">
        <is>
          <t>Qualified</t>
        </is>
      </c>
      <c r="AB193" s="27" t="inlineStr"/>
      <c r="AC193" s="28">
        <f>IF(A193="","",IF(COUNTIF($H$5:$H$1004,H193)&gt;1,"DUPLICATE","UNIQUE"))</f>
        <v/>
      </c>
      <c r="AD193" s="28">
        <f>IF(A193="","",IF(AA193="Rejected",IF(AB193&lt;&gt;"","REJECTED","ADD REASON"),IF(AND(B193&lt;&gt;"",C193&lt;&gt;"",D193&lt;&gt;"",E193&lt;&gt;"",F193&lt;&gt;"",G193&lt;&gt;"",H193&lt;&gt;"",J193&lt;&gt;"",K193&lt;&gt;"",N193&lt;&gt;"",O193&lt;&gt;"",P193&lt;&gt;"",Q193&lt;&gt;"",R193&lt;&gt;"",S193&lt;&gt;"",T193&lt;&gt;"",V193&lt;&gt;"",W193&lt;&gt;"",X193&lt;&gt;"",Y193&lt;&gt;""),"COMPLETE","MISSING FIELDS")))</f>
        <v/>
      </c>
    </row>
    <row r="194" ht="15" customHeight="1" s="15">
      <c r="A194" s="27" t="inlineStr">
        <is>
          <t>LEAD-0190</t>
        </is>
      </c>
      <c r="B194" s="27" t="inlineStr">
        <is>
          <t>Elijah Eastwood</t>
        </is>
      </c>
      <c r="C194" s="27" t="inlineStr">
        <is>
          <t>YouTuber</t>
        </is>
      </c>
      <c r="D194" s="27" t="inlineStr">
        <is>
          <t>US</t>
        </is>
      </c>
      <c r="E194" s="27" t="inlineStr">
        <is>
          <t>English</t>
        </is>
      </c>
      <c r="F194" s="27" t="inlineStr">
        <is>
          <t>YouTube</t>
        </is>
      </c>
      <c r="G194" s="27" t="inlineStr">
        <is>
          <t>https://www.youtube.com/@elijaheastwood</t>
        </is>
      </c>
      <c r="H194" s="27" t="inlineStr">
        <is>
          <t>UCUS00190441392</t>
        </is>
      </c>
      <c r="I194" s="27" t="inlineStr">
        <is>
          <t>320,000</t>
        </is>
      </c>
      <c r="J194" s="27" t="inlineStr">
        <is>
          <t>2026-10-16</t>
        </is>
      </c>
      <c r="K194" s="27" t="inlineStr">
        <is>
          <t>https://www.youtube.com/watch?v=us00190</t>
        </is>
      </c>
      <c r="L194" s="27" t="n">
        <v>8</v>
      </c>
      <c r="M194" s="27" t="n">
        <v>26</v>
      </c>
      <c r="N194" s="27" t="inlineStr">
        <is>
          <t>Sponsor</t>
        </is>
      </c>
      <c r="O194" s="27" t="inlineStr">
        <is>
          <t>https://elijaheastwood.com/partners</t>
        </is>
      </c>
      <c r="P194" s="27" t="inlineStr">
        <is>
          <t>Shorts Repurposing Bottleneck</t>
        </is>
      </c>
      <c r="Q194" s="27" t="inlineStr">
        <is>
          <t>https://elijaheastwood.com/highlights</t>
        </is>
      </c>
      <c r="R194" s="27" t="inlineStr">
        <is>
          <t>X (Twitter)</t>
        </is>
      </c>
      <c r="S194" s="27" t="inlineStr">
        <is>
          <t>https://x.com/elijaheastwood</t>
        </is>
      </c>
      <c r="T194" s="27" t="inlineStr">
        <is>
          <t>https://elijaheastwood.com/links</t>
        </is>
      </c>
      <c r="U194" s="27" t="inlineStr">
        <is>
          <t>LinkedIn</t>
        </is>
      </c>
      <c r="V194" s="27" t="inlineStr">
        <is>
          <t>tech &amp; ai frameworks, specifically regarding episode 41 on Tech &amp; AI workflow optimization</t>
        </is>
      </c>
      <c r="W194" s="27" t="inlineStr">
        <is>
          <t>Hi Elijah,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94" s="27" t="inlineStr">
        <is>
          <t>2026-10-18</t>
        </is>
      </c>
      <c r="Y194" s="27" t="inlineStr">
        <is>
          <t>B</t>
        </is>
      </c>
      <c r="Z194" s="27" t="n">
        <v>84.8</v>
      </c>
      <c r="AA194" s="27" t="inlineStr">
        <is>
          <t>Qualified</t>
        </is>
      </c>
      <c r="AB194" s="27" t="inlineStr"/>
      <c r="AC194" s="28">
        <f>IF(A194="","",IF(COUNTIF($H$5:$H$1004,H194)&gt;1,"DUPLICATE","UNIQUE"))</f>
        <v/>
      </c>
      <c r="AD194" s="28">
        <f>IF(A194="","",IF(AA194="Rejected",IF(AB194&lt;&gt;"","REJECTED","ADD REASON"),IF(AND(B194&lt;&gt;"",C194&lt;&gt;"",D194&lt;&gt;"",E194&lt;&gt;"",F194&lt;&gt;"",G194&lt;&gt;"",H194&lt;&gt;"",J194&lt;&gt;"",K194&lt;&gt;"",N194&lt;&gt;"",O194&lt;&gt;"",P194&lt;&gt;"",Q194&lt;&gt;"",R194&lt;&gt;"",S194&lt;&gt;"",T194&lt;&gt;"",V194&lt;&gt;"",W194&lt;&gt;"",X194&lt;&gt;"",Y194&lt;&gt;""),"COMPLETE","MISSING FIELDS")))</f>
        <v/>
      </c>
    </row>
    <row r="195" ht="15" customHeight="1" s="15">
      <c r="A195" s="27" t="inlineStr">
        <is>
          <t>LEAD-0191</t>
        </is>
      </c>
      <c r="B195" s="27" t="inlineStr">
        <is>
          <t>Elijah Fairchild</t>
        </is>
      </c>
      <c r="C195" s="27" t="inlineStr">
        <is>
          <t>Podcaster</t>
        </is>
      </c>
      <c r="D195" s="27" t="inlineStr">
        <is>
          <t>US</t>
        </is>
      </c>
      <c r="E195" s="27" t="inlineStr">
        <is>
          <t>English</t>
        </is>
      </c>
      <c r="F195" s="27" t="inlineStr">
        <is>
          <t>Apple Podcasts</t>
        </is>
      </c>
      <c r="G195" s="27" t="inlineStr">
        <is>
          <t>https://podcasts.apple.com/us/podcast/elijahfairchild/id1000191</t>
        </is>
      </c>
      <c r="H195" s="27" t="inlineStr">
        <is>
          <t>AP-US-1000191</t>
        </is>
      </c>
      <c r="I195" s="27" t="inlineStr">
        <is>
          <t>204,000</t>
        </is>
      </c>
      <c r="J195" s="27" t="inlineStr">
        <is>
          <t>2026-10-17</t>
        </is>
      </c>
      <c r="K195" s="27" t="inlineStr">
        <is>
          <t>https://elijahfairchild.com/episodes/192</t>
        </is>
      </c>
      <c r="L195" s="27" t="n">
        <v>9</v>
      </c>
      <c r="M195" s="27" t="n">
        <v>27</v>
      </c>
      <c r="N195" s="27" t="inlineStr">
        <is>
          <t>Membership</t>
        </is>
      </c>
      <c r="O195" s="27" t="inlineStr">
        <is>
          <t>https://elijahfairchild.com/community</t>
        </is>
      </c>
      <c r="P195" s="27" t="inlineStr">
        <is>
          <t>Missing Video Captions &amp; Retention Clips</t>
        </is>
      </c>
      <c r="Q195" s="27" t="inlineStr">
        <is>
          <t>https://elijahfairchild.com/highlights</t>
        </is>
      </c>
      <c r="R195" s="27" t="inlineStr">
        <is>
          <t>Email</t>
        </is>
      </c>
      <c r="S195" s="27" t="inlineStr">
        <is>
          <t>hello@elijahfairchild.com</t>
        </is>
      </c>
      <c r="T195" s="27" t="inlineStr">
        <is>
          <t>https://elijahfairchild.com/work-with-me</t>
        </is>
      </c>
      <c r="U195" s="27" t="inlineStr">
        <is>
          <t>LinkedIn</t>
        </is>
      </c>
      <c r="V195" s="27" t="inlineStr">
        <is>
          <t>saas &amp; product growth frameworks, specifically regarding episode 42 on SaaS &amp; Product Growth workflow optimization</t>
        </is>
      </c>
      <c r="W195" s="27" t="inlineStr">
        <is>
          <t>Hi Elijah,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95" s="27" t="inlineStr">
        <is>
          <t>2026-10-18</t>
        </is>
      </c>
      <c r="Y195" s="27" t="inlineStr">
        <is>
          <t>B</t>
        </is>
      </c>
      <c r="Z195" s="27" t="n">
        <v>84.7</v>
      </c>
      <c r="AA195" s="27" t="inlineStr">
        <is>
          <t>Qualified</t>
        </is>
      </c>
      <c r="AB195" s="27" t="inlineStr"/>
      <c r="AC195" s="28">
        <f>IF(A195="","",IF(COUNTIF($H$5:$H$1004,H195)&gt;1,"DUPLICATE","UNIQUE"))</f>
        <v/>
      </c>
      <c r="AD195" s="28">
        <f>IF(A195="","",IF(AA195="Rejected",IF(AB195&lt;&gt;"","REJECTED","ADD REASON"),IF(AND(B195&lt;&gt;"",C195&lt;&gt;"",D195&lt;&gt;"",E195&lt;&gt;"",F195&lt;&gt;"",G195&lt;&gt;"",H195&lt;&gt;"",J195&lt;&gt;"",K195&lt;&gt;"",N195&lt;&gt;"",O195&lt;&gt;"",P195&lt;&gt;"",Q195&lt;&gt;"",R195&lt;&gt;"",S195&lt;&gt;"",T195&lt;&gt;"",V195&lt;&gt;"",W195&lt;&gt;"",X195&lt;&gt;"",Y195&lt;&gt;""),"COMPLETE","MISSING FIELDS")))</f>
        <v/>
      </c>
    </row>
    <row r="196" ht="15" customHeight="1" s="15">
      <c r="A196" s="27" t="inlineStr">
        <is>
          <t>LEAD-0192</t>
        </is>
      </c>
      <c r="B196" s="27" t="inlineStr">
        <is>
          <t>Elijah Gallagher</t>
        </is>
      </c>
      <c r="C196" s="27" t="inlineStr">
        <is>
          <t>Expert-Led Creator</t>
        </is>
      </c>
      <c r="D196" s="27" t="inlineStr">
        <is>
          <t>US</t>
        </is>
      </c>
      <c r="E196" s="27" t="inlineStr">
        <is>
          <t>English</t>
        </is>
      </c>
      <c r="F196" s="27" t="inlineStr">
        <is>
          <t>YouTube</t>
        </is>
      </c>
      <c r="G196" s="27" t="inlineStr">
        <is>
          <t>https://www.youtube.com/@elijahgallagher</t>
        </is>
      </c>
      <c r="H196" s="27" t="inlineStr">
        <is>
          <t>UCUS00192170704</t>
        </is>
      </c>
      <c r="I196" s="27" t="inlineStr">
        <is>
          <t>360,000</t>
        </is>
      </c>
      <c r="J196" s="27" t="inlineStr">
        <is>
          <t>2026-10-10</t>
        </is>
      </c>
      <c r="K196" s="27" t="inlineStr">
        <is>
          <t>https://www.youtube.com/watch?v=us00192</t>
        </is>
      </c>
      <c r="L196" s="27" t="n">
        <v>10</v>
      </c>
      <c r="M196" s="27" t="n">
        <v>28</v>
      </c>
      <c r="N196" s="27" t="inlineStr">
        <is>
          <t>Product</t>
        </is>
      </c>
      <c r="O196" s="27" t="inlineStr">
        <is>
          <t>https://elijahgallagher.com/shop</t>
        </is>
      </c>
      <c r="P196" s="27" t="inlineStr">
        <is>
          <t>Editing Backlog &amp; Team Workflow Overhead</t>
        </is>
      </c>
      <c r="Q196" s="27" t="inlineStr">
        <is>
          <t>https://elijahgallagher.com/highlights</t>
        </is>
      </c>
      <c r="R196" s="27" t="inlineStr">
        <is>
          <t>Email</t>
        </is>
      </c>
      <c r="S196" s="27" t="inlineStr">
        <is>
          <t>contact@elijahgallagher.com</t>
        </is>
      </c>
      <c r="T196" s="27" t="inlineStr">
        <is>
          <t>https://elijahgallagher.com/contact</t>
        </is>
      </c>
      <c r="U196" s="27" t="inlineStr">
        <is>
          <t>LinkedIn</t>
        </is>
      </c>
      <c r="V196" s="27" t="inlineStr">
        <is>
          <t>creator business &amp; monetization frameworks, specifically regarding episode 43 on Creator Business &amp; Monetization workflow optimization</t>
        </is>
      </c>
      <c r="W196" s="27" t="inlineStr">
        <is>
          <t>Hi Elijah,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96" s="27" t="inlineStr">
        <is>
          <t>2026-10-18</t>
        </is>
      </c>
      <c r="Y196" s="27" t="inlineStr">
        <is>
          <t>B</t>
        </is>
      </c>
      <c r="Z196" s="27" t="n">
        <v>84.59999999999999</v>
      </c>
      <c r="AA196" s="27" t="inlineStr">
        <is>
          <t>Qualified</t>
        </is>
      </c>
      <c r="AB196" s="27" t="inlineStr"/>
      <c r="AC196" s="28">
        <f>IF(A196="","",IF(COUNTIF($H$5:$H$1004,H196)&gt;1,"DUPLICATE","UNIQUE"))</f>
        <v/>
      </c>
      <c r="AD196" s="28">
        <f>IF(A196="","",IF(AA196="Rejected",IF(AB196&lt;&gt;"","REJECTED","ADD REASON"),IF(AND(B196&lt;&gt;"",C196&lt;&gt;"",D196&lt;&gt;"",E196&lt;&gt;"",F196&lt;&gt;"",G196&lt;&gt;"",H196&lt;&gt;"",J196&lt;&gt;"",K196&lt;&gt;"",N196&lt;&gt;"",O196&lt;&gt;"",P196&lt;&gt;"",Q196&lt;&gt;"",R196&lt;&gt;"",S196&lt;&gt;"",T196&lt;&gt;"",V196&lt;&gt;"",W196&lt;&gt;"",X196&lt;&gt;"",Y196&lt;&gt;""),"COMPLETE","MISSING FIELDS")))</f>
        <v/>
      </c>
    </row>
    <row r="197" ht="15" customHeight="1" s="15">
      <c r="A197" s="27" t="inlineStr">
        <is>
          <t>LEAD-0193</t>
        </is>
      </c>
      <c r="B197" s="27" t="inlineStr">
        <is>
          <t>Elijah Hawthorne</t>
        </is>
      </c>
      <c r="C197" s="27" t="inlineStr">
        <is>
          <t>YouTuber</t>
        </is>
      </c>
      <c r="D197" s="27" t="inlineStr">
        <is>
          <t>US</t>
        </is>
      </c>
      <c r="E197" s="27" t="inlineStr">
        <is>
          <t>English</t>
        </is>
      </c>
      <c r="F197" s="27" t="inlineStr">
        <is>
          <t>YouTube</t>
        </is>
      </c>
      <c r="G197" s="27" t="inlineStr">
        <is>
          <t>https://www.youtube.com/@elijahhawthorne</t>
        </is>
      </c>
      <c r="H197" s="27" t="inlineStr">
        <is>
          <t>UCUS00193961845</t>
        </is>
      </c>
      <c r="I197" s="27" t="inlineStr">
        <is>
          <t>380,000</t>
        </is>
      </c>
      <c r="J197" s="27" t="inlineStr">
        <is>
          <t>2026-10-11</t>
        </is>
      </c>
      <c r="K197" s="27" t="inlineStr">
        <is>
          <t>https://www.youtube.com/watch?v=us00193</t>
        </is>
      </c>
      <c r="L197" s="27" t="n">
        <v>11</v>
      </c>
      <c r="M197" s="27" t="n">
        <v>29</v>
      </c>
      <c r="N197" s="27" t="inlineStr">
        <is>
          <t>Consulting</t>
        </is>
      </c>
      <c r="O197" s="27" t="inlineStr">
        <is>
          <t>https://elijahhawthorne.com/advisory</t>
        </is>
      </c>
      <c r="P197" s="27" t="inlineStr">
        <is>
          <t>Shorts Repurposing Bottleneck</t>
        </is>
      </c>
      <c r="Q197" s="27" t="inlineStr">
        <is>
          <t>https://elijahhawthorne.com/highlights</t>
        </is>
      </c>
      <c r="R197" s="27" t="inlineStr">
        <is>
          <t>LinkedIn</t>
        </is>
      </c>
      <c r="S197" s="27" t="inlineStr">
        <is>
          <t>https://linkedin.com/in/elijahhawthorne</t>
        </is>
      </c>
      <c r="T197" s="27" t="inlineStr">
        <is>
          <t>https://elijahhawthorne.com/about</t>
        </is>
      </c>
      <c r="U197" s="27" t="inlineStr">
        <is>
          <t>Email</t>
        </is>
      </c>
      <c r="V197" s="27" t="inlineStr">
        <is>
          <t>productivity &amp; personal systems frameworks, specifically regarding episode 44 on Productivity &amp; Personal Systems workflow optimization</t>
        </is>
      </c>
      <c r="W197" s="27" t="inlineStr">
        <is>
          <t>Hi Elijah,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97" s="27" t="inlineStr">
        <is>
          <t>2026-10-18</t>
        </is>
      </c>
      <c r="Y197" s="27" t="inlineStr">
        <is>
          <t>B</t>
        </is>
      </c>
      <c r="Z197" s="27" t="n">
        <v>84.59999999999999</v>
      </c>
      <c r="AA197" s="27" t="inlineStr">
        <is>
          <t>Qualified</t>
        </is>
      </c>
      <c r="AB197" s="27" t="inlineStr"/>
      <c r="AC197" s="28">
        <f>IF(A197="","",IF(COUNTIF($H$5:$H$1004,H197)&gt;1,"DUPLICATE","UNIQUE"))</f>
        <v/>
      </c>
      <c r="AD197" s="28">
        <f>IF(A197="","",IF(AA197="Rejected",IF(AB197&lt;&gt;"","REJECTED","ADD REASON"),IF(AND(B197&lt;&gt;"",C197&lt;&gt;"",D197&lt;&gt;"",E197&lt;&gt;"",F197&lt;&gt;"",G197&lt;&gt;"",H197&lt;&gt;"",J197&lt;&gt;"",K197&lt;&gt;"",N197&lt;&gt;"",O197&lt;&gt;"",P197&lt;&gt;"",Q197&lt;&gt;"",R197&lt;&gt;"",S197&lt;&gt;"",T197&lt;&gt;"",V197&lt;&gt;"",W197&lt;&gt;"",X197&lt;&gt;"",Y197&lt;&gt;""),"COMPLETE","MISSING FIELDS")))</f>
        <v/>
      </c>
    </row>
    <row r="198" ht="15" customHeight="1" s="15">
      <c r="A198" s="27" t="inlineStr">
        <is>
          <t>LEAD-0194</t>
        </is>
      </c>
      <c r="B198" s="27" t="inlineStr">
        <is>
          <t>Elijah Ingram</t>
        </is>
      </c>
      <c r="C198" s="27" t="inlineStr">
        <is>
          <t>Podcaster</t>
        </is>
      </c>
      <c r="D198" s="27" t="inlineStr">
        <is>
          <t>US</t>
        </is>
      </c>
      <c r="E198" s="27" t="inlineStr">
        <is>
          <t>English</t>
        </is>
      </c>
      <c r="F198" s="27" t="inlineStr">
        <is>
          <t>Apple Podcasts</t>
        </is>
      </c>
      <c r="G198" s="27" t="inlineStr">
        <is>
          <t>https://podcasts.apple.com/us/podcast/elijahingram/id1000194</t>
        </is>
      </c>
      <c r="H198" s="27" t="inlineStr">
        <is>
          <t>AP-US-1000194</t>
        </is>
      </c>
      <c r="I198" s="27" t="inlineStr">
        <is>
          <t>240,000</t>
        </is>
      </c>
      <c r="J198" s="27" t="inlineStr">
        <is>
          <t>2026-10-12</t>
        </is>
      </c>
      <c r="K198" s="27" t="inlineStr">
        <is>
          <t>https://elijahingram.com/episodes/195</t>
        </is>
      </c>
      <c r="L198" s="27" t="n">
        <v>12</v>
      </c>
      <c r="M198" s="27" t="n">
        <v>30</v>
      </c>
      <c r="N198" s="27" t="inlineStr">
        <is>
          <t>Newsletter Subscription</t>
        </is>
      </c>
      <c r="O198" s="27" t="inlineStr">
        <is>
          <t>https://elijahingram.com/subscribe</t>
        </is>
      </c>
      <c r="P198" s="27" t="inlineStr">
        <is>
          <t>Inconsistent Cross-Platform Publishing</t>
        </is>
      </c>
      <c r="Q198" s="27" t="inlineStr">
        <is>
          <t>https://elijahingram.com/highlights</t>
        </is>
      </c>
      <c r="R198" s="27" t="inlineStr">
        <is>
          <t>X (Twitter)</t>
        </is>
      </c>
      <c r="S198" s="27" t="inlineStr">
        <is>
          <t>https://x.com/elijahingram</t>
        </is>
      </c>
      <c r="T198" s="27" t="inlineStr">
        <is>
          <t>https://elijahingram.com/links</t>
        </is>
      </c>
      <c r="U198" s="27" t="inlineStr">
        <is>
          <t>LinkedIn</t>
        </is>
      </c>
      <c r="V198" s="27" t="inlineStr">
        <is>
          <t>leadership &amp; team ops frameworks, specifically regarding episode 45 on Leadership &amp; Team Ops workflow optimization</t>
        </is>
      </c>
      <c r="W198" s="27" t="inlineStr">
        <is>
          <t>Hi Elijah,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98" s="27" t="inlineStr">
        <is>
          <t>2026-10-18</t>
        </is>
      </c>
      <c r="Y198" s="27" t="inlineStr">
        <is>
          <t>B</t>
        </is>
      </c>
      <c r="Z198" s="27" t="n">
        <v>84.5</v>
      </c>
      <c r="AA198" s="27" t="inlineStr">
        <is>
          <t>Qualified</t>
        </is>
      </c>
      <c r="AB198" s="27" t="inlineStr"/>
      <c r="AC198" s="28">
        <f>IF(A198="","",IF(COUNTIF($H$5:$H$1004,H198)&gt;1,"DUPLICATE","UNIQUE"))</f>
        <v/>
      </c>
      <c r="AD198" s="28">
        <f>IF(A198="","",IF(AA198="Rejected",IF(AB198&lt;&gt;"","REJECTED","ADD REASON"),IF(AND(B198&lt;&gt;"",C198&lt;&gt;"",D198&lt;&gt;"",E198&lt;&gt;"",F198&lt;&gt;"",G198&lt;&gt;"",H198&lt;&gt;"",J198&lt;&gt;"",K198&lt;&gt;"",N198&lt;&gt;"",O198&lt;&gt;"",P198&lt;&gt;"",Q198&lt;&gt;"",R198&lt;&gt;"",S198&lt;&gt;"",T198&lt;&gt;"",V198&lt;&gt;"",W198&lt;&gt;"",X198&lt;&gt;"",Y198&lt;&gt;""),"COMPLETE","MISSING FIELDS")))</f>
        <v/>
      </c>
    </row>
    <row r="199" ht="15" customHeight="1" s="15">
      <c r="A199" s="27" t="inlineStr">
        <is>
          <t>LEAD-0195</t>
        </is>
      </c>
      <c r="B199" s="27" t="inlineStr">
        <is>
          <t>Elijah Jennings</t>
        </is>
      </c>
      <c r="C199" s="27" t="inlineStr">
        <is>
          <t>Expert-Led Creator</t>
        </is>
      </c>
      <c r="D199" s="27" t="inlineStr">
        <is>
          <t>US</t>
        </is>
      </c>
      <c r="E199" s="27" t="inlineStr">
        <is>
          <t>English</t>
        </is>
      </c>
      <c r="F199" s="27" t="inlineStr">
        <is>
          <t>LinkedIn</t>
        </is>
      </c>
      <c r="G199" s="27" t="inlineStr">
        <is>
          <t>https://www.linkedin.com/in/elijahjennings</t>
        </is>
      </c>
      <c r="H199" s="27" t="inlineStr">
        <is>
          <t>LI-elijahjennings-0195</t>
        </is>
      </c>
      <c r="I199" s="27" t="inlineStr">
        <is>
          <t>96,000</t>
        </is>
      </c>
      <c r="J199" s="27" t="inlineStr">
        <is>
          <t>2026-10-13</t>
        </is>
      </c>
      <c r="K199" s="27" t="inlineStr">
        <is>
          <t>https://elijahjennings.com/posts/46</t>
        </is>
      </c>
      <c r="L199" s="27" t="n">
        <v>13</v>
      </c>
      <c r="M199" s="27" t="n">
        <v>31</v>
      </c>
      <c r="N199" s="27" t="inlineStr">
        <is>
          <t>Affiliate</t>
        </is>
      </c>
      <c r="O199" s="27" t="inlineStr">
        <is>
          <t>https://elijahjennings.com/resources</t>
        </is>
      </c>
      <c r="P199" s="27" t="inlineStr">
        <is>
          <t>Editing Backlog &amp; Team Workflow Overhead</t>
        </is>
      </c>
      <c r="Q199" s="27" t="inlineStr">
        <is>
          <t>https://elijahjennings.com/highlights</t>
        </is>
      </c>
      <c r="R199" s="27" t="inlineStr">
        <is>
          <t>Email</t>
        </is>
      </c>
      <c r="S199" s="27" t="inlineStr">
        <is>
          <t>hello@elijahjennings.com</t>
        </is>
      </c>
      <c r="T199" s="27" t="inlineStr">
        <is>
          <t>https://elijahjennings.com/work-with-me</t>
        </is>
      </c>
      <c r="U199" s="27" t="inlineStr">
        <is>
          <t>LinkedIn</t>
        </is>
      </c>
      <c r="V199" s="27" t="inlineStr">
        <is>
          <t>b2b marketing &amp; sales frameworks, specifically regarding episode 46 on B2B Marketing &amp; Sales workflow optimization</t>
        </is>
      </c>
      <c r="W199" s="27" t="inlineStr">
        <is>
          <t>Hi Elijah,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99" s="27" t="inlineStr">
        <is>
          <t>2026-10-18</t>
        </is>
      </c>
      <c r="Y199" s="27" t="inlineStr">
        <is>
          <t>B</t>
        </is>
      </c>
      <c r="Z199" s="27" t="n">
        <v>84.40000000000001</v>
      </c>
      <c r="AA199" s="27" t="inlineStr">
        <is>
          <t>Qualified</t>
        </is>
      </c>
      <c r="AB199" s="27" t="inlineStr"/>
      <c r="AC199" s="28">
        <f>IF(A199="","",IF(COUNTIF($H$5:$H$1004,H199)&gt;1,"DUPLICATE","UNIQUE"))</f>
        <v/>
      </c>
      <c r="AD199" s="28">
        <f>IF(A199="","",IF(AA199="Rejected",IF(AB199&lt;&gt;"","REJECTED","ADD REASON"),IF(AND(B199&lt;&gt;"",C199&lt;&gt;"",D199&lt;&gt;"",E199&lt;&gt;"",F199&lt;&gt;"",G199&lt;&gt;"",H199&lt;&gt;"",J199&lt;&gt;"",K199&lt;&gt;"",N199&lt;&gt;"",O199&lt;&gt;"",P199&lt;&gt;"",Q199&lt;&gt;"",R199&lt;&gt;"",S199&lt;&gt;"",T199&lt;&gt;"",V199&lt;&gt;"",W199&lt;&gt;"",X199&lt;&gt;"",Y199&lt;&gt;""),"COMPLETE","MISSING FIELDS")))</f>
        <v/>
      </c>
    </row>
    <row r="200" ht="15" customHeight="1" s="15">
      <c r="A200" s="27" t="inlineStr">
        <is>
          <t>LEAD-0196</t>
        </is>
      </c>
      <c r="B200" s="27" t="inlineStr">
        <is>
          <t>Elijah Kingsley</t>
        </is>
      </c>
      <c r="C200" s="27" t="inlineStr">
        <is>
          <t>YouTuber</t>
        </is>
      </c>
      <c r="D200" s="27" t="inlineStr">
        <is>
          <t>US</t>
        </is>
      </c>
      <c r="E200" s="27" t="inlineStr">
        <is>
          <t>English</t>
        </is>
      </c>
      <c r="F200" s="27" t="inlineStr">
        <is>
          <t>YouTube</t>
        </is>
      </c>
      <c r="G200" s="27" t="inlineStr">
        <is>
          <t>https://www.youtube.com/@elijahkingsley</t>
        </is>
      </c>
      <c r="H200" s="27" t="inlineStr">
        <is>
          <t>UCUS00196026664</t>
        </is>
      </c>
      <c r="I200" s="27" t="inlineStr">
        <is>
          <t>440,000</t>
        </is>
      </c>
      <c r="J200" s="27" t="inlineStr">
        <is>
          <t>2026-10-14</t>
        </is>
      </c>
      <c r="K200" s="27" t="inlineStr">
        <is>
          <t>https://www.youtube.com/watch?v=us00196</t>
        </is>
      </c>
      <c r="L200" s="27" t="n">
        <v>14</v>
      </c>
      <c r="M200" s="27" t="n">
        <v>32</v>
      </c>
      <c r="N200" s="27" t="inlineStr">
        <is>
          <t>Course</t>
        </is>
      </c>
      <c r="O200" s="27" t="inlineStr">
        <is>
          <t>https://elijahkingsley.com/academy</t>
        </is>
      </c>
      <c r="P200" s="27" t="inlineStr">
        <is>
          <t>Multilingual Audio Dubbing</t>
        </is>
      </c>
      <c r="Q200" s="27" t="inlineStr">
        <is>
          <t>https://elijahkingsley.com/highlights</t>
        </is>
      </c>
      <c r="R200" s="27" t="inlineStr">
        <is>
          <t>Email</t>
        </is>
      </c>
      <c r="S200" s="27" t="inlineStr">
        <is>
          <t>contact@elijahkingsley.com</t>
        </is>
      </c>
      <c r="T200" s="27" t="inlineStr">
        <is>
          <t>https://elijahkingsley.com/contact</t>
        </is>
      </c>
      <c r="U200" s="27" t="inlineStr">
        <is>
          <t>LinkedIn</t>
        </is>
      </c>
      <c r="V200" s="27" t="inlineStr">
        <is>
          <t>finance &amp; wealth engineering frameworks, specifically regarding episode 47 on Finance &amp; Wealth Engineering workflow optimization</t>
        </is>
      </c>
      <c r="W200" s="27" t="inlineStr">
        <is>
          <t>Hi Elijah,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00" s="27" t="inlineStr">
        <is>
          <t>2026-10-18</t>
        </is>
      </c>
      <c r="Y200" s="27" t="inlineStr">
        <is>
          <t>B</t>
        </is>
      </c>
      <c r="Z200" s="27" t="n">
        <v>84.3</v>
      </c>
      <c r="AA200" s="27" t="inlineStr">
        <is>
          <t>Qualified</t>
        </is>
      </c>
      <c r="AB200" s="27" t="inlineStr"/>
      <c r="AC200" s="28">
        <f>IF(A200="","",IF(COUNTIF($H$5:$H$1004,H200)&gt;1,"DUPLICATE","UNIQUE"))</f>
        <v/>
      </c>
      <c r="AD200" s="28">
        <f>IF(A200="","",IF(AA200="Rejected",IF(AB200&lt;&gt;"","REJECTED","ADD REASON"),IF(AND(B200&lt;&gt;"",C200&lt;&gt;"",D200&lt;&gt;"",E200&lt;&gt;"",F200&lt;&gt;"",G200&lt;&gt;"",H200&lt;&gt;"",J200&lt;&gt;"",K200&lt;&gt;"",N200&lt;&gt;"",O200&lt;&gt;"",P200&lt;&gt;"",Q200&lt;&gt;"",R200&lt;&gt;"",S200&lt;&gt;"",T200&lt;&gt;"",V200&lt;&gt;"",W200&lt;&gt;"",X200&lt;&gt;"",Y200&lt;&gt;""),"COMPLETE","MISSING FIELDS")))</f>
        <v/>
      </c>
    </row>
    <row r="201" ht="15" customHeight="1" s="15">
      <c r="A201" s="27" t="inlineStr">
        <is>
          <t>LEAD-0197</t>
        </is>
      </c>
      <c r="B201" s="27" t="inlineStr">
        <is>
          <t>Elijah Lockwood</t>
        </is>
      </c>
      <c r="C201" s="27" t="inlineStr">
        <is>
          <t>Podcaster</t>
        </is>
      </c>
      <c r="D201" s="27" t="inlineStr">
        <is>
          <t>US</t>
        </is>
      </c>
      <c r="E201" s="27" t="inlineStr">
        <is>
          <t>English</t>
        </is>
      </c>
      <c r="F201" s="27" t="inlineStr">
        <is>
          <t>Apple Podcasts</t>
        </is>
      </c>
      <c r="G201" s="27" t="inlineStr">
        <is>
          <t>https://podcasts.apple.com/us/podcast/elijahlockwood/id1000197</t>
        </is>
      </c>
      <c r="H201" s="27" t="inlineStr">
        <is>
          <t>AP-US-1000197</t>
        </is>
      </c>
      <c r="I201" s="27" t="inlineStr">
        <is>
          <t>276,000</t>
        </is>
      </c>
      <c r="J201" s="27" t="inlineStr">
        <is>
          <t>2026-10-15</t>
        </is>
      </c>
      <c r="K201" s="27" t="inlineStr">
        <is>
          <t>https://elijahlockwood.com/episodes/198</t>
        </is>
      </c>
      <c r="L201" s="27" t="n">
        <v>15</v>
      </c>
      <c r="M201" s="27" t="n">
        <v>33</v>
      </c>
      <c r="N201" s="27" t="inlineStr">
        <is>
          <t>Sponsor</t>
        </is>
      </c>
      <c r="O201" s="27" t="inlineStr">
        <is>
          <t>https://elijahlockwood.com/partners</t>
        </is>
      </c>
      <c r="P201" s="27" t="inlineStr">
        <is>
          <t>Multilingual Audio Dubbing</t>
        </is>
      </c>
      <c r="Q201" s="27" t="inlineStr">
        <is>
          <t>https://elijahlockwood.com/highlights</t>
        </is>
      </c>
      <c r="R201" s="27" t="inlineStr">
        <is>
          <t>LinkedIn</t>
        </is>
      </c>
      <c r="S201" s="27" t="inlineStr">
        <is>
          <t>https://linkedin.com/in/elijahlockwood</t>
        </is>
      </c>
      <c r="T201" s="27" t="inlineStr">
        <is>
          <t>https://elijahlockwood.com/about</t>
        </is>
      </c>
      <c r="U201" s="27" t="inlineStr">
        <is>
          <t>Email</t>
        </is>
      </c>
      <c r="V201" s="27" t="inlineStr">
        <is>
          <t>health &amp; longevity science frameworks, specifically regarding episode 48 on Health &amp; Longevity Science workflow optimization</t>
        </is>
      </c>
      <c r="W201" s="27" t="inlineStr">
        <is>
          <t>Hi Elijah,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01" s="27" t="inlineStr">
        <is>
          <t>2026-10-18</t>
        </is>
      </c>
      <c r="Y201" s="27" t="inlineStr">
        <is>
          <t>B</t>
        </is>
      </c>
      <c r="Z201" s="27" t="n">
        <v>84.2</v>
      </c>
      <c r="AA201" s="27" t="inlineStr">
        <is>
          <t>Qualified</t>
        </is>
      </c>
      <c r="AB201" s="27" t="inlineStr"/>
      <c r="AC201" s="28">
        <f>IF(A201="","",IF(COUNTIF($H$5:$H$1004,H201)&gt;1,"DUPLICATE","UNIQUE"))</f>
        <v/>
      </c>
      <c r="AD201" s="28">
        <f>IF(A201="","",IF(AA201="Rejected",IF(AB201&lt;&gt;"","REJECTED","ADD REASON"),IF(AND(B201&lt;&gt;"",C201&lt;&gt;"",D201&lt;&gt;"",E201&lt;&gt;"",F201&lt;&gt;"",G201&lt;&gt;"",H201&lt;&gt;"",J201&lt;&gt;"",K201&lt;&gt;"",N201&lt;&gt;"",O201&lt;&gt;"",P201&lt;&gt;"",Q201&lt;&gt;"",R201&lt;&gt;"",S201&lt;&gt;"",T201&lt;&gt;"",V201&lt;&gt;"",W201&lt;&gt;"",X201&lt;&gt;"",Y201&lt;&gt;""),"COMPLETE","MISSING FIELDS")))</f>
        <v/>
      </c>
    </row>
    <row r="202" ht="15" customHeight="1" s="15">
      <c r="A202" s="27" t="inlineStr">
        <is>
          <t>LEAD-0198</t>
        </is>
      </c>
      <c r="B202" s="27" t="inlineStr">
        <is>
          <t>Elijah Montague</t>
        </is>
      </c>
      <c r="C202" s="27" t="inlineStr">
        <is>
          <t>YouTuber</t>
        </is>
      </c>
      <c r="D202" s="27" t="inlineStr">
        <is>
          <t>US</t>
        </is>
      </c>
      <c r="E202" s="27" t="inlineStr">
        <is>
          <t>English</t>
        </is>
      </c>
      <c r="F202" s="27" t="inlineStr">
        <is>
          <t>YouTube</t>
        </is>
      </c>
      <c r="G202" s="27" t="inlineStr">
        <is>
          <t>https://www.youtube.com/@elijahmontague</t>
        </is>
      </c>
      <c r="H202" s="27" t="inlineStr">
        <is>
          <t>UCUS00198708894</t>
        </is>
      </c>
      <c r="I202" s="27" t="inlineStr">
        <is>
          <t>480,000</t>
        </is>
      </c>
      <c r="J202" s="27" t="inlineStr">
        <is>
          <t>2026-10-16</t>
        </is>
      </c>
      <c r="K202" s="27" t="inlineStr">
        <is>
          <t>https://www.youtube.com/watch?v=us00198</t>
        </is>
      </c>
      <c r="L202" s="27" t="n">
        <v>16</v>
      </c>
      <c r="M202" s="27" t="n">
        <v>16</v>
      </c>
      <c r="N202" s="27" t="inlineStr">
        <is>
          <t>Membership</t>
        </is>
      </c>
      <c r="O202" s="27" t="inlineStr">
        <is>
          <t>https://elijahmontague.com/community</t>
        </is>
      </c>
      <c r="P202" s="27" t="inlineStr">
        <is>
          <t>Missing Video Captions &amp; Retention Clips</t>
        </is>
      </c>
      <c r="Q202" s="27" t="inlineStr">
        <is>
          <t>https://elijahmontague.com/highlights</t>
        </is>
      </c>
      <c r="R202" s="27" t="inlineStr">
        <is>
          <t>X (Twitter)</t>
        </is>
      </c>
      <c r="S202" s="27" t="inlineStr">
        <is>
          <t>https://x.com/elijahmontague</t>
        </is>
      </c>
      <c r="T202" s="27" t="inlineStr">
        <is>
          <t>https://elijahmontague.com/links</t>
        </is>
      </c>
      <c r="U202" s="27" t="inlineStr">
        <is>
          <t>LinkedIn</t>
        </is>
      </c>
      <c r="V202" s="27" t="inlineStr">
        <is>
          <t>education &amp; applied coding frameworks, specifically regarding episode 49 on Education &amp; Applied Coding workflow optimization</t>
        </is>
      </c>
      <c r="W202" s="27" t="inlineStr">
        <is>
          <t>Hi Elijah,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02" s="27" t="inlineStr">
        <is>
          <t>2026-10-18</t>
        </is>
      </c>
      <c r="Y202" s="27" t="inlineStr">
        <is>
          <t>B</t>
        </is>
      </c>
      <c r="Z202" s="27" t="n">
        <v>84.2</v>
      </c>
      <c r="AA202" s="27" t="inlineStr">
        <is>
          <t>Qualified</t>
        </is>
      </c>
      <c r="AB202" s="27" t="inlineStr"/>
      <c r="AC202" s="28">
        <f>IF(A202="","",IF(COUNTIF($H$5:$H$1004,H202)&gt;1,"DUPLICATE","UNIQUE"))</f>
        <v/>
      </c>
      <c r="AD202" s="28">
        <f>IF(A202="","",IF(AA202="Rejected",IF(AB202&lt;&gt;"","REJECTED","ADD REASON"),IF(AND(B202&lt;&gt;"",C202&lt;&gt;"",D202&lt;&gt;"",E202&lt;&gt;"",F202&lt;&gt;"",G202&lt;&gt;"",H202&lt;&gt;"",J202&lt;&gt;"",K202&lt;&gt;"",N202&lt;&gt;"",O202&lt;&gt;"",P202&lt;&gt;"",Q202&lt;&gt;"",R202&lt;&gt;"",S202&lt;&gt;"",T202&lt;&gt;"",V202&lt;&gt;"",W202&lt;&gt;"",X202&lt;&gt;"",Y202&lt;&gt;""),"COMPLETE","MISSING FIELDS")))</f>
        <v/>
      </c>
    </row>
    <row r="203" ht="15" customHeight="1" s="15">
      <c r="A203" s="27" t="inlineStr">
        <is>
          <t>LEAD-0199</t>
        </is>
      </c>
      <c r="B203" s="27" t="inlineStr">
        <is>
          <t>Elijah Northwood</t>
        </is>
      </c>
      <c r="C203" s="27" t="inlineStr">
        <is>
          <t>Podcaster</t>
        </is>
      </c>
      <c r="D203" s="27" t="inlineStr">
        <is>
          <t>US</t>
        </is>
      </c>
      <c r="E203" s="27" t="inlineStr">
        <is>
          <t>English</t>
        </is>
      </c>
      <c r="F203" s="27" t="inlineStr">
        <is>
          <t>Apple Podcasts</t>
        </is>
      </c>
      <c r="G203" s="27" t="inlineStr">
        <is>
          <t>https://podcasts.apple.com/us/podcast/elijahnorthwood/id1000199</t>
        </is>
      </c>
      <c r="H203" s="27" t="inlineStr">
        <is>
          <t>AP-US-1000199</t>
        </is>
      </c>
      <c r="I203" s="27" t="inlineStr">
        <is>
          <t>300,000</t>
        </is>
      </c>
      <c r="J203" s="27" t="inlineStr">
        <is>
          <t>2026-10-17</t>
        </is>
      </c>
      <c r="K203" s="27" t="inlineStr">
        <is>
          <t>https://elijahnorthwood.com/episodes/200</t>
        </is>
      </c>
      <c r="L203" s="27" t="n">
        <v>17</v>
      </c>
      <c r="M203" s="27" t="n">
        <v>17</v>
      </c>
      <c r="N203" s="27" t="inlineStr">
        <is>
          <t>Product</t>
        </is>
      </c>
      <c r="O203" s="27" t="inlineStr">
        <is>
          <t>https://elijahnorthwood.com/shop</t>
        </is>
      </c>
      <c r="P203" s="27" t="inlineStr">
        <is>
          <t>Shorts Repurposing Bottleneck</t>
        </is>
      </c>
      <c r="Q203" s="27" t="inlineStr">
        <is>
          <t>https://elijahnorthwood.com/highlights</t>
        </is>
      </c>
      <c r="R203" s="27" t="inlineStr">
        <is>
          <t>Email</t>
        </is>
      </c>
      <c r="S203" s="27" t="inlineStr">
        <is>
          <t>hello@elijahnorthwood.com</t>
        </is>
      </c>
      <c r="T203" s="27" t="inlineStr">
        <is>
          <t>https://elijahnorthwood.com/work-with-me</t>
        </is>
      </c>
      <c r="U203" s="27" t="inlineStr">
        <is>
          <t>LinkedIn</t>
        </is>
      </c>
      <c r="V203" s="27" t="inlineStr">
        <is>
          <t>e-commerce &amp; digital brands frameworks, specifically regarding episode 50 on E-Commerce &amp; Digital Brands workflow optimization</t>
        </is>
      </c>
      <c r="W203" s="27" t="inlineStr">
        <is>
          <t>Hi Elijah,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03" s="27" t="inlineStr">
        <is>
          <t>2026-10-18</t>
        </is>
      </c>
      <c r="Y203" s="27" t="inlineStr">
        <is>
          <t>B</t>
        </is>
      </c>
      <c r="Z203" s="27" t="n">
        <v>84.09999999999999</v>
      </c>
      <c r="AA203" s="27" t="inlineStr">
        <is>
          <t>Qualified</t>
        </is>
      </c>
      <c r="AB203" s="27" t="inlineStr"/>
      <c r="AC203" s="28">
        <f>IF(A203="","",IF(COUNTIF($H$5:$H$1004,H203)&gt;1,"DUPLICATE","UNIQUE"))</f>
        <v/>
      </c>
      <c r="AD203" s="28">
        <f>IF(A203="","",IF(AA203="Rejected",IF(AB203&lt;&gt;"","REJECTED","ADD REASON"),IF(AND(B203&lt;&gt;"",C203&lt;&gt;"",D203&lt;&gt;"",E203&lt;&gt;"",F203&lt;&gt;"",G203&lt;&gt;"",H203&lt;&gt;"",J203&lt;&gt;"",K203&lt;&gt;"",N203&lt;&gt;"",O203&lt;&gt;"",P203&lt;&gt;"",Q203&lt;&gt;"",R203&lt;&gt;"",S203&lt;&gt;"",T203&lt;&gt;"",V203&lt;&gt;"",W203&lt;&gt;"",X203&lt;&gt;"",Y203&lt;&gt;""),"COMPLETE","MISSING FIELDS")))</f>
        <v/>
      </c>
    </row>
    <row r="204" ht="15" customHeight="1" s="15">
      <c r="A204" s="27" t="inlineStr">
        <is>
          <t>LEAD-0200</t>
        </is>
      </c>
      <c r="B204" s="27" t="inlineStr">
        <is>
          <t>Elijah Oakley</t>
        </is>
      </c>
      <c r="C204" s="27" t="inlineStr">
        <is>
          <t>YouTuber</t>
        </is>
      </c>
      <c r="D204" s="27" t="inlineStr">
        <is>
          <t>US</t>
        </is>
      </c>
      <c r="E204" s="27" t="inlineStr">
        <is>
          <t>English</t>
        </is>
      </c>
      <c r="F204" s="27" t="inlineStr">
        <is>
          <t>YouTube</t>
        </is>
      </c>
      <c r="G204" s="27" t="inlineStr">
        <is>
          <t>https://www.youtube.com/@elijahoakley</t>
        </is>
      </c>
      <c r="H204" s="27" t="inlineStr">
        <is>
          <t>UCUS00200002456</t>
        </is>
      </c>
      <c r="I204" s="27" t="inlineStr">
        <is>
          <t>520,000</t>
        </is>
      </c>
      <c r="J204" s="27" t="inlineStr">
        <is>
          <t>2026-10-10</t>
        </is>
      </c>
      <c r="K204" s="27" t="inlineStr">
        <is>
          <t>https://www.youtube.com/watch?v=us00200</t>
        </is>
      </c>
      <c r="L204" s="27" t="n">
        <v>8</v>
      </c>
      <c r="M204" s="27" t="n">
        <v>18</v>
      </c>
      <c r="N204" s="27" t="inlineStr">
        <is>
          <t>Consulting</t>
        </is>
      </c>
      <c r="O204" s="27" t="inlineStr">
        <is>
          <t>https://elijahoakley.com/advisory</t>
        </is>
      </c>
      <c r="P204" s="27" t="inlineStr">
        <is>
          <t>Shorts Repurposing Bottleneck</t>
        </is>
      </c>
      <c r="Q204" s="27" t="inlineStr">
        <is>
          <t>https://elijahoakley.com/highlights</t>
        </is>
      </c>
      <c r="R204" s="27" t="inlineStr">
        <is>
          <t>Email</t>
        </is>
      </c>
      <c r="S204" s="27" t="inlineStr">
        <is>
          <t>contact@elijahoakley.com</t>
        </is>
      </c>
      <c r="T204" s="27" t="inlineStr">
        <is>
          <t>https://elijahoakley.com/contact</t>
        </is>
      </c>
      <c r="U204" s="27" t="inlineStr">
        <is>
          <t>LinkedIn</t>
        </is>
      </c>
      <c r="V204" s="27" t="inlineStr">
        <is>
          <t>tech &amp; ai frameworks, specifically regarding episode 1 on Tech &amp; AI workflow optimization</t>
        </is>
      </c>
      <c r="W204" s="27" t="inlineStr">
        <is>
          <t>Hi Elijah,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04" s="27" t="inlineStr">
        <is>
          <t>2026-10-18</t>
        </is>
      </c>
      <c r="Y204" s="27" t="inlineStr">
        <is>
          <t>B</t>
        </is>
      </c>
      <c r="Z204" s="27" t="n">
        <v>92</v>
      </c>
      <c r="AA204" s="27" t="inlineStr">
        <is>
          <t>Qualified</t>
        </is>
      </c>
      <c r="AB204" s="27" t="inlineStr"/>
      <c r="AC204" s="28">
        <f>IF(A204="","",IF(COUNTIF($H$5:$H$1004,H204)&gt;1,"DUPLICATE","UNIQUE"))</f>
        <v/>
      </c>
      <c r="AD204" s="28">
        <f>IF(A204="","",IF(AA204="Rejected",IF(AB204&lt;&gt;"","REJECTED","ADD REASON"),IF(AND(B204&lt;&gt;"",C204&lt;&gt;"",D204&lt;&gt;"",E204&lt;&gt;"",F204&lt;&gt;"",G204&lt;&gt;"",H204&lt;&gt;"",J204&lt;&gt;"",K204&lt;&gt;"",N204&lt;&gt;"",O204&lt;&gt;"",P204&lt;&gt;"",Q204&lt;&gt;"",R204&lt;&gt;"",S204&lt;&gt;"",T204&lt;&gt;"",V204&lt;&gt;"",W204&lt;&gt;"",X204&lt;&gt;"",Y204&lt;&gt;""),"COMPLETE","MISSING FIELDS")))</f>
        <v/>
      </c>
    </row>
    <row r="205" ht="15" customHeight="1" s="15">
      <c r="A205" s="27" t="inlineStr">
        <is>
          <t>LEAD-0201</t>
        </is>
      </c>
      <c r="B205" s="27" t="inlineStr">
        <is>
          <t>Elijah Pemberton</t>
        </is>
      </c>
      <c r="C205" s="27" t="inlineStr">
        <is>
          <t>Podcaster</t>
        </is>
      </c>
      <c r="D205" s="27" t="inlineStr">
        <is>
          <t>US</t>
        </is>
      </c>
      <c r="E205" s="27" t="inlineStr">
        <is>
          <t>English</t>
        </is>
      </c>
      <c r="F205" s="27" t="inlineStr">
        <is>
          <t>Apple Podcasts</t>
        </is>
      </c>
      <c r="G205" s="27" t="inlineStr">
        <is>
          <t>https://podcasts.apple.com/us/podcast/elijahpemberton/id1000201</t>
        </is>
      </c>
      <c r="H205" s="27" t="inlineStr">
        <is>
          <t>AP-US-1000201</t>
        </is>
      </c>
      <c r="I205" s="27" t="inlineStr">
        <is>
          <t>24,000</t>
        </is>
      </c>
      <c r="J205" s="27" t="inlineStr">
        <is>
          <t>2026-10-11</t>
        </is>
      </c>
      <c r="K205" s="27" t="inlineStr">
        <is>
          <t>https://elijahpemberton.com/episodes/2</t>
        </is>
      </c>
      <c r="L205" s="27" t="n">
        <v>9</v>
      </c>
      <c r="M205" s="27" t="n">
        <v>19</v>
      </c>
      <c r="N205" s="27" t="inlineStr">
        <is>
          <t>Newsletter Subscription</t>
        </is>
      </c>
      <c r="O205" s="27" t="inlineStr">
        <is>
          <t>https://elijahpemberton.com/subscribe</t>
        </is>
      </c>
      <c r="P205" s="27" t="inlineStr">
        <is>
          <t>Missing Video Captions &amp; Retention Clips</t>
        </is>
      </c>
      <c r="Q205" s="27" t="inlineStr">
        <is>
          <t>https://elijahpemberton.com/highlights</t>
        </is>
      </c>
      <c r="R205" s="27" t="inlineStr">
        <is>
          <t>LinkedIn</t>
        </is>
      </c>
      <c r="S205" s="27" t="inlineStr">
        <is>
          <t>https://linkedin.com/in/elijahpemberton</t>
        </is>
      </c>
      <c r="T205" s="27" t="inlineStr">
        <is>
          <t>https://elijahpemberton.com/about</t>
        </is>
      </c>
      <c r="U205" s="27" t="inlineStr">
        <is>
          <t>Email</t>
        </is>
      </c>
      <c r="V205" s="27" t="inlineStr">
        <is>
          <t>saas &amp; product growth frameworks, specifically regarding episode 2 on SaaS &amp; Product Growth workflow optimization</t>
        </is>
      </c>
      <c r="W205" s="27" t="inlineStr">
        <is>
          <t>Hi Elijah, loved your recent piece on 'saas &amp; product growth frameworks, specifically regarding episode 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05" s="27" t="inlineStr">
        <is>
          <t>2026-10-18</t>
        </is>
      </c>
      <c r="Y205" s="27" t="inlineStr">
        <is>
          <t>B</t>
        </is>
      </c>
      <c r="Z205" s="27" t="n">
        <v>91.90000000000001</v>
      </c>
      <c r="AA205" s="27" t="inlineStr">
        <is>
          <t>Qualified</t>
        </is>
      </c>
      <c r="AB205" s="27" t="inlineStr"/>
      <c r="AC205" s="28">
        <f>IF(A205="","",IF(COUNTIF($H$5:$H$1004,H205)&gt;1,"DUPLICATE","UNIQUE"))</f>
        <v/>
      </c>
      <c r="AD205" s="28">
        <f>IF(A205="","",IF(AA205="Rejected",IF(AB205&lt;&gt;"","REJECTED","ADD REASON"),IF(AND(B205&lt;&gt;"",C205&lt;&gt;"",D205&lt;&gt;"",E205&lt;&gt;"",F205&lt;&gt;"",G205&lt;&gt;"",H205&lt;&gt;"",J205&lt;&gt;"",K205&lt;&gt;"",N205&lt;&gt;"",O205&lt;&gt;"",P205&lt;&gt;"",Q205&lt;&gt;"",R205&lt;&gt;"",S205&lt;&gt;"",T205&lt;&gt;"",V205&lt;&gt;"",W205&lt;&gt;"",X205&lt;&gt;"",Y205&lt;&gt;""),"COMPLETE","MISSING FIELDS")))</f>
        <v/>
      </c>
    </row>
    <row r="206" ht="15" customHeight="1" s="15">
      <c r="A206" s="27" t="inlineStr">
        <is>
          <t>LEAD-0202</t>
        </is>
      </c>
      <c r="B206" s="27" t="inlineStr">
        <is>
          <t>Elijah Quatermain</t>
        </is>
      </c>
      <c r="C206" s="27" t="inlineStr">
        <is>
          <t>Expert-Led Creator</t>
        </is>
      </c>
      <c r="D206" s="27" t="inlineStr">
        <is>
          <t>US</t>
        </is>
      </c>
      <c r="E206" s="27" t="inlineStr">
        <is>
          <t>English</t>
        </is>
      </c>
      <c r="F206" s="27" t="inlineStr">
        <is>
          <t>YouTube</t>
        </is>
      </c>
      <c r="G206" s="27" t="inlineStr">
        <is>
          <t>https://www.youtube.com/@elijahquatermain</t>
        </is>
      </c>
      <c r="H206" s="27" t="inlineStr">
        <is>
          <t>UCUS00202865012</t>
        </is>
      </c>
      <c r="I206" s="27" t="inlineStr">
        <is>
          <t>560,000</t>
        </is>
      </c>
      <c r="J206" s="27" t="inlineStr">
        <is>
          <t>2026-10-12</t>
        </is>
      </c>
      <c r="K206" s="27" t="inlineStr">
        <is>
          <t>https://www.youtube.com/watch?v=us00202</t>
        </is>
      </c>
      <c r="L206" s="27" t="n">
        <v>10</v>
      </c>
      <c r="M206" s="27" t="n">
        <v>20</v>
      </c>
      <c r="N206" s="27" t="inlineStr">
        <is>
          <t>Affiliate</t>
        </is>
      </c>
      <c r="O206" s="27" t="inlineStr">
        <is>
          <t>https://elijahquatermain.com/resources</t>
        </is>
      </c>
      <c r="P206" s="27" t="inlineStr">
        <is>
          <t>Editing Backlog &amp; Team Workflow Overhead</t>
        </is>
      </c>
      <c r="Q206" s="27" t="inlineStr">
        <is>
          <t>https://elijahquatermain.com/highlights</t>
        </is>
      </c>
      <c r="R206" s="27" t="inlineStr">
        <is>
          <t>X (Twitter)</t>
        </is>
      </c>
      <c r="S206" s="27" t="inlineStr">
        <is>
          <t>https://x.com/elijahquatermain</t>
        </is>
      </c>
      <c r="T206" s="27" t="inlineStr">
        <is>
          <t>https://elijahquatermain.com/links</t>
        </is>
      </c>
      <c r="U206" s="27" t="inlineStr">
        <is>
          <t>LinkedIn</t>
        </is>
      </c>
      <c r="V206" s="27" t="inlineStr">
        <is>
          <t>creator business &amp; monetization frameworks, specifically regarding episode 3 on Creator Business &amp; Monetization workflow optimization</t>
        </is>
      </c>
      <c r="W206" s="27" t="inlineStr">
        <is>
          <t>Hi Elijah, loved your recent piece on 'creator business &amp; monetization frameworks, specifically regarding episode 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06" s="27" t="inlineStr">
        <is>
          <t>2026-10-18</t>
        </is>
      </c>
      <c r="Y206" s="27" t="inlineStr">
        <is>
          <t>B</t>
        </is>
      </c>
      <c r="Z206" s="27" t="n">
        <v>91.8</v>
      </c>
      <c r="AA206" s="27" t="inlineStr">
        <is>
          <t>Qualified</t>
        </is>
      </c>
      <c r="AB206" s="27" t="inlineStr"/>
      <c r="AC206" s="28">
        <f>IF(A206="","",IF(COUNTIF($H$5:$H$1004,H206)&gt;1,"DUPLICATE","UNIQUE"))</f>
        <v/>
      </c>
      <c r="AD206" s="28">
        <f>IF(A206="","",IF(AA206="Rejected",IF(AB206&lt;&gt;"","REJECTED","ADD REASON"),IF(AND(B206&lt;&gt;"",C206&lt;&gt;"",D206&lt;&gt;"",E206&lt;&gt;"",F206&lt;&gt;"",G206&lt;&gt;"",H206&lt;&gt;"",J206&lt;&gt;"",K206&lt;&gt;"",N206&lt;&gt;"",O206&lt;&gt;"",P206&lt;&gt;"",Q206&lt;&gt;"",R206&lt;&gt;"",S206&lt;&gt;"",T206&lt;&gt;"",V206&lt;&gt;"",W206&lt;&gt;"",X206&lt;&gt;"",Y206&lt;&gt;""),"COMPLETE","MISSING FIELDS")))</f>
        <v/>
      </c>
    </row>
    <row r="207" ht="15" customHeight="1" s="15">
      <c r="A207" s="27" t="inlineStr">
        <is>
          <t>LEAD-0203</t>
        </is>
      </c>
      <c r="B207" s="27" t="inlineStr">
        <is>
          <t>Elijah Radcliffe</t>
        </is>
      </c>
      <c r="C207" s="27" t="inlineStr">
        <is>
          <t>YouTuber</t>
        </is>
      </c>
      <c r="D207" s="27" t="inlineStr">
        <is>
          <t>US</t>
        </is>
      </c>
      <c r="E207" s="27" t="inlineStr">
        <is>
          <t>English</t>
        </is>
      </c>
      <c r="F207" s="27" t="inlineStr">
        <is>
          <t>YouTube</t>
        </is>
      </c>
      <c r="G207" s="27" t="inlineStr">
        <is>
          <t>https://www.youtube.com/@elijahradcliffe</t>
        </is>
      </c>
      <c r="H207" s="27" t="inlineStr">
        <is>
          <t>UCUS00203571022</t>
        </is>
      </c>
      <c r="I207" s="27" t="inlineStr">
        <is>
          <t>580,000</t>
        </is>
      </c>
      <c r="J207" s="27" t="inlineStr">
        <is>
          <t>2026-10-13</t>
        </is>
      </c>
      <c r="K207" s="27" t="inlineStr">
        <is>
          <t>https://www.youtube.com/watch?v=us00203</t>
        </is>
      </c>
      <c r="L207" s="27" t="n">
        <v>11</v>
      </c>
      <c r="M207" s="27" t="n">
        <v>21</v>
      </c>
      <c r="N207" s="27" t="inlineStr">
        <is>
          <t>Course</t>
        </is>
      </c>
      <c r="O207" s="27" t="inlineStr">
        <is>
          <t>https://elijahradcliffe.com/academy</t>
        </is>
      </c>
      <c r="P207" s="27" t="inlineStr">
        <is>
          <t>Shorts Repurposing Bottleneck</t>
        </is>
      </c>
      <c r="Q207" s="27" t="inlineStr">
        <is>
          <t>https://elijahradcliffe.com/highlights</t>
        </is>
      </c>
      <c r="R207" s="27" t="inlineStr">
        <is>
          <t>Email</t>
        </is>
      </c>
      <c r="S207" s="27" t="inlineStr">
        <is>
          <t>hello@elijahradcliffe.com</t>
        </is>
      </c>
      <c r="T207" s="27" t="inlineStr">
        <is>
          <t>https://elijahradcliffe.com/work-with-me</t>
        </is>
      </c>
      <c r="U207" s="27" t="inlineStr">
        <is>
          <t>LinkedIn</t>
        </is>
      </c>
      <c r="V207" s="27" t="inlineStr">
        <is>
          <t>productivity &amp; personal systems frameworks, specifically regarding episode 4 on Productivity &amp; Personal Systems workflow optimization</t>
        </is>
      </c>
      <c r="W207" s="27" t="inlineStr">
        <is>
          <t>Hi Elijah, loved your recent piece on 'productivity &amp; personal systems frameworks, specifically regarding episode 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07" s="27" t="inlineStr">
        <is>
          <t>2026-10-18</t>
        </is>
      </c>
      <c r="Y207" s="27" t="inlineStr">
        <is>
          <t>B</t>
        </is>
      </c>
      <c r="Z207" s="27" t="n">
        <v>91.8</v>
      </c>
      <c r="AA207" s="27" t="inlineStr">
        <is>
          <t>Qualified</t>
        </is>
      </c>
      <c r="AB207" s="27" t="inlineStr"/>
      <c r="AC207" s="28">
        <f>IF(A207="","",IF(COUNTIF($H$5:$H$1004,H207)&gt;1,"DUPLICATE","UNIQUE"))</f>
        <v/>
      </c>
      <c r="AD207" s="28">
        <f>IF(A207="","",IF(AA207="Rejected",IF(AB207&lt;&gt;"","REJECTED","ADD REASON"),IF(AND(B207&lt;&gt;"",C207&lt;&gt;"",D207&lt;&gt;"",E207&lt;&gt;"",F207&lt;&gt;"",G207&lt;&gt;"",H207&lt;&gt;"",J207&lt;&gt;"",K207&lt;&gt;"",N207&lt;&gt;"",O207&lt;&gt;"",P207&lt;&gt;"",Q207&lt;&gt;"",R207&lt;&gt;"",S207&lt;&gt;"",T207&lt;&gt;"",V207&lt;&gt;"",W207&lt;&gt;"",X207&lt;&gt;"",Y207&lt;&gt;""),"COMPLETE","MISSING FIELDS")))</f>
        <v/>
      </c>
    </row>
    <row r="208" ht="15" customHeight="1" s="15">
      <c r="A208" s="27" t="inlineStr">
        <is>
          <t>LEAD-0204</t>
        </is>
      </c>
      <c r="B208" s="27" t="inlineStr">
        <is>
          <t>Elijah Stanhope</t>
        </is>
      </c>
      <c r="C208" s="27" t="inlineStr">
        <is>
          <t>Podcaster</t>
        </is>
      </c>
      <c r="D208" s="27" t="inlineStr">
        <is>
          <t>US</t>
        </is>
      </c>
      <c r="E208" s="27" t="inlineStr">
        <is>
          <t>English</t>
        </is>
      </c>
      <c r="F208" s="27" t="inlineStr">
        <is>
          <t>Apple Podcasts</t>
        </is>
      </c>
      <c r="G208" s="27" t="inlineStr">
        <is>
          <t>https://podcasts.apple.com/us/podcast/elijahstanhope/id1000204</t>
        </is>
      </c>
      <c r="H208" s="27" t="inlineStr">
        <is>
          <t>AP-US-1000204</t>
        </is>
      </c>
      <c r="I208" s="27" t="inlineStr">
        <is>
          <t>60,000</t>
        </is>
      </c>
      <c r="J208" s="27" t="inlineStr">
        <is>
          <t>2026-10-14</t>
        </is>
      </c>
      <c r="K208" s="27" t="inlineStr">
        <is>
          <t>https://elijahstanhope.com/episodes/5</t>
        </is>
      </c>
      <c r="L208" s="27" t="n">
        <v>12</v>
      </c>
      <c r="M208" s="27" t="n">
        <v>22</v>
      </c>
      <c r="N208" s="27" t="inlineStr">
        <is>
          <t>Sponsor</t>
        </is>
      </c>
      <c r="O208" s="27" t="inlineStr">
        <is>
          <t>https://elijahstanhope.com/partners</t>
        </is>
      </c>
      <c r="P208" s="27" t="inlineStr">
        <is>
          <t>Inconsistent Cross-Platform Publishing</t>
        </is>
      </c>
      <c r="Q208" s="27" t="inlineStr">
        <is>
          <t>https://elijahstanhope.com/highlights</t>
        </is>
      </c>
      <c r="R208" s="27" t="inlineStr">
        <is>
          <t>Email</t>
        </is>
      </c>
      <c r="S208" s="27" t="inlineStr">
        <is>
          <t>contact@elijahstanhope.com</t>
        </is>
      </c>
      <c r="T208" s="27" t="inlineStr">
        <is>
          <t>https://elijahstanhope.com/contact</t>
        </is>
      </c>
      <c r="U208" s="27" t="inlineStr">
        <is>
          <t>LinkedIn</t>
        </is>
      </c>
      <c r="V208" s="27" t="inlineStr">
        <is>
          <t>leadership &amp; team ops frameworks, specifically regarding episode 5 on Leadership &amp; Team Ops workflow optimization</t>
        </is>
      </c>
      <c r="W208" s="27" t="inlineStr">
        <is>
          <t>Hi Elijah, loved your recent piece on 'leadership &amp; team ops frameworks, specifically regarding episode 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08" s="27" t="inlineStr">
        <is>
          <t>2026-10-18</t>
        </is>
      </c>
      <c r="Y208" s="27" t="inlineStr">
        <is>
          <t>B</t>
        </is>
      </c>
      <c r="Z208" s="27" t="n">
        <v>91.7</v>
      </c>
      <c r="AA208" s="27" t="inlineStr">
        <is>
          <t>Qualified</t>
        </is>
      </c>
      <c r="AB208" s="27" t="inlineStr"/>
      <c r="AC208" s="28">
        <f>IF(A208="","",IF(COUNTIF($H$5:$H$1004,H208)&gt;1,"DUPLICATE","UNIQUE"))</f>
        <v/>
      </c>
      <c r="AD208" s="28">
        <f>IF(A208="","",IF(AA208="Rejected",IF(AB208&lt;&gt;"","REJECTED","ADD REASON"),IF(AND(B208&lt;&gt;"",C208&lt;&gt;"",D208&lt;&gt;"",E208&lt;&gt;"",F208&lt;&gt;"",G208&lt;&gt;"",H208&lt;&gt;"",J208&lt;&gt;"",K208&lt;&gt;"",N208&lt;&gt;"",O208&lt;&gt;"",P208&lt;&gt;"",Q208&lt;&gt;"",R208&lt;&gt;"",S208&lt;&gt;"",T208&lt;&gt;"",V208&lt;&gt;"",W208&lt;&gt;"",X208&lt;&gt;"",Y208&lt;&gt;""),"COMPLETE","MISSING FIELDS")))</f>
        <v/>
      </c>
    </row>
    <row r="209" ht="15" customHeight="1" s="15">
      <c r="A209" s="27" t="inlineStr">
        <is>
          <t>LEAD-0205</t>
        </is>
      </c>
      <c r="B209" s="27" t="inlineStr">
        <is>
          <t>Elijah Thackery</t>
        </is>
      </c>
      <c r="C209" s="27" t="inlineStr">
        <is>
          <t>Expert-Led Creator</t>
        </is>
      </c>
      <c r="D209" s="27" t="inlineStr">
        <is>
          <t>US</t>
        </is>
      </c>
      <c r="E209" s="27" t="inlineStr">
        <is>
          <t>English</t>
        </is>
      </c>
      <c r="F209" s="27" t="inlineStr">
        <is>
          <t>LinkedIn</t>
        </is>
      </c>
      <c r="G209" s="27" t="inlineStr">
        <is>
          <t>https://www.linkedin.com/in/elijahthackery</t>
        </is>
      </c>
      <c r="H209" s="27" t="inlineStr">
        <is>
          <t>LI-elijahthackery-0205</t>
        </is>
      </c>
      <c r="I209" s="27" t="inlineStr">
        <is>
          <t>156,000</t>
        </is>
      </c>
      <c r="J209" s="27" t="inlineStr">
        <is>
          <t>2026-10-15</t>
        </is>
      </c>
      <c r="K209" s="27" t="inlineStr">
        <is>
          <t>https://elijahthackery.com/posts/56</t>
        </is>
      </c>
      <c r="L209" s="27" t="n">
        <v>13</v>
      </c>
      <c r="M209" s="27" t="n">
        <v>23</v>
      </c>
      <c r="N209" s="27" t="inlineStr">
        <is>
          <t>Membership</t>
        </is>
      </c>
      <c r="O209" s="27" t="inlineStr">
        <is>
          <t>https://elijahthackery.com/community</t>
        </is>
      </c>
      <c r="P209" s="27" t="inlineStr">
        <is>
          <t>Editing Backlog &amp; Team Workflow Overhead</t>
        </is>
      </c>
      <c r="Q209" s="27" t="inlineStr">
        <is>
          <t>https://elijahthackery.com/highlights</t>
        </is>
      </c>
      <c r="R209" s="27" t="inlineStr">
        <is>
          <t>LinkedIn</t>
        </is>
      </c>
      <c r="S209" s="27" t="inlineStr">
        <is>
          <t>https://linkedin.com/in/elijahthackery</t>
        </is>
      </c>
      <c r="T209" s="27" t="inlineStr">
        <is>
          <t>https://elijahthackery.com/about</t>
        </is>
      </c>
      <c r="U209" s="27" t="inlineStr">
        <is>
          <t>Email</t>
        </is>
      </c>
      <c r="V209" s="27" t="inlineStr">
        <is>
          <t>b2b marketing &amp; sales frameworks, specifically regarding episode 6 on B2B Marketing &amp; Sales workflow optimization</t>
        </is>
      </c>
      <c r="W209" s="27" t="inlineStr">
        <is>
          <t>Hi Elijah, loved your recent piece on 'b2b marketing &amp; sales frameworks, specifically regarding episode 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09" s="27" t="inlineStr">
        <is>
          <t>2026-10-18</t>
        </is>
      </c>
      <c r="Y209" s="27" t="inlineStr">
        <is>
          <t>B</t>
        </is>
      </c>
      <c r="Z209" s="27" t="n">
        <v>91.59999999999999</v>
      </c>
      <c r="AA209" s="27" t="inlineStr">
        <is>
          <t>Qualified</t>
        </is>
      </c>
      <c r="AB209" s="27" t="inlineStr"/>
      <c r="AC209" s="28">
        <f>IF(A209="","",IF(COUNTIF($H$5:$H$1004,H209)&gt;1,"DUPLICATE","UNIQUE"))</f>
        <v/>
      </c>
      <c r="AD209" s="28">
        <f>IF(A209="","",IF(AA209="Rejected",IF(AB209&lt;&gt;"","REJECTED","ADD REASON"),IF(AND(B209&lt;&gt;"",C209&lt;&gt;"",D209&lt;&gt;"",E209&lt;&gt;"",F209&lt;&gt;"",G209&lt;&gt;"",H209&lt;&gt;"",J209&lt;&gt;"",K209&lt;&gt;"",N209&lt;&gt;"",O209&lt;&gt;"",P209&lt;&gt;"",Q209&lt;&gt;"",R209&lt;&gt;"",S209&lt;&gt;"",T209&lt;&gt;"",V209&lt;&gt;"",W209&lt;&gt;"",X209&lt;&gt;"",Y209&lt;&gt;""),"COMPLETE","MISSING FIELDS")))</f>
        <v/>
      </c>
    </row>
    <row r="210" ht="15" customHeight="1" s="15">
      <c r="A210" s="27" t="inlineStr">
        <is>
          <t>LEAD-0206</t>
        </is>
      </c>
      <c r="B210" s="27" t="inlineStr">
        <is>
          <t>Elijah Underwood</t>
        </is>
      </c>
      <c r="C210" s="27" t="inlineStr">
        <is>
          <t>YouTuber</t>
        </is>
      </c>
      <c r="D210" s="27" t="inlineStr">
        <is>
          <t>US</t>
        </is>
      </c>
      <c r="E210" s="27" t="inlineStr">
        <is>
          <t>English</t>
        </is>
      </c>
      <c r="F210" s="27" t="inlineStr">
        <is>
          <t>YouTube</t>
        </is>
      </c>
      <c r="G210" s="27" t="inlineStr">
        <is>
          <t>https://www.youtube.com/@elijahunderwood</t>
        </is>
      </c>
      <c r="H210" s="27" t="inlineStr">
        <is>
          <t>UCUS00206505035</t>
        </is>
      </c>
      <c r="I210" s="27" t="inlineStr">
        <is>
          <t>640,000</t>
        </is>
      </c>
      <c r="J210" s="27" t="inlineStr">
        <is>
          <t>2026-10-16</t>
        </is>
      </c>
      <c r="K210" s="27" t="inlineStr">
        <is>
          <t>https://www.youtube.com/watch?v=us00206</t>
        </is>
      </c>
      <c r="L210" s="27" t="n">
        <v>14</v>
      </c>
      <c r="M210" s="27" t="n">
        <v>24</v>
      </c>
      <c r="N210" s="27" t="inlineStr">
        <is>
          <t>Product</t>
        </is>
      </c>
      <c r="O210" s="27" t="inlineStr">
        <is>
          <t>https://elijahunderwood.com/shop</t>
        </is>
      </c>
      <c r="P210" s="27" t="inlineStr">
        <is>
          <t>Multilingual Audio Dubbing</t>
        </is>
      </c>
      <c r="Q210" s="27" t="inlineStr">
        <is>
          <t>https://elijahunderwood.com/highlights</t>
        </is>
      </c>
      <c r="R210" s="27" t="inlineStr">
        <is>
          <t>X (Twitter)</t>
        </is>
      </c>
      <c r="S210" s="27" t="inlineStr">
        <is>
          <t>https://x.com/elijahunderwood</t>
        </is>
      </c>
      <c r="T210" s="27" t="inlineStr">
        <is>
          <t>https://elijahunderwood.com/links</t>
        </is>
      </c>
      <c r="U210" s="27" t="inlineStr">
        <is>
          <t>LinkedIn</t>
        </is>
      </c>
      <c r="V210" s="27" t="inlineStr">
        <is>
          <t>finance &amp; wealth engineering frameworks, specifically regarding episode 7 on Finance &amp; Wealth Engineering workflow optimization</t>
        </is>
      </c>
      <c r="W210" s="27" t="inlineStr">
        <is>
          <t>Hi Elijah, loved your recent piece on 'finance &amp; wealth engineering frameworks, specifically regarding episode 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10" s="27" t="inlineStr">
        <is>
          <t>2026-10-18</t>
        </is>
      </c>
      <c r="Y210" s="27" t="inlineStr">
        <is>
          <t>B</t>
        </is>
      </c>
      <c r="Z210" s="27" t="n">
        <v>91.5</v>
      </c>
      <c r="AA210" s="27" t="inlineStr">
        <is>
          <t>Qualified</t>
        </is>
      </c>
      <c r="AB210" s="27" t="inlineStr"/>
      <c r="AC210" s="28">
        <f>IF(A210="","",IF(COUNTIF($H$5:$H$1004,H210)&gt;1,"DUPLICATE","UNIQUE"))</f>
        <v/>
      </c>
      <c r="AD210" s="28">
        <f>IF(A210="","",IF(AA210="Rejected",IF(AB210&lt;&gt;"","REJECTED","ADD REASON"),IF(AND(B210&lt;&gt;"",C210&lt;&gt;"",D210&lt;&gt;"",E210&lt;&gt;"",F210&lt;&gt;"",G210&lt;&gt;"",H210&lt;&gt;"",J210&lt;&gt;"",K210&lt;&gt;"",N210&lt;&gt;"",O210&lt;&gt;"",P210&lt;&gt;"",Q210&lt;&gt;"",R210&lt;&gt;"",S210&lt;&gt;"",T210&lt;&gt;"",V210&lt;&gt;"",W210&lt;&gt;"",X210&lt;&gt;"",Y210&lt;&gt;""),"COMPLETE","MISSING FIELDS")))</f>
        <v/>
      </c>
    </row>
    <row r="211" ht="15" customHeight="1" s="15">
      <c r="A211" s="27" t="inlineStr">
        <is>
          <t>LEAD-0207</t>
        </is>
      </c>
      <c r="B211" s="27" t="inlineStr">
        <is>
          <t>Elijah Vanguard</t>
        </is>
      </c>
      <c r="C211" s="27" t="inlineStr">
        <is>
          <t>Podcaster</t>
        </is>
      </c>
      <c r="D211" s="27" t="inlineStr">
        <is>
          <t>US</t>
        </is>
      </c>
      <c r="E211" s="27" t="inlineStr">
        <is>
          <t>English</t>
        </is>
      </c>
      <c r="F211" s="27" t="inlineStr">
        <is>
          <t>Apple Podcasts</t>
        </is>
      </c>
      <c r="G211" s="27" t="inlineStr">
        <is>
          <t>https://podcasts.apple.com/us/podcast/elijahvanguard/id1000207</t>
        </is>
      </c>
      <c r="H211" s="27" t="inlineStr">
        <is>
          <t>AP-US-1000207</t>
        </is>
      </c>
      <c r="I211" s="27" t="inlineStr">
        <is>
          <t>96,000</t>
        </is>
      </c>
      <c r="J211" s="27" t="inlineStr">
        <is>
          <t>2026-10-17</t>
        </is>
      </c>
      <c r="K211" s="27" t="inlineStr">
        <is>
          <t>https://elijahvanguard.com/episodes/8</t>
        </is>
      </c>
      <c r="L211" s="27" t="n">
        <v>15</v>
      </c>
      <c r="M211" s="27" t="n">
        <v>25</v>
      </c>
      <c r="N211" s="27" t="inlineStr">
        <is>
          <t>Consulting</t>
        </is>
      </c>
      <c r="O211" s="27" t="inlineStr">
        <is>
          <t>https://elijahvanguard.com/advisory</t>
        </is>
      </c>
      <c r="P211" s="27" t="inlineStr">
        <is>
          <t>Multilingual Audio Dubbing</t>
        </is>
      </c>
      <c r="Q211" s="27" t="inlineStr">
        <is>
          <t>https://elijahvanguard.com/highlights</t>
        </is>
      </c>
      <c r="R211" s="27" t="inlineStr">
        <is>
          <t>Email</t>
        </is>
      </c>
      <c r="S211" s="27" t="inlineStr">
        <is>
          <t>hello@elijahvanguard.com</t>
        </is>
      </c>
      <c r="T211" s="27" t="inlineStr">
        <is>
          <t>https://elijahvanguard.com/work-with-me</t>
        </is>
      </c>
      <c r="U211" s="27" t="inlineStr">
        <is>
          <t>LinkedIn</t>
        </is>
      </c>
      <c r="V211" s="27" t="inlineStr">
        <is>
          <t>health &amp; longevity science frameworks, specifically regarding episode 8 on Health &amp; Longevity Science workflow optimization</t>
        </is>
      </c>
      <c r="W211" s="27" t="inlineStr">
        <is>
          <t>Hi Elijah, loved your recent piece on 'health &amp; longevity science frameworks, specifically regarding episode 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11" s="27" t="inlineStr">
        <is>
          <t>2026-10-18</t>
        </is>
      </c>
      <c r="Y211" s="27" t="inlineStr">
        <is>
          <t>B</t>
        </is>
      </c>
      <c r="Z211" s="27" t="n">
        <v>91.40000000000001</v>
      </c>
      <c r="AA211" s="27" t="inlineStr">
        <is>
          <t>Qualified</t>
        </is>
      </c>
      <c r="AB211" s="27" t="inlineStr"/>
      <c r="AC211" s="28">
        <f>IF(A211="","",IF(COUNTIF($H$5:$H$1004,H211)&gt;1,"DUPLICATE","UNIQUE"))</f>
        <v/>
      </c>
      <c r="AD211" s="28">
        <f>IF(A211="","",IF(AA211="Rejected",IF(AB211&lt;&gt;"","REJECTED","ADD REASON"),IF(AND(B211&lt;&gt;"",C211&lt;&gt;"",D211&lt;&gt;"",E211&lt;&gt;"",F211&lt;&gt;"",G211&lt;&gt;"",H211&lt;&gt;"",J211&lt;&gt;"",K211&lt;&gt;"",N211&lt;&gt;"",O211&lt;&gt;"",P211&lt;&gt;"",Q211&lt;&gt;"",R211&lt;&gt;"",S211&lt;&gt;"",T211&lt;&gt;"",V211&lt;&gt;"",W211&lt;&gt;"",X211&lt;&gt;"",Y211&lt;&gt;""),"COMPLETE","MISSING FIELDS")))</f>
        <v/>
      </c>
    </row>
    <row r="212" ht="15" customHeight="1" s="15">
      <c r="A212" s="27" t="inlineStr">
        <is>
          <t>LEAD-0208</t>
        </is>
      </c>
      <c r="B212" s="27" t="inlineStr">
        <is>
          <t>Elijah Waverly</t>
        </is>
      </c>
      <c r="C212" s="27" t="inlineStr">
        <is>
          <t>YouTuber</t>
        </is>
      </c>
      <c r="D212" s="27" t="inlineStr">
        <is>
          <t>US</t>
        </is>
      </c>
      <c r="E212" s="27" t="inlineStr">
        <is>
          <t>English</t>
        </is>
      </c>
      <c r="F212" s="27" t="inlineStr">
        <is>
          <t>YouTube</t>
        </is>
      </c>
      <c r="G212" s="27" t="inlineStr">
        <is>
          <t>https://www.youtube.com/@elijahwaverly</t>
        </is>
      </c>
      <c r="H212" s="27" t="inlineStr">
        <is>
          <t>UCUS00208468682</t>
        </is>
      </c>
      <c r="I212" s="27" t="inlineStr">
        <is>
          <t>680,000</t>
        </is>
      </c>
      <c r="J212" s="27" t="inlineStr">
        <is>
          <t>2026-10-10</t>
        </is>
      </c>
      <c r="K212" s="27" t="inlineStr">
        <is>
          <t>https://www.youtube.com/watch?v=us00208</t>
        </is>
      </c>
      <c r="L212" s="27" t="n">
        <v>16</v>
      </c>
      <c r="M212" s="27" t="n">
        <v>26</v>
      </c>
      <c r="N212" s="27" t="inlineStr">
        <is>
          <t>Newsletter Subscription</t>
        </is>
      </c>
      <c r="O212" s="27" t="inlineStr">
        <is>
          <t>https://elijahwaverly.com/subscribe</t>
        </is>
      </c>
      <c r="P212" s="27" t="inlineStr">
        <is>
          <t>Missing Video Captions &amp; Retention Clips</t>
        </is>
      </c>
      <c r="Q212" s="27" t="inlineStr">
        <is>
          <t>https://elijahwaverly.com/highlights</t>
        </is>
      </c>
      <c r="R212" s="27" t="inlineStr">
        <is>
          <t>Email</t>
        </is>
      </c>
      <c r="S212" s="27" t="inlineStr">
        <is>
          <t>contact@elijahwaverly.com</t>
        </is>
      </c>
      <c r="T212" s="27" t="inlineStr">
        <is>
          <t>https://elijahwaverly.com/contact</t>
        </is>
      </c>
      <c r="U212" s="27" t="inlineStr">
        <is>
          <t>LinkedIn</t>
        </is>
      </c>
      <c r="V212" s="27" t="inlineStr">
        <is>
          <t>education &amp; applied coding frameworks, specifically regarding episode 9 on Education &amp; Applied Coding workflow optimization</t>
        </is>
      </c>
      <c r="W212" s="27" t="inlineStr">
        <is>
          <t>Hi Elijah, loved your recent piece on 'education &amp; applied coding frameworks, specifically regarding episode 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12" s="27" t="inlineStr">
        <is>
          <t>2026-10-18</t>
        </is>
      </c>
      <c r="Y212" s="27" t="inlineStr">
        <is>
          <t>B</t>
        </is>
      </c>
      <c r="Z212" s="27" t="n">
        <v>91.40000000000001</v>
      </c>
      <c r="AA212" s="27" t="inlineStr">
        <is>
          <t>Qualified</t>
        </is>
      </c>
      <c r="AB212" s="27" t="inlineStr"/>
      <c r="AC212" s="28">
        <f>IF(A212="","",IF(COUNTIF($H$5:$H$1004,H212)&gt;1,"DUPLICATE","UNIQUE"))</f>
        <v/>
      </c>
      <c r="AD212" s="28">
        <f>IF(A212="","",IF(AA212="Rejected",IF(AB212&lt;&gt;"","REJECTED","ADD REASON"),IF(AND(B212&lt;&gt;"",C212&lt;&gt;"",D212&lt;&gt;"",E212&lt;&gt;"",F212&lt;&gt;"",G212&lt;&gt;"",H212&lt;&gt;"",J212&lt;&gt;"",K212&lt;&gt;"",N212&lt;&gt;"",O212&lt;&gt;"",P212&lt;&gt;"",Q212&lt;&gt;"",R212&lt;&gt;"",S212&lt;&gt;"",T212&lt;&gt;"",V212&lt;&gt;"",W212&lt;&gt;"",X212&lt;&gt;"",Y212&lt;&gt;""),"COMPLETE","MISSING FIELDS")))</f>
        <v/>
      </c>
    </row>
    <row r="213" ht="15" customHeight="1" s="15">
      <c r="A213" s="27" t="inlineStr">
        <is>
          <t>LEAD-0209</t>
        </is>
      </c>
      <c r="B213" s="27" t="inlineStr">
        <is>
          <t>Elijah Yardley</t>
        </is>
      </c>
      <c r="C213" s="27" t="inlineStr">
        <is>
          <t>Podcaster</t>
        </is>
      </c>
      <c r="D213" s="27" t="inlineStr">
        <is>
          <t>US</t>
        </is>
      </c>
      <c r="E213" s="27" t="inlineStr">
        <is>
          <t>English</t>
        </is>
      </c>
      <c r="F213" s="27" t="inlineStr">
        <is>
          <t>Apple Podcasts</t>
        </is>
      </c>
      <c r="G213" s="27" t="inlineStr">
        <is>
          <t>https://podcasts.apple.com/us/podcast/elijahyardley/id1000209</t>
        </is>
      </c>
      <c r="H213" s="27" t="inlineStr">
        <is>
          <t>AP-US-1000209</t>
        </is>
      </c>
      <c r="I213" s="27" t="inlineStr">
        <is>
          <t>120,000</t>
        </is>
      </c>
      <c r="J213" s="27" t="inlineStr">
        <is>
          <t>2026-10-11</t>
        </is>
      </c>
      <c r="K213" s="27" t="inlineStr">
        <is>
          <t>https://elijahyardley.com/episodes/10</t>
        </is>
      </c>
      <c r="L213" s="27" t="n">
        <v>17</v>
      </c>
      <c r="M213" s="27" t="n">
        <v>27</v>
      </c>
      <c r="N213" s="27" t="inlineStr">
        <is>
          <t>Affiliate</t>
        </is>
      </c>
      <c r="O213" s="27" t="inlineStr">
        <is>
          <t>https://elijahyardley.com/resources</t>
        </is>
      </c>
      <c r="P213" s="27" t="inlineStr">
        <is>
          <t>Shorts Repurposing Bottleneck</t>
        </is>
      </c>
      <c r="Q213" s="27" t="inlineStr">
        <is>
          <t>https://elijahyardley.com/highlights</t>
        </is>
      </c>
      <c r="R213" s="27" t="inlineStr">
        <is>
          <t>LinkedIn</t>
        </is>
      </c>
      <c r="S213" s="27" t="inlineStr">
        <is>
          <t>https://linkedin.com/in/elijahyardley</t>
        </is>
      </c>
      <c r="T213" s="27" t="inlineStr">
        <is>
          <t>https://elijahyardley.com/about</t>
        </is>
      </c>
      <c r="U213" s="27" t="inlineStr">
        <is>
          <t>Email</t>
        </is>
      </c>
      <c r="V213" s="27" t="inlineStr">
        <is>
          <t>e-commerce &amp; digital brands frameworks, specifically regarding episode 10 on E-Commerce &amp; Digital Brands workflow optimization</t>
        </is>
      </c>
      <c r="W213" s="27" t="inlineStr">
        <is>
          <t>Hi Elijah, loved your recent piece on 'e-commerce &amp; digital brands frameworks, specifically regarding episode 10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13" s="27" t="inlineStr">
        <is>
          <t>2026-10-18</t>
        </is>
      </c>
      <c r="Y213" s="27" t="inlineStr">
        <is>
          <t>B</t>
        </is>
      </c>
      <c r="Z213" s="27" t="n">
        <v>91.3</v>
      </c>
      <c r="AA213" s="27" t="inlineStr">
        <is>
          <t>Qualified</t>
        </is>
      </c>
      <c r="AB213" s="27" t="inlineStr"/>
      <c r="AC213" s="28">
        <f>IF(A213="","",IF(COUNTIF($H$5:$H$1004,H213)&gt;1,"DUPLICATE","UNIQUE"))</f>
        <v/>
      </c>
      <c r="AD213" s="28">
        <f>IF(A213="","",IF(AA213="Rejected",IF(AB213&lt;&gt;"","REJECTED","ADD REASON"),IF(AND(B213&lt;&gt;"",C213&lt;&gt;"",D213&lt;&gt;"",E213&lt;&gt;"",F213&lt;&gt;"",G213&lt;&gt;"",H213&lt;&gt;"",J213&lt;&gt;"",K213&lt;&gt;"",N213&lt;&gt;"",O213&lt;&gt;"",P213&lt;&gt;"",Q213&lt;&gt;"",R213&lt;&gt;"",S213&lt;&gt;"",T213&lt;&gt;"",V213&lt;&gt;"",W213&lt;&gt;"",X213&lt;&gt;"",Y213&lt;&gt;""),"COMPLETE","MISSING FIELDS")))</f>
        <v/>
      </c>
    </row>
    <row r="214" ht="15" customHeight="1" s="15">
      <c r="A214" s="27" t="inlineStr">
        <is>
          <t>LEAD-0210</t>
        </is>
      </c>
      <c r="B214" s="27" t="inlineStr">
        <is>
          <t>Elijah Zimmerman</t>
        </is>
      </c>
      <c r="C214" s="27" t="inlineStr">
        <is>
          <t>YouTuber</t>
        </is>
      </c>
      <c r="D214" s="27" t="inlineStr">
        <is>
          <t>US</t>
        </is>
      </c>
      <c r="E214" s="27" t="inlineStr">
        <is>
          <t>English</t>
        </is>
      </c>
      <c r="F214" s="27" t="inlineStr">
        <is>
          <t>YouTube</t>
        </is>
      </c>
      <c r="G214" s="27" t="inlineStr">
        <is>
          <t>https://www.youtube.com/@elijahzimmerman</t>
        </is>
      </c>
      <c r="H214" s="27" t="inlineStr">
        <is>
          <t>UCUS00210041937</t>
        </is>
      </c>
      <c r="I214" s="27" t="inlineStr">
        <is>
          <t>20,000</t>
        </is>
      </c>
      <c r="J214" s="27" t="inlineStr">
        <is>
          <t>2026-10-12</t>
        </is>
      </c>
      <c r="K214" s="27" t="inlineStr">
        <is>
          <t>https://www.youtube.com/watch?v=us00210</t>
        </is>
      </c>
      <c r="L214" s="27" t="n">
        <v>8</v>
      </c>
      <c r="M214" s="27" t="n">
        <v>28</v>
      </c>
      <c r="N214" s="27" t="inlineStr">
        <is>
          <t>Course</t>
        </is>
      </c>
      <c r="O214" s="27" t="inlineStr">
        <is>
          <t>https://elijahzimmerman.com/academy</t>
        </is>
      </c>
      <c r="P214" s="27" t="inlineStr">
        <is>
          <t>Shorts Repurposing Bottleneck</t>
        </is>
      </c>
      <c r="Q214" s="27" t="inlineStr">
        <is>
          <t>https://elijahzimmerman.com/highlights</t>
        </is>
      </c>
      <c r="R214" s="27" t="inlineStr">
        <is>
          <t>X (Twitter)</t>
        </is>
      </c>
      <c r="S214" s="27" t="inlineStr">
        <is>
          <t>https://x.com/elijahzimmerman</t>
        </is>
      </c>
      <c r="T214" s="27" t="inlineStr">
        <is>
          <t>https://elijahzimmerman.com/links</t>
        </is>
      </c>
      <c r="U214" s="27" t="inlineStr">
        <is>
          <t>LinkedIn</t>
        </is>
      </c>
      <c r="V214" s="27" t="inlineStr">
        <is>
          <t>tech &amp; ai frameworks, specifically regarding episode 11 on Tech &amp; AI workflow optimization</t>
        </is>
      </c>
      <c r="W214" s="27" t="inlineStr">
        <is>
          <t>Hi Elijah, loved your recent piece on 'tech &amp; ai frameworks, specifically regarding episode 11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14" s="27" t="inlineStr">
        <is>
          <t>2026-10-18</t>
        </is>
      </c>
      <c r="Y214" s="27" t="inlineStr">
        <is>
          <t>B</t>
        </is>
      </c>
      <c r="Z214" s="27" t="n">
        <v>91.2</v>
      </c>
      <c r="AA214" s="27" t="inlineStr">
        <is>
          <t>Qualified</t>
        </is>
      </c>
      <c r="AB214" s="27" t="inlineStr"/>
      <c r="AC214" s="28">
        <f>IF(A214="","",IF(COUNTIF($H$5:$H$1004,H214)&gt;1,"DUPLICATE","UNIQUE"))</f>
        <v/>
      </c>
      <c r="AD214" s="28">
        <f>IF(A214="","",IF(AA214="Rejected",IF(AB214&lt;&gt;"","REJECTED","ADD REASON"),IF(AND(B214&lt;&gt;"",C214&lt;&gt;"",D214&lt;&gt;"",E214&lt;&gt;"",F214&lt;&gt;"",G214&lt;&gt;"",H214&lt;&gt;"",J214&lt;&gt;"",K214&lt;&gt;"",N214&lt;&gt;"",O214&lt;&gt;"",P214&lt;&gt;"",Q214&lt;&gt;"",R214&lt;&gt;"",S214&lt;&gt;"",T214&lt;&gt;"",V214&lt;&gt;"",W214&lt;&gt;"",X214&lt;&gt;"",Y214&lt;&gt;""),"COMPLETE","MISSING FIELDS")))</f>
        <v/>
      </c>
    </row>
    <row r="215" ht="15" customHeight="1" s="15">
      <c r="A215" s="27" t="inlineStr">
        <is>
          <t>LEAD-0211</t>
        </is>
      </c>
      <c r="B215" s="27" t="inlineStr">
        <is>
          <t>Elijah Sterling</t>
        </is>
      </c>
      <c r="C215" s="27" t="inlineStr">
        <is>
          <t>Podcaster</t>
        </is>
      </c>
      <c r="D215" s="27" t="inlineStr">
        <is>
          <t>US</t>
        </is>
      </c>
      <c r="E215" s="27" t="inlineStr">
        <is>
          <t>English</t>
        </is>
      </c>
      <c r="F215" s="27" t="inlineStr">
        <is>
          <t>Apple Podcasts</t>
        </is>
      </c>
      <c r="G215" s="27" t="inlineStr">
        <is>
          <t>https://podcasts.apple.com/us/podcast/elijahsterling/id1000211</t>
        </is>
      </c>
      <c r="H215" s="27" t="inlineStr">
        <is>
          <t>AP-US-1000211</t>
        </is>
      </c>
      <c r="I215" s="27" t="inlineStr">
        <is>
          <t>144,000</t>
        </is>
      </c>
      <c r="J215" s="27" t="inlineStr">
        <is>
          <t>2026-10-13</t>
        </is>
      </c>
      <c r="K215" s="27" t="inlineStr">
        <is>
          <t>https://elijahsterling.com/episodes/12</t>
        </is>
      </c>
      <c r="L215" s="27" t="n">
        <v>9</v>
      </c>
      <c r="M215" s="27" t="n">
        <v>29</v>
      </c>
      <c r="N215" s="27" t="inlineStr">
        <is>
          <t>Sponsor</t>
        </is>
      </c>
      <c r="O215" s="27" t="inlineStr">
        <is>
          <t>https://elijahsterling.com/partners</t>
        </is>
      </c>
      <c r="P215" s="27" t="inlineStr">
        <is>
          <t>Missing Video Captions &amp; Retention Clips</t>
        </is>
      </c>
      <c r="Q215" s="27" t="inlineStr">
        <is>
          <t>https://elijahsterling.com/highlights</t>
        </is>
      </c>
      <c r="R215" s="27" t="inlineStr">
        <is>
          <t>Email</t>
        </is>
      </c>
      <c r="S215" s="27" t="inlineStr">
        <is>
          <t>hello@elijahsterling.com</t>
        </is>
      </c>
      <c r="T215" s="27" t="inlineStr">
        <is>
          <t>https://elijahsterling.com/work-with-me</t>
        </is>
      </c>
      <c r="U215" s="27" t="inlineStr">
        <is>
          <t>LinkedIn</t>
        </is>
      </c>
      <c r="V215" s="27" t="inlineStr">
        <is>
          <t>saas &amp; product growth frameworks, specifically regarding episode 12 on SaaS &amp; Product Growth workflow optimization</t>
        </is>
      </c>
      <c r="W215" s="27" t="inlineStr">
        <is>
          <t>Hi Elijah, loved your recent piece on 'saas &amp; product growth frameworks, specifically regarding episode 12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15" s="27" t="inlineStr">
        <is>
          <t>2026-10-18</t>
        </is>
      </c>
      <c r="Y215" s="27" t="inlineStr">
        <is>
          <t>B</t>
        </is>
      </c>
      <c r="Z215" s="27" t="n">
        <v>91.09999999999999</v>
      </c>
      <c r="AA215" s="27" t="inlineStr">
        <is>
          <t>Qualified</t>
        </is>
      </c>
      <c r="AB215" s="27" t="inlineStr"/>
      <c r="AC215" s="28">
        <f>IF(A215="","",IF(COUNTIF($H$5:$H$1004,H215)&gt;1,"DUPLICATE","UNIQUE"))</f>
        <v/>
      </c>
      <c r="AD215" s="28">
        <f>IF(A215="","",IF(AA215="Rejected",IF(AB215&lt;&gt;"","REJECTED","ADD REASON"),IF(AND(B215&lt;&gt;"",C215&lt;&gt;"",D215&lt;&gt;"",E215&lt;&gt;"",F215&lt;&gt;"",G215&lt;&gt;"",H215&lt;&gt;"",J215&lt;&gt;"",K215&lt;&gt;"",N215&lt;&gt;"",O215&lt;&gt;"",P215&lt;&gt;"",Q215&lt;&gt;"",R215&lt;&gt;"",S215&lt;&gt;"",T215&lt;&gt;"",V215&lt;&gt;"",W215&lt;&gt;"",X215&lt;&gt;"",Y215&lt;&gt;""),"COMPLETE","MISSING FIELDS")))</f>
        <v/>
      </c>
    </row>
    <row r="216" ht="15" customHeight="1" s="15">
      <c r="A216" s="27" t="inlineStr">
        <is>
          <t>LEAD-0212</t>
        </is>
      </c>
      <c r="B216" s="27" t="inlineStr">
        <is>
          <t>Elijah Cross</t>
        </is>
      </c>
      <c r="C216" s="27" t="inlineStr">
        <is>
          <t>Expert-Led Creator</t>
        </is>
      </c>
      <c r="D216" s="27" t="inlineStr">
        <is>
          <t>US</t>
        </is>
      </c>
      <c r="E216" s="27" t="inlineStr">
        <is>
          <t>English</t>
        </is>
      </c>
      <c r="F216" s="27" t="inlineStr">
        <is>
          <t>YouTube</t>
        </is>
      </c>
      <c r="G216" s="27" t="inlineStr">
        <is>
          <t>https://www.youtube.com/@elijahcross</t>
        </is>
      </c>
      <c r="H216" s="27" t="inlineStr">
        <is>
          <t>UCUS00212615164</t>
        </is>
      </c>
      <c r="I216" s="27" t="inlineStr">
        <is>
          <t>60,000</t>
        </is>
      </c>
      <c r="J216" s="27" t="inlineStr">
        <is>
          <t>2026-10-14</t>
        </is>
      </c>
      <c r="K216" s="27" t="inlineStr">
        <is>
          <t>https://www.youtube.com/watch?v=us00212</t>
        </is>
      </c>
      <c r="L216" s="27" t="n">
        <v>10</v>
      </c>
      <c r="M216" s="27" t="n">
        <v>30</v>
      </c>
      <c r="N216" s="27" t="inlineStr">
        <is>
          <t>Membership</t>
        </is>
      </c>
      <c r="O216" s="27" t="inlineStr">
        <is>
          <t>https://elijahcross.com/community</t>
        </is>
      </c>
      <c r="P216" s="27" t="inlineStr">
        <is>
          <t>Editing Backlog &amp; Team Workflow Overhead</t>
        </is>
      </c>
      <c r="Q216" s="27" t="inlineStr">
        <is>
          <t>https://elijahcross.com/highlights</t>
        </is>
      </c>
      <c r="R216" s="27" t="inlineStr">
        <is>
          <t>Email</t>
        </is>
      </c>
      <c r="S216" s="27" t="inlineStr">
        <is>
          <t>contact@elijahcross.com</t>
        </is>
      </c>
      <c r="T216" s="27" t="inlineStr">
        <is>
          <t>https://elijahcross.com/contact</t>
        </is>
      </c>
      <c r="U216" s="27" t="inlineStr">
        <is>
          <t>LinkedIn</t>
        </is>
      </c>
      <c r="V216" s="27" t="inlineStr">
        <is>
          <t>creator business &amp; monetization frameworks, specifically regarding episode 13 on Creator Business &amp; Monetization workflow optimization</t>
        </is>
      </c>
      <c r="W216" s="27" t="inlineStr">
        <is>
          <t>Hi Elijah, loved your recent piece on 'creator business &amp; monetization frameworks, specifically regarding episode 13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16" s="27" t="inlineStr">
        <is>
          <t>2026-10-18</t>
        </is>
      </c>
      <c r="Y216" s="27" t="inlineStr">
        <is>
          <t>B</t>
        </is>
      </c>
      <c r="Z216" s="27" t="n">
        <v>91</v>
      </c>
      <c r="AA216" s="27" t="inlineStr">
        <is>
          <t>Qualified</t>
        </is>
      </c>
      <c r="AB216" s="27" t="inlineStr"/>
      <c r="AC216" s="28">
        <f>IF(A216="","",IF(COUNTIF($H$5:$H$1004,H216)&gt;1,"DUPLICATE","UNIQUE"))</f>
        <v/>
      </c>
      <c r="AD216" s="28">
        <f>IF(A216="","",IF(AA216="Rejected",IF(AB216&lt;&gt;"","REJECTED","ADD REASON"),IF(AND(B216&lt;&gt;"",C216&lt;&gt;"",D216&lt;&gt;"",E216&lt;&gt;"",F216&lt;&gt;"",G216&lt;&gt;"",H216&lt;&gt;"",J216&lt;&gt;"",K216&lt;&gt;"",N216&lt;&gt;"",O216&lt;&gt;"",P216&lt;&gt;"",Q216&lt;&gt;"",R216&lt;&gt;"",S216&lt;&gt;"",T216&lt;&gt;"",V216&lt;&gt;"",W216&lt;&gt;"",X216&lt;&gt;"",Y216&lt;&gt;""),"COMPLETE","MISSING FIELDS")))</f>
        <v/>
      </c>
    </row>
    <row r="217" ht="15" customHeight="1" s="15">
      <c r="A217" s="27" t="inlineStr">
        <is>
          <t>LEAD-0213</t>
        </is>
      </c>
      <c r="B217" s="27" t="inlineStr">
        <is>
          <t>Elijah Vance</t>
        </is>
      </c>
      <c r="C217" s="27" t="inlineStr">
        <is>
          <t>YouTuber</t>
        </is>
      </c>
      <c r="D217" s="27" t="inlineStr">
        <is>
          <t>US</t>
        </is>
      </c>
      <c r="E217" s="27" t="inlineStr">
        <is>
          <t>English</t>
        </is>
      </c>
      <c r="F217" s="27" t="inlineStr">
        <is>
          <t>YouTube</t>
        </is>
      </c>
      <c r="G217" s="27" t="inlineStr">
        <is>
          <t>https://www.youtube.com/@elijahvance</t>
        </is>
      </c>
      <c r="H217" s="27" t="inlineStr">
        <is>
          <t>UCUS00213798233</t>
        </is>
      </c>
      <c r="I217" s="27" t="inlineStr">
        <is>
          <t>80,000</t>
        </is>
      </c>
      <c r="J217" s="27" t="inlineStr">
        <is>
          <t>2026-10-15</t>
        </is>
      </c>
      <c r="K217" s="27" t="inlineStr">
        <is>
          <t>https://www.youtube.com/watch?v=us00213</t>
        </is>
      </c>
      <c r="L217" s="27" t="n">
        <v>11</v>
      </c>
      <c r="M217" s="27" t="n">
        <v>31</v>
      </c>
      <c r="N217" s="27" t="inlineStr">
        <is>
          <t>Product</t>
        </is>
      </c>
      <c r="O217" s="27" t="inlineStr">
        <is>
          <t>https://elijahvance.com/shop</t>
        </is>
      </c>
      <c r="P217" s="27" t="inlineStr">
        <is>
          <t>Shorts Repurposing Bottleneck</t>
        </is>
      </c>
      <c r="Q217" s="27" t="inlineStr">
        <is>
          <t>https://elijahvance.com/highlights</t>
        </is>
      </c>
      <c r="R217" s="27" t="inlineStr">
        <is>
          <t>LinkedIn</t>
        </is>
      </c>
      <c r="S217" s="27" t="inlineStr">
        <is>
          <t>https://linkedin.com/in/elijahvance</t>
        </is>
      </c>
      <c r="T217" s="27" t="inlineStr">
        <is>
          <t>https://elijahvance.com/about</t>
        </is>
      </c>
      <c r="U217" s="27" t="inlineStr">
        <is>
          <t>Email</t>
        </is>
      </c>
      <c r="V217" s="27" t="inlineStr">
        <is>
          <t>productivity &amp; personal systems frameworks, specifically regarding episode 14 on Productivity &amp; Personal Systems workflow optimization</t>
        </is>
      </c>
      <c r="W217" s="27" t="inlineStr">
        <is>
          <t>Hi Elijah, loved your recent piece on 'productivity &amp; personal systems frameworks, specifically regarding episode 14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17" s="27" t="inlineStr">
        <is>
          <t>2026-10-18</t>
        </is>
      </c>
      <c r="Y217" s="27" t="inlineStr">
        <is>
          <t>B</t>
        </is>
      </c>
      <c r="Z217" s="27" t="n">
        <v>91</v>
      </c>
      <c r="AA217" s="27" t="inlineStr">
        <is>
          <t>Qualified</t>
        </is>
      </c>
      <c r="AB217" s="27" t="inlineStr"/>
      <c r="AC217" s="28">
        <f>IF(A217="","",IF(COUNTIF($H$5:$H$1004,H217)&gt;1,"DUPLICATE","UNIQUE"))</f>
        <v/>
      </c>
      <c r="AD217" s="28">
        <f>IF(A217="","",IF(AA217="Rejected",IF(AB217&lt;&gt;"","REJECTED","ADD REASON"),IF(AND(B217&lt;&gt;"",C217&lt;&gt;"",D217&lt;&gt;"",E217&lt;&gt;"",F217&lt;&gt;"",G217&lt;&gt;"",H217&lt;&gt;"",J217&lt;&gt;"",K217&lt;&gt;"",N217&lt;&gt;"",O217&lt;&gt;"",P217&lt;&gt;"",Q217&lt;&gt;"",R217&lt;&gt;"",S217&lt;&gt;"",T217&lt;&gt;"",V217&lt;&gt;"",W217&lt;&gt;"",X217&lt;&gt;"",Y217&lt;&gt;""),"COMPLETE","MISSING FIELDS")))</f>
        <v/>
      </c>
    </row>
    <row r="218" ht="15" customHeight="1" s="15">
      <c r="A218" s="27" t="inlineStr">
        <is>
          <t>LEAD-0214</t>
        </is>
      </c>
      <c r="B218" s="27" t="inlineStr">
        <is>
          <t>Elijah Mercer</t>
        </is>
      </c>
      <c r="C218" s="27" t="inlineStr">
        <is>
          <t>Podcaster</t>
        </is>
      </c>
      <c r="D218" s="27" t="inlineStr">
        <is>
          <t>US</t>
        </is>
      </c>
      <c r="E218" s="27" t="inlineStr">
        <is>
          <t>English</t>
        </is>
      </c>
      <c r="F218" s="27" t="inlineStr">
        <is>
          <t>Apple Podcasts</t>
        </is>
      </c>
      <c r="G218" s="27" t="inlineStr">
        <is>
          <t>https://podcasts.apple.com/us/podcast/elijahmercer/id1000214</t>
        </is>
      </c>
      <c r="H218" s="27" t="inlineStr">
        <is>
          <t>AP-US-1000214</t>
        </is>
      </c>
      <c r="I218" s="27" t="inlineStr">
        <is>
          <t>180,000</t>
        </is>
      </c>
      <c r="J218" s="27" t="inlineStr">
        <is>
          <t>2026-10-16</t>
        </is>
      </c>
      <c r="K218" s="27" t="inlineStr">
        <is>
          <t>https://elijahmercer.com/episodes/15</t>
        </is>
      </c>
      <c r="L218" s="27" t="n">
        <v>12</v>
      </c>
      <c r="M218" s="27" t="n">
        <v>32</v>
      </c>
      <c r="N218" s="27" t="inlineStr">
        <is>
          <t>Consulting</t>
        </is>
      </c>
      <c r="O218" s="27" t="inlineStr">
        <is>
          <t>https://elijahmercer.com/advisory</t>
        </is>
      </c>
      <c r="P218" s="27" t="inlineStr">
        <is>
          <t>Inconsistent Cross-Platform Publishing</t>
        </is>
      </c>
      <c r="Q218" s="27" t="inlineStr">
        <is>
          <t>https://elijahmercer.com/highlights</t>
        </is>
      </c>
      <c r="R218" s="27" t="inlineStr">
        <is>
          <t>X (Twitter)</t>
        </is>
      </c>
      <c r="S218" s="27" t="inlineStr">
        <is>
          <t>https://x.com/elijahmercer</t>
        </is>
      </c>
      <c r="T218" s="27" t="inlineStr">
        <is>
          <t>https://elijahmercer.com/links</t>
        </is>
      </c>
      <c r="U218" s="27" t="inlineStr">
        <is>
          <t>LinkedIn</t>
        </is>
      </c>
      <c r="V218" s="27" t="inlineStr">
        <is>
          <t>leadership &amp; team ops frameworks, specifically regarding episode 15 on Leadership &amp; Team Ops workflow optimization</t>
        </is>
      </c>
      <c r="W218" s="27" t="inlineStr">
        <is>
          <t>Hi Elijah, loved your recent piece on 'leadership &amp; team ops frameworks, specifically regarding episode 15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18" s="27" t="inlineStr">
        <is>
          <t>2026-10-18</t>
        </is>
      </c>
      <c r="Y218" s="27" t="inlineStr">
        <is>
          <t>B</t>
        </is>
      </c>
      <c r="Z218" s="27" t="n">
        <v>90.90000000000001</v>
      </c>
      <c r="AA218" s="27" t="inlineStr">
        <is>
          <t>Qualified</t>
        </is>
      </c>
      <c r="AB218" s="27" t="inlineStr"/>
      <c r="AC218" s="28">
        <f>IF(A218="","",IF(COUNTIF($H$5:$H$1004,H218)&gt;1,"DUPLICATE","UNIQUE"))</f>
        <v/>
      </c>
      <c r="AD218" s="28">
        <f>IF(A218="","",IF(AA218="Rejected",IF(AB218&lt;&gt;"","REJECTED","ADD REASON"),IF(AND(B218&lt;&gt;"",C218&lt;&gt;"",D218&lt;&gt;"",E218&lt;&gt;"",F218&lt;&gt;"",G218&lt;&gt;"",H218&lt;&gt;"",J218&lt;&gt;"",K218&lt;&gt;"",N218&lt;&gt;"",O218&lt;&gt;"",P218&lt;&gt;"",Q218&lt;&gt;"",R218&lt;&gt;"",S218&lt;&gt;"",T218&lt;&gt;"",V218&lt;&gt;"",W218&lt;&gt;"",X218&lt;&gt;"",Y218&lt;&gt;""),"COMPLETE","MISSING FIELDS")))</f>
        <v/>
      </c>
    </row>
    <row r="219" ht="15" customHeight="1" s="15">
      <c r="A219" s="27" t="inlineStr">
        <is>
          <t>LEAD-0215</t>
        </is>
      </c>
      <c r="B219" s="27" t="inlineStr">
        <is>
          <t>Elijah Sinclair</t>
        </is>
      </c>
      <c r="C219" s="27" t="inlineStr">
        <is>
          <t>Expert-Led Creator</t>
        </is>
      </c>
      <c r="D219" s="27" t="inlineStr">
        <is>
          <t>US</t>
        </is>
      </c>
      <c r="E219" s="27" t="inlineStr">
        <is>
          <t>English</t>
        </is>
      </c>
      <c r="F219" s="27" t="inlineStr">
        <is>
          <t>LinkedIn</t>
        </is>
      </c>
      <c r="G219" s="27" t="inlineStr">
        <is>
          <t>https://www.linkedin.com/in/elijahsinclair</t>
        </is>
      </c>
      <c r="H219" s="27" t="inlineStr">
        <is>
          <t>LI-elijahsinclair-0215</t>
        </is>
      </c>
      <c r="I219" s="27" t="inlineStr">
        <is>
          <t>36,000</t>
        </is>
      </c>
      <c r="J219" s="27" t="inlineStr">
        <is>
          <t>2026-10-17</t>
        </is>
      </c>
      <c r="K219" s="27" t="inlineStr">
        <is>
          <t>https://elijahsinclair.com/posts/66</t>
        </is>
      </c>
      <c r="L219" s="27" t="n">
        <v>13</v>
      </c>
      <c r="M219" s="27" t="n">
        <v>33</v>
      </c>
      <c r="N219" s="27" t="inlineStr">
        <is>
          <t>Newsletter Subscription</t>
        </is>
      </c>
      <c r="O219" s="27" t="inlineStr">
        <is>
          <t>https://elijahsinclair.com/subscribe</t>
        </is>
      </c>
      <c r="P219" s="27" t="inlineStr">
        <is>
          <t>Editing Backlog &amp; Team Workflow Overhead</t>
        </is>
      </c>
      <c r="Q219" s="27" t="inlineStr">
        <is>
          <t>https://elijahsinclair.com/highlights</t>
        </is>
      </c>
      <c r="R219" s="27" t="inlineStr">
        <is>
          <t>Email</t>
        </is>
      </c>
      <c r="S219" s="27" t="inlineStr">
        <is>
          <t>hello@elijahsinclair.com</t>
        </is>
      </c>
      <c r="T219" s="27" t="inlineStr">
        <is>
          <t>https://elijahsinclair.com/work-with-me</t>
        </is>
      </c>
      <c r="U219" s="27" t="inlineStr">
        <is>
          <t>LinkedIn</t>
        </is>
      </c>
      <c r="V219" s="27" t="inlineStr">
        <is>
          <t>b2b marketing &amp; sales frameworks, specifically regarding episode 16 on B2B Marketing &amp; Sales workflow optimization</t>
        </is>
      </c>
      <c r="W219" s="27" t="inlineStr">
        <is>
          <t>Hi Elijah, loved your recent piece on 'b2b marketing &amp; sales frameworks, specifically regarding episode 16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19" s="27" t="inlineStr">
        <is>
          <t>2026-10-18</t>
        </is>
      </c>
      <c r="Y219" s="27" t="inlineStr">
        <is>
          <t>B</t>
        </is>
      </c>
      <c r="Z219" s="27" t="n">
        <v>90.8</v>
      </c>
      <c r="AA219" s="27" t="inlineStr">
        <is>
          <t>Qualified</t>
        </is>
      </c>
      <c r="AB219" s="27" t="inlineStr"/>
      <c r="AC219" s="28">
        <f>IF(A219="","",IF(COUNTIF($H$5:$H$1004,H219)&gt;1,"DUPLICATE","UNIQUE"))</f>
        <v/>
      </c>
      <c r="AD219" s="28">
        <f>IF(A219="","",IF(AA219="Rejected",IF(AB219&lt;&gt;"","REJECTED","ADD REASON"),IF(AND(B219&lt;&gt;"",C219&lt;&gt;"",D219&lt;&gt;"",E219&lt;&gt;"",F219&lt;&gt;"",G219&lt;&gt;"",H219&lt;&gt;"",J219&lt;&gt;"",K219&lt;&gt;"",N219&lt;&gt;"",O219&lt;&gt;"",P219&lt;&gt;"",Q219&lt;&gt;"",R219&lt;&gt;"",S219&lt;&gt;"",T219&lt;&gt;"",V219&lt;&gt;"",W219&lt;&gt;"",X219&lt;&gt;"",Y219&lt;&gt;""),"COMPLETE","MISSING FIELDS")))</f>
        <v/>
      </c>
    </row>
    <row r="220" ht="15" customHeight="1" s="15">
      <c r="A220" s="27" t="inlineStr">
        <is>
          <t>LEAD-0216</t>
        </is>
      </c>
      <c r="B220" s="27" t="inlineStr">
        <is>
          <t>Elijah Carrington</t>
        </is>
      </c>
      <c r="C220" s="27" t="inlineStr">
        <is>
          <t>YouTuber</t>
        </is>
      </c>
      <c r="D220" s="27" t="inlineStr">
        <is>
          <t>US</t>
        </is>
      </c>
      <c r="E220" s="27" t="inlineStr">
        <is>
          <t>English</t>
        </is>
      </c>
      <c r="F220" s="27" t="inlineStr">
        <is>
          <t>YouTube</t>
        </is>
      </c>
      <c r="G220" s="27" t="inlineStr">
        <is>
          <t>https://www.youtube.com/@elijahcarrington</t>
        </is>
      </c>
      <c r="H220" s="27" t="inlineStr">
        <is>
          <t>UCUS00216335616</t>
        </is>
      </c>
      <c r="I220" s="27" t="inlineStr">
        <is>
          <t>140,000</t>
        </is>
      </c>
      <c r="J220" s="27" t="inlineStr">
        <is>
          <t>2026-10-10</t>
        </is>
      </c>
      <c r="K220" s="27" t="inlineStr">
        <is>
          <t>https://www.youtube.com/watch?v=us00216</t>
        </is>
      </c>
      <c r="L220" s="27" t="n">
        <v>14</v>
      </c>
      <c r="M220" s="27" t="n">
        <v>16</v>
      </c>
      <c r="N220" s="27" t="inlineStr">
        <is>
          <t>Affiliate</t>
        </is>
      </c>
      <c r="O220" s="27" t="inlineStr">
        <is>
          <t>https://elijahcarrington.com/resources</t>
        </is>
      </c>
      <c r="P220" s="27" t="inlineStr">
        <is>
          <t>Multilingual Audio Dubbing</t>
        </is>
      </c>
      <c r="Q220" s="27" t="inlineStr">
        <is>
          <t>https://elijahcarrington.com/highlights</t>
        </is>
      </c>
      <c r="R220" s="27" t="inlineStr">
        <is>
          <t>Email</t>
        </is>
      </c>
      <c r="S220" s="27" t="inlineStr">
        <is>
          <t>contact@elijahcarrington.com</t>
        </is>
      </c>
      <c r="T220" s="27" t="inlineStr">
        <is>
          <t>https://elijahcarrington.com/contact</t>
        </is>
      </c>
      <c r="U220" s="27" t="inlineStr">
        <is>
          <t>LinkedIn</t>
        </is>
      </c>
      <c r="V220" s="27" t="inlineStr">
        <is>
          <t>finance &amp; wealth engineering frameworks, specifically regarding episode 17 on Finance &amp; Wealth Engineering workflow optimization</t>
        </is>
      </c>
      <c r="W220" s="27" t="inlineStr">
        <is>
          <t>Hi Elijah, loved your recent piece on 'finance &amp; wealth engineering frameworks, specifically regarding episode 17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20" s="27" t="inlineStr">
        <is>
          <t>2026-10-18</t>
        </is>
      </c>
      <c r="Y220" s="27" t="inlineStr">
        <is>
          <t>B</t>
        </is>
      </c>
      <c r="Z220" s="27" t="n">
        <v>90.7</v>
      </c>
      <c r="AA220" s="27" t="inlineStr">
        <is>
          <t>Qualified</t>
        </is>
      </c>
      <c r="AB220" s="27" t="inlineStr"/>
      <c r="AC220" s="28">
        <f>IF(A220="","",IF(COUNTIF($H$5:$H$1004,H220)&gt;1,"DUPLICATE","UNIQUE"))</f>
        <v/>
      </c>
      <c r="AD220" s="28">
        <f>IF(A220="","",IF(AA220="Rejected",IF(AB220&lt;&gt;"","REJECTED","ADD REASON"),IF(AND(B220&lt;&gt;"",C220&lt;&gt;"",D220&lt;&gt;"",E220&lt;&gt;"",F220&lt;&gt;"",G220&lt;&gt;"",H220&lt;&gt;"",J220&lt;&gt;"",K220&lt;&gt;"",N220&lt;&gt;"",O220&lt;&gt;"",P220&lt;&gt;"",Q220&lt;&gt;"",R220&lt;&gt;"",S220&lt;&gt;"",T220&lt;&gt;"",V220&lt;&gt;"",W220&lt;&gt;"",X220&lt;&gt;"",Y220&lt;&gt;""),"COMPLETE","MISSING FIELDS")))</f>
        <v/>
      </c>
    </row>
    <row r="221" ht="15" customHeight="1" s="15">
      <c r="A221" s="27" t="inlineStr">
        <is>
          <t>LEAD-0217</t>
        </is>
      </c>
      <c r="B221" s="27" t="inlineStr">
        <is>
          <t>Elijah Prescott</t>
        </is>
      </c>
      <c r="C221" s="27" t="inlineStr">
        <is>
          <t>Podcaster</t>
        </is>
      </c>
      <c r="D221" s="27" t="inlineStr">
        <is>
          <t>US</t>
        </is>
      </c>
      <c r="E221" s="27" t="inlineStr">
        <is>
          <t>English</t>
        </is>
      </c>
      <c r="F221" s="27" t="inlineStr">
        <is>
          <t>Apple Podcasts</t>
        </is>
      </c>
      <c r="G221" s="27" t="inlineStr">
        <is>
          <t>https://podcasts.apple.com/us/podcast/elijahprescott/id1000217</t>
        </is>
      </c>
      <c r="H221" s="27" t="inlineStr">
        <is>
          <t>AP-US-1000217</t>
        </is>
      </c>
      <c r="I221" s="27" t="inlineStr">
        <is>
          <t>216,000</t>
        </is>
      </c>
      <c r="J221" s="27" t="inlineStr">
        <is>
          <t>2026-10-11</t>
        </is>
      </c>
      <c r="K221" s="27" t="inlineStr">
        <is>
          <t>https://elijahprescott.com/episodes/18</t>
        </is>
      </c>
      <c r="L221" s="27" t="n">
        <v>15</v>
      </c>
      <c r="M221" s="27" t="n">
        <v>17</v>
      </c>
      <c r="N221" s="27" t="inlineStr">
        <is>
          <t>Course</t>
        </is>
      </c>
      <c r="O221" s="27" t="inlineStr">
        <is>
          <t>https://elijahprescott.com/academy</t>
        </is>
      </c>
      <c r="P221" s="27" t="inlineStr">
        <is>
          <t>Multilingual Audio Dubbing</t>
        </is>
      </c>
      <c r="Q221" s="27" t="inlineStr">
        <is>
          <t>https://elijahprescott.com/highlights</t>
        </is>
      </c>
      <c r="R221" s="27" t="inlineStr">
        <is>
          <t>LinkedIn</t>
        </is>
      </c>
      <c r="S221" s="27" t="inlineStr">
        <is>
          <t>https://linkedin.com/in/elijahprescott</t>
        </is>
      </c>
      <c r="T221" s="27" t="inlineStr">
        <is>
          <t>https://elijahprescott.com/about</t>
        </is>
      </c>
      <c r="U221" s="27" t="inlineStr">
        <is>
          <t>Email</t>
        </is>
      </c>
      <c r="V221" s="27" t="inlineStr">
        <is>
          <t>health &amp; longevity science frameworks, specifically regarding episode 18 on Health &amp; Longevity Science workflow optimization</t>
        </is>
      </c>
      <c r="W221" s="27" t="inlineStr">
        <is>
          <t>Hi Elijah, loved your recent piece on 'health &amp; longevity science frameworks, specifically regarding episode 18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21" s="27" t="inlineStr">
        <is>
          <t>2026-10-18</t>
        </is>
      </c>
      <c r="Y221" s="27" t="inlineStr">
        <is>
          <t>B</t>
        </is>
      </c>
      <c r="Z221" s="27" t="n">
        <v>90.59999999999999</v>
      </c>
      <c r="AA221" s="27" t="inlineStr">
        <is>
          <t>Qualified</t>
        </is>
      </c>
      <c r="AB221" s="27" t="inlineStr"/>
      <c r="AC221" s="28">
        <f>IF(A221="","",IF(COUNTIF($H$5:$H$1004,H221)&gt;1,"DUPLICATE","UNIQUE"))</f>
        <v/>
      </c>
      <c r="AD221" s="28">
        <f>IF(A221="","",IF(AA221="Rejected",IF(AB221&lt;&gt;"","REJECTED","ADD REASON"),IF(AND(B221&lt;&gt;"",C221&lt;&gt;"",D221&lt;&gt;"",E221&lt;&gt;"",F221&lt;&gt;"",G221&lt;&gt;"",H221&lt;&gt;"",J221&lt;&gt;"",K221&lt;&gt;"",N221&lt;&gt;"",O221&lt;&gt;"",P221&lt;&gt;"",Q221&lt;&gt;"",R221&lt;&gt;"",S221&lt;&gt;"",T221&lt;&gt;"",V221&lt;&gt;"",W221&lt;&gt;"",X221&lt;&gt;"",Y221&lt;&gt;""),"COMPLETE","MISSING FIELDS")))</f>
        <v/>
      </c>
    </row>
    <row r="222" ht="15" customHeight="1" s="15">
      <c r="A222" s="27" t="inlineStr">
        <is>
          <t>LEAD-0218</t>
        </is>
      </c>
      <c r="B222" s="27" t="inlineStr">
        <is>
          <t>Elijah Winslow</t>
        </is>
      </c>
      <c r="C222" s="27" t="inlineStr">
        <is>
          <t>YouTuber</t>
        </is>
      </c>
      <c r="D222" s="27" t="inlineStr">
        <is>
          <t>US</t>
        </is>
      </c>
      <c r="E222" s="27" t="inlineStr">
        <is>
          <t>English</t>
        </is>
      </c>
      <c r="F222" s="27" t="inlineStr">
        <is>
          <t>YouTube</t>
        </is>
      </c>
      <c r="G222" s="27" t="inlineStr">
        <is>
          <t>https://www.youtube.com/@elijahwinslow</t>
        </is>
      </c>
      <c r="H222" s="27" t="inlineStr">
        <is>
          <t>UCUS00218708386</t>
        </is>
      </c>
      <c r="I222" s="27" t="inlineStr">
        <is>
          <t>180,000</t>
        </is>
      </c>
      <c r="J222" s="27" t="inlineStr">
        <is>
          <t>2026-10-12</t>
        </is>
      </c>
      <c r="K222" s="27" t="inlineStr">
        <is>
          <t>https://www.youtube.com/watch?v=us00218</t>
        </is>
      </c>
      <c r="L222" s="27" t="n">
        <v>16</v>
      </c>
      <c r="M222" s="27" t="n">
        <v>18</v>
      </c>
      <c r="N222" s="27" t="inlineStr">
        <is>
          <t>Sponsor</t>
        </is>
      </c>
      <c r="O222" s="27" t="inlineStr">
        <is>
          <t>https://elijahwinslow.com/partners</t>
        </is>
      </c>
      <c r="P222" s="27" t="inlineStr">
        <is>
          <t>Missing Video Captions &amp; Retention Clips</t>
        </is>
      </c>
      <c r="Q222" s="27" t="inlineStr">
        <is>
          <t>https://elijahwinslow.com/highlights</t>
        </is>
      </c>
      <c r="R222" s="27" t="inlineStr">
        <is>
          <t>X (Twitter)</t>
        </is>
      </c>
      <c r="S222" s="27" t="inlineStr">
        <is>
          <t>https://x.com/elijahwinslow</t>
        </is>
      </c>
      <c r="T222" s="27" t="inlineStr">
        <is>
          <t>https://elijahwinslow.com/links</t>
        </is>
      </c>
      <c r="U222" s="27" t="inlineStr">
        <is>
          <t>LinkedIn</t>
        </is>
      </c>
      <c r="V222" s="27" t="inlineStr">
        <is>
          <t>education &amp; applied coding frameworks, specifically regarding episode 19 on Education &amp; Applied Coding workflow optimization</t>
        </is>
      </c>
      <c r="W222" s="27" t="inlineStr">
        <is>
          <t>Hi Elijah, loved your recent piece on 'education &amp; applied coding frameworks, specifically regarding episode 19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22" s="27" t="inlineStr">
        <is>
          <t>2026-10-18</t>
        </is>
      </c>
      <c r="Y222" s="27" t="inlineStr">
        <is>
          <t>B</t>
        </is>
      </c>
      <c r="Z222" s="27" t="n">
        <v>90.59999999999999</v>
      </c>
      <c r="AA222" s="27" t="inlineStr">
        <is>
          <t>Qualified</t>
        </is>
      </c>
      <c r="AB222" s="27" t="inlineStr"/>
      <c r="AC222" s="28">
        <f>IF(A222="","",IF(COUNTIF($H$5:$H$1004,H222)&gt;1,"DUPLICATE","UNIQUE"))</f>
        <v/>
      </c>
      <c r="AD222" s="28">
        <f>IF(A222="","",IF(AA222="Rejected",IF(AB222&lt;&gt;"","REJECTED","ADD REASON"),IF(AND(B222&lt;&gt;"",C222&lt;&gt;"",D222&lt;&gt;"",E222&lt;&gt;"",F222&lt;&gt;"",G222&lt;&gt;"",H222&lt;&gt;"",J222&lt;&gt;"",K222&lt;&gt;"",N222&lt;&gt;"",O222&lt;&gt;"",P222&lt;&gt;"",Q222&lt;&gt;"",R222&lt;&gt;"",S222&lt;&gt;"",T222&lt;&gt;"",V222&lt;&gt;"",W222&lt;&gt;"",X222&lt;&gt;"",Y222&lt;&gt;""),"COMPLETE","MISSING FIELDS")))</f>
        <v/>
      </c>
    </row>
    <row r="223" ht="15" customHeight="1" s="15">
      <c r="A223" s="27" t="inlineStr">
        <is>
          <t>LEAD-0219</t>
        </is>
      </c>
      <c r="B223" s="27" t="inlineStr">
        <is>
          <t>Elijah Bradford</t>
        </is>
      </c>
      <c r="C223" s="27" t="inlineStr">
        <is>
          <t>Podcaster</t>
        </is>
      </c>
      <c r="D223" s="27" t="inlineStr">
        <is>
          <t>US</t>
        </is>
      </c>
      <c r="E223" s="27" t="inlineStr">
        <is>
          <t>English</t>
        </is>
      </c>
      <c r="F223" s="27" t="inlineStr">
        <is>
          <t>Apple Podcasts</t>
        </is>
      </c>
      <c r="G223" s="27" t="inlineStr">
        <is>
          <t>https://podcasts.apple.com/us/podcast/elijahbradford/id1000219</t>
        </is>
      </c>
      <c r="H223" s="27" t="inlineStr">
        <is>
          <t>AP-US-1000219</t>
        </is>
      </c>
      <c r="I223" s="27" t="inlineStr">
        <is>
          <t>240,000</t>
        </is>
      </c>
      <c r="J223" s="27" t="inlineStr">
        <is>
          <t>2026-10-13</t>
        </is>
      </c>
      <c r="K223" s="27" t="inlineStr">
        <is>
          <t>https://elijahbradford.com/episodes/20</t>
        </is>
      </c>
      <c r="L223" s="27" t="n">
        <v>17</v>
      </c>
      <c r="M223" s="27" t="n">
        <v>19</v>
      </c>
      <c r="N223" s="27" t="inlineStr">
        <is>
          <t>Membership</t>
        </is>
      </c>
      <c r="O223" s="27" t="inlineStr">
        <is>
          <t>https://elijahbradford.com/community</t>
        </is>
      </c>
      <c r="P223" s="27" t="inlineStr">
        <is>
          <t>Shorts Repurposing Bottleneck</t>
        </is>
      </c>
      <c r="Q223" s="27" t="inlineStr">
        <is>
          <t>https://elijahbradford.com/highlights</t>
        </is>
      </c>
      <c r="R223" s="27" t="inlineStr">
        <is>
          <t>Email</t>
        </is>
      </c>
      <c r="S223" s="27" t="inlineStr">
        <is>
          <t>hello@elijahbradford.com</t>
        </is>
      </c>
      <c r="T223" s="27" t="inlineStr">
        <is>
          <t>https://elijahbradford.com/work-with-me</t>
        </is>
      </c>
      <c r="U223" s="27" t="inlineStr">
        <is>
          <t>LinkedIn</t>
        </is>
      </c>
      <c r="V223" s="27" t="inlineStr">
        <is>
          <t>e-commerce &amp; digital brands frameworks, specifically regarding episode 20 on E-Commerce &amp; Digital Brands workflow optimization</t>
        </is>
      </c>
      <c r="W223" s="27" t="inlineStr">
        <is>
          <t>Hi Elijah, loved your recent piece on 'e-commerce &amp; digital brands frameworks, specifically regarding episode 20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23" s="27" t="inlineStr">
        <is>
          <t>2026-10-18</t>
        </is>
      </c>
      <c r="Y223" s="27" t="inlineStr">
        <is>
          <t>B</t>
        </is>
      </c>
      <c r="Z223" s="27" t="n">
        <v>90.5</v>
      </c>
      <c r="AA223" s="27" t="inlineStr">
        <is>
          <t>Qualified</t>
        </is>
      </c>
      <c r="AB223" s="27" t="inlineStr"/>
      <c r="AC223" s="28">
        <f>IF(A223="","",IF(COUNTIF($H$5:$H$1004,H223)&gt;1,"DUPLICATE","UNIQUE"))</f>
        <v/>
      </c>
      <c r="AD223" s="28">
        <f>IF(A223="","",IF(AA223="Rejected",IF(AB223&lt;&gt;"","REJECTED","ADD REASON"),IF(AND(B223&lt;&gt;"",C223&lt;&gt;"",D223&lt;&gt;"",E223&lt;&gt;"",F223&lt;&gt;"",G223&lt;&gt;"",H223&lt;&gt;"",J223&lt;&gt;"",K223&lt;&gt;"",N223&lt;&gt;"",O223&lt;&gt;"",P223&lt;&gt;"",Q223&lt;&gt;"",R223&lt;&gt;"",S223&lt;&gt;"",T223&lt;&gt;"",V223&lt;&gt;"",W223&lt;&gt;"",X223&lt;&gt;"",Y223&lt;&gt;""),"COMPLETE","MISSING FIELDS")))</f>
        <v/>
      </c>
    </row>
    <row r="224" ht="15" customHeight="1" s="15">
      <c r="A224" s="27" t="inlineStr">
        <is>
          <t>LEAD-0220</t>
        </is>
      </c>
      <c r="B224" s="27" t="inlineStr">
        <is>
          <t>Elijah Kensington</t>
        </is>
      </c>
      <c r="C224" s="27" t="inlineStr">
        <is>
          <t>YouTuber</t>
        </is>
      </c>
      <c r="D224" s="27" t="inlineStr">
        <is>
          <t>US</t>
        </is>
      </c>
      <c r="E224" s="27" t="inlineStr">
        <is>
          <t>English</t>
        </is>
      </c>
      <c r="F224" s="27" t="inlineStr">
        <is>
          <t>YouTube</t>
        </is>
      </c>
      <c r="G224" s="27" t="inlineStr">
        <is>
          <t>https://www.youtube.com/@elijahkensington</t>
        </is>
      </c>
      <c r="H224" s="27" t="inlineStr">
        <is>
          <t>UCUS00220513103</t>
        </is>
      </c>
      <c r="I224" s="27" t="inlineStr">
        <is>
          <t>220,000</t>
        </is>
      </c>
      <c r="J224" s="27" t="inlineStr">
        <is>
          <t>2026-10-14</t>
        </is>
      </c>
      <c r="K224" s="27" t="inlineStr">
        <is>
          <t>https://www.youtube.com/watch?v=us00220</t>
        </is>
      </c>
      <c r="L224" s="27" t="n">
        <v>8</v>
      </c>
      <c r="M224" s="27" t="n">
        <v>20</v>
      </c>
      <c r="N224" s="27" t="inlineStr">
        <is>
          <t>Product</t>
        </is>
      </c>
      <c r="O224" s="27" t="inlineStr">
        <is>
          <t>https://elijahkensington.com/shop</t>
        </is>
      </c>
      <c r="P224" s="27" t="inlineStr">
        <is>
          <t>Shorts Repurposing Bottleneck</t>
        </is>
      </c>
      <c r="Q224" s="27" t="inlineStr">
        <is>
          <t>https://elijahkensington.com/highlights</t>
        </is>
      </c>
      <c r="R224" s="27" t="inlineStr">
        <is>
          <t>Email</t>
        </is>
      </c>
      <c r="S224" s="27" t="inlineStr">
        <is>
          <t>contact@elijahkensington.com</t>
        </is>
      </c>
      <c r="T224" s="27" t="inlineStr">
        <is>
          <t>https://elijahkensington.com/contact</t>
        </is>
      </c>
      <c r="U224" s="27" t="inlineStr">
        <is>
          <t>LinkedIn</t>
        </is>
      </c>
      <c r="V224" s="27" t="inlineStr">
        <is>
          <t>tech &amp; ai frameworks, specifically regarding episode 21 on Tech &amp; AI workflow optimization</t>
        </is>
      </c>
      <c r="W224" s="27" t="inlineStr">
        <is>
          <t>Hi Elijah, loved your recent piece on 'tech &amp; ai frameworks, specifically regarding episode 21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24" s="27" t="inlineStr">
        <is>
          <t>2026-10-18</t>
        </is>
      </c>
      <c r="Y224" s="27" t="inlineStr">
        <is>
          <t>B</t>
        </is>
      </c>
      <c r="Z224" s="27" t="n">
        <v>90.40000000000001</v>
      </c>
      <c r="AA224" s="27" t="inlineStr">
        <is>
          <t>Qualified</t>
        </is>
      </c>
      <c r="AB224" s="27" t="inlineStr"/>
      <c r="AC224" s="28">
        <f>IF(A224="","",IF(COUNTIF($H$5:$H$1004,H224)&gt;1,"DUPLICATE","UNIQUE"))</f>
        <v/>
      </c>
      <c r="AD224" s="28">
        <f>IF(A224="","",IF(AA224="Rejected",IF(AB224&lt;&gt;"","REJECTED","ADD REASON"),IF(AND(B224&lt;&gt;"",C224&lt;&gt;"",D224&lt;&gt;"",E224&lt;&gt;"",F224&lt;&gt;"",G224&lt;&gt;"",H224&lt;&gt;"",J224&lt;&gt;"",K224&lt;&gt;"",N224&lt;&gt;"",O224&lt;&gt;"",P224&lt;&gt;"",Q224&lt;&gt;"",R224&lt;&gt;"",S224&lt;&gt;"",T224&lt;&gt;"",V224&lt;&gt;"",W224&lt;&gt;"",X224&lt;&gt;"",Y224&lt;&gt;""),"COMPLETE","MISSING FIELDS")))</f>
        <v/>
      </c>
    </row>
    <row r="225" ht="15" customHeight="1" s="15">
      <c r="A225" s="27" t="inlineStr">
        <is>
          <t>LEAD-0221</t>
        </is>
      </c>
      <c r="B225" s="27" t="inlineStr">
        <is>
          <t>Elijah Lancaster</t>
        </is>
      </c>
      <c r="C225" s="27" t="inlineStr">
        <is>
          <t>Podcaster</t>
        </is>
      </c>
      <c r="D225" s="27" t="inlineStr">
        <is>
          <t>US</t>
        </is>
      </c>
      <c r="E225" s="27" t="inlineStr">
        <is>
          <t>English</t>
        </is>
      </c>
      <c r="F225" s="27" t="inlineStr">
        <is>
          <t>Apple Podcasts</t>
        </is>
      </c>
      <c r="G225" s="27" t="inlineStr">
        <is>
          <t>https://podcasts.apple.com/us/podcast/elijahlancaster/id1000221</t>
        </is>
      </c>
      <c r="H225" s="27" t="inlineStr">
        <is>
          <t>AP-US-1000221</t>
        </is>
      </c>
      <c r="I225" s="27" t="inlineStr">
        <is>
          <t>264,000</t>
        </is>
      </c>
      <c r="J225" s="27" t="inlineStr">
        <is>
          <t>2026-10-15</t>
        </is>
      </c>
      <c r="K225" s="27" t="inlineStr">
        <is>
          <t>https://elijahlancaster.com/episodes/22</t>
        </is>
      </c>
      <c r="L225" s="27" t="n">
        <v>9</v>
      </c>
      <c r="M225" s="27" t="n">
        <v>21</v>
      </c>
      <c r="N225" s="27" t="inlineStr">
        <is>
          <t>Consulting</t>
        </is>
      </c>
      <c r="O225" s="27" t="inlineStr">
        <is>
          <t>https://elijahlancaster.com/advisory</t>
        </is>
      </c>
      <c r="P225" s="27" t="inlineStr">
        <is>
          <t>Missing Video Captions &amp; Retention Clips</t>
        </is>
      </c>
      <c r="Q225" s="27" t="inlineStr">
        <is>
          <t>https://elijahlancaster.com/highlights</t>
        </is>
      </c>
      <c r="R225" s="27" t="inlineStr">
        <is>
          <t>LinkedIn</t>
        </is>
      </c>
      <c r="S225" s="27" t="inlineStr">
        <is>
          <t>https://linkedin.com/in/elijahlancaster</t>
        </is>
      </c>
      <c r="T225" s="27" t="inlineStr">
        <is>
          <t>https://elijahlancaster.com/about</t>
        </is>
      </c>
      <c r="U225" s="27" t="inlineStr">
        <is>
          <t>Email</t>
        </is>
      </c>
      <c r="V225" s="27" t="inlineStr">
        <is>
          <t>saas &amp; product growth frameworks, specifically regarding episode 22 on SaaS &amp; Product Growth workflow optimization</t>
        </is>
      </c>
      <c r="W225" s="27" t="inlineStr">
        <is>
          <t>Hi Elijah, loved your recent piece on 'saas &amp; product growth frameworks, specifically regarding episode 22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25" s="27" t="inlineStr">
        <is>
          <t>2026-10-18</t>
        </is>
      </c>
      <c r="Y225" s="27" t="inlineStr">
        <is>
          <t>B</t>
        </is>
      </c>
      <c r="Z225" s="27" t="n">
        <v>90.3</v>
      </c>
      <c r="AA225" s="27" t="inlineStr">
        <is>
          <t>Qualified</t>
        </is>
      </c>
      <c r="AB225" s="27" t="inlineStr"/>
      <c r="AC225" s="28">
        <f>IF(A225="","",IF(COUNTIF($H$5:$H$1004,H225)&gt;1,"DUPLICATE","UNIQUE"))</f>
        <v/>
      </c>
      <c r="AD225" s="28">
        <f>IF(A225="","",IF(AA225="Rejected",IF(AB225&lt;&gt;"","REJECTED","ADD REASON"),IF(AND(B225&lt;&gt;"",C225&lt;&gt;"",D225&lt;&gt;"",E225&lt;&gt;"",F225&lt;&gt;"",G225&lt;&gt;"",H225&lt;&gt;"",J225&lt;&gt;"",K225&lt;&gt;"",N225&lt;&gt;"",O225&lt;&gt;"",P225&lt;&gt;"",Q225&lt;&gt;"",R225&lt;&gt;"",S225&lt;&gt;"",T225&lt;&gt;"",V225&lt;&gt;"",W225&lt;&gt;"",X225&lt;&gt;"",Y225&lt;&gt;""),"COMPLETE","MISSING FIELDS")))</f>
        <v/>
      </c>
    </row>
    <row r="226" ht="15" customHeight="1" s="15">
      <c r="A226" s="27" t="inlineStr">
        <is>
          <t>LEAD-0222</t>
        </is>
      </c>
      <c r="B226" s="27" t="inlineStr">
        <is>
          <t>Elijah Montgomery</t>
        </is>
      </c>
      <c r="C226" s="27" t="inlineStr">
        <is>
          <t>Expert-Led Creator</t>
        </is>
      </c>
      <c r="D226" s="27" t="inlineStr">
        <is>
          <t>US</t>
        </is>
      </c>
      <c r="E226" s="27" t="inlineStr">
        <is>
          <t>English</t>
        </is>
      </c>
      <c r="F226" s="27" t="inlineStr">
        <is>
          <t>YouTube</t>
        </is>
      </c>
      <c r="G226" s="27" t="inlineStr">
        <is>
          <t>https://www.youtube.com/@elijahmontgomery</t>
        </is>
      </c>
      <c r="H226" s="27" t="inlineStr">
        <is>
          <t>UCUS00222033509</t>
        </is>
      </c>
      <c r="I226" s="27" t="inlineStr">
        <is>
          <t>260,000</t>
        </is>
      </c>
      <c r="J226" s="27" t="inlineStr">
        <is>
          <t>2026-10-16</t>
        </is>
      </c>
      <c r="K226" s="27" t="inlineStr">
        <is>
          <t>https://www.youtube.com/watch?v=us00222</t>
        </is>
      </c>
      <c r="L226" s="27" t="n">
        <v>10</v>
      </c>
      <c r="M226" s="27" t="n">
        <v>22</v>
      </c>
      <c r="N226" s="27" t="inlineStr">
        <is>
          <t>Newsletter Subscription</t>
        </is>
      </c>
      <c r="O226" s="27" t="inlineStr">
        <is>
          <t>https://elijahmontgomery.com/subscribe</t>
        </is>
      </c>
      <c r="P226" s="27" t="inlineStr">
        <is>
          <t>Editing Backlog &amp; Team Workflow Overhead</t>
        </is>
      </c>
      <c r="Q226" s="27" t="inlineStr">
        <is>
          <t>https://elijahmontgomery.com/highlights</t>
        </is>
      </c>
      <c r="R226" s="27" t="inlineStr">
        <is>
          <t>X (Twitter)</t>
        </is>
      </c>
      <c r="S226" s="27" t="inlineStr">
        <is>
          <t>https://x.com/elijahmontgomery</t>
        </is>
      </c>
      <c r="T226" s="27" t="inlineStr">
        <is>
          <t>https://elijahmontgomery.com/links</t>
        </is>
      </c>
      <c r="U226" s="27" t="inlineStr">
        <is>
          <t>LinkedIn</t>
        </is>
      </c>
      <c r="V226" s="27" t="inlineStr">
        <is>
          <t>creator business &amp; monetization frameworks, specifically regarding episode 23 on Creator Business &amp; Monetization workflow optimization</t>
        </is>
      </c>
      <c r="W226" s="27" t="inlineStr">
        <is>
          <t>Hi Elijah, loved your recent piece on 'creator business &amp; monetization frameworks, specifically regarding episode 23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26" s="27" t="inlineStr">
        <is>
          <t>2026-10-18</t>
        </is>
      </c>
      <c r="Y226" s="27" t="inlineStr">
        <is>
          <t>B</t>
        </is>
      </c>
      <c r="Z226" s="27" t="n">
        <v>90.2</v>
      </c>
      <c r="AA226" s="27" t="inlineStr">
        <is>
          <t>Qualified</t>
        </is>
      </c>
      <c r="AB226" s="27" t="inlineStr"/>
      <c r="AC226" s="28">
        <f>IF(A226="","",IF(COUNTIF($H$5:$H$1004,H226)&gt;1,"DUPLICATE","UNIQUE"))</f>
        <v/>
      </c>
      <c r="AD226" s="28">
        <f>IF(A226="","",IF(AA226="Rejected",IF(AB226&lt;&gt;"","REJECTED","ADD REASON"),IF(AND(B226&lt;&gt;"",C226&lt;&gt;"",D226&lt;&gt;"",E226&lt;&gt;"",F226&lt;&gt;"",G226&lt;&gt;"",H226&lt;&gt;"",J226&lt;&gt;"",K226&lt;&gt;"",N226&lt;&gt;"",O226&lt;&gt;"",P226&lt;&gt;"",Q226&lt;&gt;"",R226&lt;&gt;"",S226&lt;&gt;"",T226&lt;&gt;"",V226&lt;&gt;"",W226&lt;&gt;"",X226&lt;&gt;"",Y226&lt;&gt;""),"COMPLETE","MISSING FIELDS")))</f>
        <v/>
      </c>
    </row>
    <row r="227" ht="15" customHeight="1" s="15">
      <c r="A227" s="27" t="inlineStr">
        <is>
          <t>LEAD-0223</t>
        </is>
      </c>
      <c r="B227" s="27" t="inlineStr">
        <is>
          <t>Elijah Barrington</t>
        </is>
      </c>
      <c r="C227" s="27" t="inlineStr">
        <is>
          <t>YouTuber</t>
        </is>
      </c>
      <c r="D227" s="27" t="inlineStr">
        <is>
          <t>US</t>
        </is>
      </c>
      <c r="E227" s="27" t="inlineStr">
        <is>
          <t>English</t>
        </is>
      </c>
      <c r="F227" s="27" t="inlineStr">
        <is>
          <t>YouTube</t>
        </is>
      </c>
      <c r="G227" s="27" t="inlineStr">
        <is>
          <t>https://www.youtube.com/@elijahbarrington</t>
        </is>
      </c>
      <c r="H227" s="27" t="inlineStr">
        <is>
          <t>UCUS00223992276</t>
        </is>
      </c>
      <c r="I227" s="27" t="inlineStr">
        <is>
          <t>280,000</t>
        </is>
      </c>
      <c r="J227" s="27" t="inlineStr">
        <is>
          <t>2026-10-17</t>
        </is>
      </c>
      <c r="K227" s="27" t="inlineStr">
        <is>
          <t>https://www.youtube.com/watch?v=us00223</t>
        </is>
      </c>
      <c r="L227" s="27" t="n">
        <v>11</v>
      </c>
      <c r="M227" s="27" t="n">
        <v>23</v>
      </c>
      <c r="N227" s="27" t="inlineStr">
        <is>
          <t>Affiliate</t>
        </is>
      </c>
      <c r="O227" s="27" t="inlineStr">
        <is>
          <t>https://elijahbarrington.com/resources</t>
        </is>
      </c>
      <c r="P227" s="27" t="inlineStr">
        <is>
          <t>Shorts Repurposing Bottleneck</t>
        </is>
      </c>
      <c r="Q227" s="27" t="inlineStr">
        <is>
          <t>https://elijahbarrington.com/highlights</t>
        </is>
      </c>
      <c r="R227" s="27" t="inlineStr">
        <is>
          <t>Email</t>
        </is>
      </c>
      <c r="S227" s="27" t="inlineStr">
        <is>
          <t>hello@elijahbarrington.com</t>
        </is>
      </c>
      <c r="T227" s="27" t="inlineStr">
        <is>
          <t>https://elijahbarrington.com/work-with-me</t>
        </is>
      </c>
      <c r="U227" s="27" t="inlineStr">
        <is>
          <t>LinkedIn</t>
        </is>
      </c>
      <c r="V227" s="27" t="inlineStr">
        <is>
          <t>productivity &amp; personal systems frameworks, specifically regarding episode 24 on Productivity &amp; Personal Systems workflow optimization</t>
        </is>
      </c>
      <c r="W227" s="27" t="inlineStr">
        <is>
          <t>Hi Elijah, loved your recent piece on 'productivity &amp; personal systems frameworks, specifically regarding episode 24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27" s="27" t="inlineStr">
        <is>
          <t>2026-10-18</t>
        </is>
      </c>
      <c r="Y227" s="27" t="inlineStr">
        <is>
          <t>B</t>
        </is>
      </c>
      <c r="Z227" s="27" t="n">
        <v>90.2</v>
      </c>
      <c r="AA227" s="27" t="inlineStr">
        <is>
          <t>Qualified</t>
        </is>
      </c>
      <c r="AB227" s="27" t="inlineStr"/>
      <c r="AC227" s="28">
        <f>IF(A227="","",IF(COUNTIF($H$5:$H$1004,H227)&gt;1,"DUPLICATE","UNIQUE"))</f>
        <v/>
      </c>
      <c r="AD227" s="28">
        <f>IF(A227="","",IF(AA227="Rejected",IF(AB227&lt;&gt;"","REJECTED","ADD REASON"),IF(AND(B227&lt;&gt;"",C227&lt;&gt;"",D227&lt;&gt;"",E227&lt;&gt;"",F227&lt;&gt;"",G227&lt;&gt;"",H227&lt;&gt;"",J227&lt;&gt;"",K227&lt;&gt;"",N227&lt;&gt;"",O227&lt;&gt;"",P227&lt;&gt;"",Q227&lt;&gt;"",R227&lt;&gt;"",S227&lt;&gt;"",T227&lt;&gt;"",V227&lt;&gt;"",W227&lt;&gt;"",X227&lt;&gt;"",Y227&lt;&gt;""),"COMPLETE","MISSING FIELDS")))</f>
        <v/>
      </c>
    </row>
    <row r="228" ht="15" customHeight="1" s="15">
      <c r="A228" s="27" t="inlineStr">
        <is>
          <t>LEAD-0224</t>
        </is>
      </c>
      <c r="B228" s="27" t="inlineStr">
        <is>
          <t>Elijah Thornton</t>
        </is>
      </c>
      <c r="C228" s="27" t="inlineStr">
        <is>
          <t>Podcaster</t>
        </is>
      </c>
      <c r="D228" s="27" t="inlineStr">
        <is>
          <t>US</t>
        </is>
      </c>
      <c r="E228" s="27" t="inlineStr">
        <is>
          <t>English</t>
        </is>
      </c>
      <c r="F228" s="27" t="inlineStr">
        <is>
          <t>Apple Podcasts</t>
        </is>
      </c>
      <c r="G228" s="27" t="inlineStr">
        <is>
          <t>https://podcasts.apple.com/us/podcast/elijahthornton/id1000224</t>
        </is>
      </c>
      <c r="H228" s="27" t="inlineStr">
        <is>
          <t>AP-US-1000224</t>
        </is>
      </c>
      <c r="I228" s="27" t="inlineStr">
        <is>
          <t>300,000</t>
        </is>
      </c>
      <c r="J228" s="27" t="inlineStr">
        <is>
          <t>2026-10-10</t>
        </is>
      </c>
      <c r="K228" s="27" t="inlineStr">
        <is>
          <t>https://elijahthornton.com/episodes/25</t>
        </is>
      </c>
      <c r="L228" s="27" t="n">
        <v>12</v>
      </c>
      <c r="M228" s="27" t="n">
        <v>24</v>
      </c>
      <c r="N228" s="27" t="inlineStr">
        <is>
          <t>Course</t>
        </is>
      </c>
      <c r="O228" s="27" t="inlineStr">
        <is>
          <t>https://elijahthornton.com/academy</t>
        </is>
      </c>
      <c r="P228" s="27" t="inlineStr">
        <is>
          <t>Inconsistent Cross-Platform Publishing</t>
        </is>
      </c>
      <c r="Q228" s="27" t="inlineStr">
        <is>
          <t>https://elijahthornton.com/highlights</t>
        </is>
      </c>
      <c r="R228" s="27" t="inlineStr">
        <is>
          <t>Email</t>
        </is>
      </c>
      <c r="S228" s="27" t="inlineStr">
        <is>
          <t>contact@elijahthornton.com</t>
        </is>
      </c>
      <c r="T228" s="27" t="inlineStr">
        <is>
          <t>https://elijahthornton.com/contact</t>
        </is>
      </c>
      <c r="U228" s="27" t="inlineStr">
        <is>
          <t>LinkedIn</t>
        </is>
      </c>
      <c r="V228" s="27" t="inlineStr">
        <is>
          <t>leadership &amp; team ops frameworks, specifically regarding episode 25 on Leadership &amp; Team Ops workflow optimization</t>
        </is>
      </c>
      <c r="W228" s="27" t="inlineStr">
        <is>
          <t>Hi Elijah, loved your recent piece on 'leadership &amp; team ops frameworks, specifically regarding episode 25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28" s="27" t="inlineStr">
        <is>
          <t>2026-10-18</t>
        </is>
      </c>
      <c r="Y228" s="27" t="inlineStr">
        <is>
          <t>B</t>
        </is>
      </c>
      <c r="Z228" s="27" t="n">
        <v>90.09999999999999</v>
      </c>
      <c r="AA228" s="27" t="inlineStr">
        <is>
          <t>Qualified</t>
        </is>
      </c>
      <c r="AB228" s="27" t="inlineStr"/>
      <c r="AC228" s="28">
        <f>IF(A228="","",IF(COUNTIF($H$5:$H$1004,H228)&gt;1,"DUPLICATE","UNIQUE"))</f>
        <v/>
      </c>
      <c r="AD228" s="28">
        <f>IF(A228="","",IF(AA228="Rejected",IF(AB228&lt;&gt;"","REJECTED","ADD REASON"),IF(AND(B228&lt;&gt;"",C228&lt;&gt;"",D228&lt;&gt;"",E228&lt;&gt;"",F228&lt;&gt;"",G228&lt;&gt;"",H228&lt;&gt;"",J228&lt;&gt;"",K228&lt;&gt;"",N228&lt;&gt;"",O228&lt;&gt;"",P228&lt;&gt;"",Q228&lt;&gt;"",R228&lt;&gt;"",S228&lt;&gt;"",T228&lt;&gt;"",V228&lt;&gt;"",W228&lt;&gt;"",X228&lt;&gt;"",Y228&lt;&gt;""),"COMPLETE","MISSING FIELDS")))</f>
        <v/>
      </c>
    </row>
    <row r="229" ht="15" customHeight="1" s="15">
      <c r="A229" s="27" t="inlineStr">
        <is>
          <t>LEAD-0225</t>
        </is>
      </c>
      <c r="B229" s="27" t="inlineStr">
        <is>
          <t>Elijah Wellington</t>
        </is>
      </c>
      <c r="C229" s="27" t="inlineStr">
        <is>
          <t>Expert-Led Creator</t>
        </is>
      </c>
      <c r="D229" s="27" t="inlineStr">
        <is>
          <t>US</t>
        </is>
      </c>
      <c r="E229" s="27" t="inlineStr">
        <is>
          <t>English</t>
        </is>
      </c>
      <c r="F229" s="27" t="inlineStr">
        <is>
          <t>LinkedIn</t>
        </is>
      </c>
      <c r="G229" s="27" t="inlineStr">
        <is>
          <t>https://www.linkedin.com/in/elijahwellington</t>
        </is>
      </c>
      <c r="H229" s="27" t="inlineStr">
        <is>
          <t>LI-elijahwellington-0225</t>
        </is>
      </c>
      <c r="I229" s="27" t="inlineStr">
        <is>
          <t>96,000</t>
        </is>
      </c>
      <c r="J229" s="27" t="inlineStr">
        <is>
          <t>2026-10-11</t>
        </is>
      </c>
      <c r="K229" s="27" t="inlineStr">
        <is>
          <t>https://elijahwellington.com/posts/76</t>
        </is>
      </c>
      <c r="L229" s="27" t="n">
        <v>13</v>
      </c>
      <c r="M229" s="27" t="n">
        <v>25</v>
      </c>
      <c r="N229" s="27" t="inlineStr">
        <is>
          <t>Sponsor</t>
        </is>
      </c>
      <c r="O229" s="27" t="inlineStr">
        <is>
          <t>https://elijahwellington.com/partners</t>
        </is>
      </c>
      <c r="P229" s="27" t="inlineStr">
        <is>
          <t>Editing Backlog &amp; Team Workflow Overhead</t>
        </is>
      </c>
      <c r="Q229" s="27" t="inlineStr">
        <is>
          <t>https://elijahwellington.com/highlights</t>
        </is>
      </c>
      <c r="R229" s="27" t="inlineStr">
        <is>
          <t>LinkedIn</t>
        </is>
      </c>
      <c r="S229" s="27" t="inlineStr">
        <is>
          <t>https://linkedin.com/in/elijahwellington</t>
        </is>
      </c>
      <c r="T229" s="27" t="inlineStr">
        <is>
          <t>https://elijahwellington.com/about</t>
        </is>
      </c>
      <c r="U229" s="27" t="inlineStr">
        <is>
          <t>Email</t>
        </is>
      </c>
      <c r="V229" s="27" t="inlineStr">
        <is>
          <t>b2b marketing &amp; sales frameworks, specifically regarding episode 26 on B2B Marketing &amp; Sales workflow optimization</t>
        </is>
      </c>
      <c r="W229" s="27" t="inlineStr">
        <is>
          <t>Hi Elijah, loved your recent piece on 'b2b marketing &amp; sales frameworks, specifically regarding episode 26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29" s="27" t="inlineStr">
        <is>
          <t>2026-10-18</t>
        </is>
      </c>
      <c r="Y229" s="27" t="inlineStr">
        <is>
          <t>B</t>
        </is>
      </c>
      <c r="Z229" s="27" t="n">
        <v>90</v>
      </c>
      <c r="AA229" s="27" t="inlineStr">
        <is>
          <t>Qualified</t>
        </is>
      </c>
      <c r="AB229" s="27" t="inlineStr"/>
      <c r="AC229" s="28">
        <f>IF(A229="","",IF(COUNTIF($H$5:$H$1004,H229)&gt;1,"DUPLICATE","UNIQUE"))</f>
        <v/>
      </c>
      <c r="AD229" s="28">
        <f>IF(A229="","",IF(AA229="Rejected",IF(AB229&lt;&gt;"","REJECTED","ADD REASON"),IF(AND(B229&lt;&gt;"",C229&lt;&gt;"",D229&lt;&gt;"",E229&lt;&gt;"",F229&lt;&gt;"",G229&lt;&gt;"",H229&lt;&gt;"",J229&lt;&gt;"",K229&lt;&gt;"",N229&lt;&gt;"",O229&lt;&gt;"",P229&lt;&gt;"",Q229&lt;&gt;"",R229&lt;&gt;"",S229&lt;&gt;"",T229&lt;&gt;"",V229&lt;&gt;"",W229&lt;&gt;"",X229&lt;&gt;"",Y229&lt;&gt;""),"COMPLETE","MISSING FIELDS")))</f>
        <v/>
      </c>
    </row>
    <row r="230" ht="15" customHeight="1" s="15">
      <c r="A230" s="27" t="inlineStr">
        <is>
          <t>LEAD-0226</t>
        </is>
      </c>
      <c r="B230" s="27" t="inlineStr">
        <is>
          <t>Finn Ashford</t>
        </is>
      </c>
      <c r="C230" s="27" t="inlineStr">
        <is>
          <t>YouTuber</t>
        </is>
      </c>
      <c r="D230" s="27" t="inlineStr">
        <is>
          <t>US</t>
        </is>
      </c>
      <c r="E230" s="27" t="inlineStr">
        <is>
          <t>English</t>
        </is>
      </c>
      <c r="F230" s="27" t="inlineStr">
        <is>
          <t>YouTube</t>
        </is>
      </c>
      <c r="G230" s="27" t="inlineStr">
        <is>
          <t>https://www.youtube.com/@finnashford</t>
        </is>
      </c>
      <c r="H230" s="27" t="inlineStr">
        <is>
          <t>UCUS00226904058</t>
        </is>
      </c>
      <c r="I230" s="27" t="inlineStr">
        <is>
          <t>340,000</t>
        </is>
      </c>
      <c r="J230" s="27" t="inlineStr">
        <is>
          <t>2026-10-12</t>
        </is>
      </c>
      <c r="K230" s="27" t="inlineStr">
        <is>
          <t>https://www.youtube.com/watch?v=us00226</t>
        </is>
      </c>
      <c r="L230" s="27" t="n">
        <v>14</v>
      </c>
      <c r="M230" s="27" t="n">
        <v>26</v>
      </c>
      <c r="N230" s="27" t="inlineStr">
        <is>
          <t>Membership</t>
        </is>
      </c>
      <c r="O230" s="27" t="inlineStr">
        <is>
          <t>https://finnashford.com/community</t>
        </is>
      </c>
      <c r="P230" s="27" t="inlineStr">
        <is>
          <t>Multilingual Audio Dubbing</t>
        </is>
      </c>
      <c r="Q230" s="27" t="inlineStr">
        <is>
          <t>https://finnashford.com/highlights</t>
        </is>
      </c>
      <c r="R230" s="27" t="inlineStr">
        <is>
          <t>X (Twitter)</t>
        </is>
      </c>
      <c r="S230" s="27" t="inlineStr">
        <is>
          <t>https://x.com/finnashford</t>
        </is>
      </c>
      <c r="T230" s="27" t="inlineStr">
        <is>
          <t>https://finnashford.com/links</t>
        </is>
      </c>
      <c r="U230" s="27" t="inlineStr">
        <is>
          <t>LinkedIn</t>
        </is>
      </c>
      <c r="V230" s="27" t="inlineStr">
        <is>
          <t>finance &amp; wealth engineering frameworks, specifically regarding episode 27 on Finance &amp; Wealth Engineering workflow optimization</t>
        </is>
      </c>
      <c r="W230" s="27" t="inlineStr">
        <is>
          <t>Hi Finn,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30" s="27" t="inlineStr">
        <is>
          <t>2026-10-18</t>
        </is>
      </c>
      <c r="Y230" s="27" t="inlineStr">
        <is>
          <t>B</t>
        </is>
      </c>
      <c r="Z230" s="27" t="n">
        <v>89.90000000000001</v>
      </c>
      <c r="AA230" s="27" t="inlineStr">
        <is>
          <t>Qualified</t>
        </is>
      </c>
      <c r="AB230" s="27" t="inlineStr"/>
      <c r="AC230" s="28">
        <f>IF(A230="","",IF(COUNTIF($H$5:$H$1004,H230)&gt;1,"DUPLICATE","UNIQUE"))</f>
        <v/>
      </c>
      <c r="AD230" s="28">
        <f>IF(A230="","",IF(AA230="Rejected",IF(AB230&lt;&gt;"","REJECTED","ADD REASON"),IF(AND(B230&lt;&gt;"",C230&lt;&gt;"",D230&lt;&gt;"",E230&lt;&gt;"",F230&lt;&gt;"",G230&lt;&gt;"",H230&lt;&gt;"",J230&lt;&gt;"",K230&lt;&gt;"",N230&lt;&gt;"",O230&lt;&gt;"",P230&lt;&gt;"",Q230&lt;&gt;"",R230&lt;&gt;"",S230&lt;&gt;"",T230&lt;&gt;"",V230&lt;&gt;"",W230&lt;&gt;"",X230&lt;&gt;"",Y230&lt;&gt;""),"COMPLETE","MISSING FIELDS")))</f>
        <v/>
      </c>
    </row>
    <row r="231" ht="15" customHeight="1" s="15">
      <c r="A231" s="27" t="inlineStr">
        <is>
          <t>LEAD-0227</t>
        </is>
      </c>
      <c r="B231" s="27" t="inlineStr">
        <is>
          <t>Finn Bancroft</t>
        </is>
      </c>
      <c r="C231" s="27" t="inlineStr">
        <is>
          <t>Podcaster</t>
        </is>
      </c>
      <c r="D231" s="27" t="inlineStr">
        <is>
          <t>US</t>
        </is>
      </c>
      <c r="E231" s="27" t="inlineStr">
        <is>
          <t>English</t>
        </is>
      </c>
      <c r="F231" s="27" t="inlineStr">
        <is>
          <t>Apple Podcasts</t>
        </is>
      </c>
      <c r="G231" s="27" t="inlineStr">
        <is>
          <t>https://podcasts.apple.com/us/podcast/finnbancroft/id1000227</t>
        </is>
      </c>
      <c r="H231" s="27" t="inlineStr">
        <is>
          <t>AP-US-1000227</t>
        </is>
      </c>
      <c r="I231" s="27" t="inlineStr">
        <is>
          <t>36,000</t>
        </is>
      </c>
      <c r="J231" s="27" t="inlineStr">
        <is>
          <t>2026-10-13</t>
        </is>
      </c>
      <c r="K231" s="27" t="inlineStr">
        <is>
          <t>https://finnbancroft.com/episodes/28</t>
        </is>
      </c>
      <c r="L231" s="27" t="n">
        <v>15</v>
      </c>
      <c r="M231" s="27" t="n">
        <v>27</v>
      </c>
      <c r="N231" s="27" t="inlineStr">
        <is>
          <t>Product</t>
        </is>
      </c>
      <c r="O231" s="27" t="inlineStr">
        <is>
          <t>https://finnbancroft.com/shop</t>
        </is>
      </c>
      <c r="P231" s="27" t="inlineStr">
        <is>
          <t>Multilingual Audio Dubbing</t>
        </is>
      </c>
      <c r="Q231" s="27" t="inlineStr">
        <is>
          <t>https://finnbancroft.com/highlights</t>
        </is>
      </c>
      <c r="R231" s="27" t="inlineStr">
        <is>
          <t>Email</t>
        </is>
      </c>
      <c r="S231" s="27" t="inlineStr">
        <is>
          <t>hello@finnbancroft.com</t>
        </is>
      </c>
      <c r="T231" s="27" t="inlineStr">
        <is>
          <t>https://finnbancroft.com/work-with-me</t>
        </is>
      </c>
      <c r="U231" s="27" t="inlineStr">
        <is>
          <t>LinkedIn</t>
        </is>
      </c>
      <c r="V231" s="27" t="inlineStr">
        <is>
          <t>health &amp; longevity science frameworks, specifically regarding episode 28 on Health &amp; Longevity Science workflow optimization</t>
        </is>
      </c>
      <c r="W231" s="27" t="inlineStr">
        <is>
          <t>Hi Finn,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31" s="27" t="inlineStr">
        <is>
          <t>2026-10-18</t>
        </is>
      </c>
      <c r="Y231" s="27" t="inlineStr">
        <is>
          <t>B</t>
        </is>
      </c>
      <c r="Z231" s="27" t="n">
        <v>89.8</v>
      </c>
      <c r="AA231" s="27" t="inlineStr">
        <is>
          <t>Qualified</t>
        </is>
      </c>
      <c r="AB231" s="27" t="inlineStr"/>
      <c r="AC231" s="28">
        <f>IF(A231="","",IF(COUNTIF($H$5:$H$1004,H231)&gt;1,"DUPLICATE","UNIQUE"))</f>
        <v/>
      </c>
      <c r="AD231" s="28">
        <f>IF(A231="","",IF(AA231="Rejected",IF(AB231&lt;&gt;"","REJECTED","ADD REASON"),IF(AND(B231&lt;&gt;"",C231&lt;&gt;"",D231&lt;&gt;"",E231&lt;&gt;"",F231&lt;&gt;"",G231&lt;&gt;"",H231&lt;&gt;"",J231&lt;&gt;"",K231&lt;&gt;"",N231&lt;&gt;"",O231&lt;&gt;"",P231&lt;&gt;"",Q231&lt;&gt;"",R231&lt;&gt;"",S231&lt;&gt;"",T231&lt;&gt;"",V231&lt;&gt;"",W231&lt;&gt;"",X231&lt;&gt;"",Y231&lt;&gt;""),"COMPLETE","MISSING FIELDS")))</f>
        <v/>
      </c>
    </row>
    <row r="232" ht="15" customHeight="1" s="15">
      <c r="A232" s="27" t="inlineStr">
        <is>
          <t>LEAD-0228</t>
        </is>
      </c>
      <c r="B232" s="27" t="inlineStr">
        <is>
          <t>Finn Calloway</t>
        </is>
      </c>
      <c r="C232" s="27" t="inlineStr">
        <is>
          <t>YouTuber</t>
        </is>
      </c>
      <c r="D232" s="27" t="inlineStr">
        <is>
          <t>US</t>
        </is>
      </c>
      <c r="E232" s="27" t="inlineStr">
        <is>
          <t>English</t>
        </is>
      </c>
      <c r="F232" s="27" t="inlineStr">
        <is>
          <t>YouTube</t>
        </is>
      </c>
      <c r="G232" s="27" t="inlineStr">
        <is>
          <t>https://www.youtube.com/@finncalloway</t>
        </is>
      </c>
      <c r="H232" s="27" t="inlineStr">
        <is>
          <t>UCUS00228820449</t>
        </is>
      </c>
      <c r="I232" s="27" t="inlineStr">
        <is>
          <t>380,000</t>
        </is>
      </c>
      <c r="J232" s="27" t="inlineStr">
        <is>
          <t>2026-10-14</t>
        </is>
      </c>
      <c r="K232" s="27" t="inlineStr">
        <is>
          <t>https://www.youtube.com/watch?v=us00228</t>
        </is>
      </c>
      <c r="L232" s="27" t="n">
        <v>16</v>
      </c>
      <c r="M232" s="27" t="n">
        <v>28</v>
      </c>
      <c r="N232" s="27" t="inlineStr">
        <is>
          <t>Consulting</t>
        </is>
      </c>
      <c r="O232" s="27" t="inlineStr">
        <is>
          <t>https://finncalloway.com/advisory</t>
        </is>
      </c>
      <c r="P232" s="27" t="inlineStr">
        <is>
          <t>Missing Video Captions &amp; Retention Clips</t>
        </is>
      </c>
      <c r="Q232" s="27" t="inlineStr">
        <is>
          <t>https://finncalloway.com/highlights</t>
        </is>
      </c>
      <c r="R232" s="27" t="inlineStr">
        <is>
          <t>Email</t>
        </is>
      </c>
      <c r="S232" s="27" t="inlineStr">
        <is>
          <t>contact@finncalloway.com</t>
        </is>
      </c>
      <c r="T232" s="27" t="inlineStr">
        <is>
          <t>https://finncalloway.com/contact</t>
        </is>
      </c>
      <c r="U232" s="27" t="inlineStr">
        <is>
          <t>LinkedIn</t>
        </is>
      </c>
      <c r="V232" s="27" t="inlineStr">
        <is>
          <t>education &amp; applied coding frameworks, specifically regarding episode 29 on Education &amp; Applied Coding workflow optimization</t>
        </is>
      </c>
      <c r="W232" s="27" t="inlineStr">
        <is>
          <t>Hi Finn,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32" s="27" t="inlineStr">
        <is>
          <t>2026-10-18</t>
        </is>
      </c>
      <c r="Y232" s="27" t="inlineStr">
        <is>
          <t>B</t>
        </is>
      </c>
      <c r="Z232" s="27" t="n">
        <v>89.8</v>
      </c>
      <c r="AA232" s="27" t="inlineStr">
        <is>
          <t>Qualified</t>
        </is>
      </c>
      <c r="AB232" s="27" t="inlineStr"/>
      <c r="AC232" s="28">
        <f>IF(A232="","",IF(COUNTIF($H$5:$H$1004,H232)&gt;1,"DUPLICATE","UNIQUE"))</f>
        <v/>
      </c>
      <c r="AD232" s="28">
        <f>IF(A232="","",IF(AA232="Rejected",IF(AB232&lt;&gt;"","REJECTED","ADD REASON"),IF(AND(B232&lt;&gt;"",C232&lt;&gt;"",D232&lt;&gt;"",E232&lt;&gt;"",F232&lt;&gt;"",G232&lt;&gt;"",H232&lt;&gt;"",J232&lt;&gt;"",K232&lt;&gt;"",N232&lt;&gt;"",O232&lt;&gt;"",P232&lt;&gt;"",Q232&lt;&gt;"",R232&lt;&gt;"",S232&lt;&gt;"",T232&lt;&gt;"",V232&lt;&gt;"",W232&lt;&gt;"",X232&lt;&gt;"",Y232&lt;&gt;""),"COMPLETE","MISSING FIELDS")))</f>
        <v/>
      </c>
    </row>
    <row r="233" ht="15" customHeight="1" s="15">
      <c r="A233" s="27" t="inlineStr">
        <is>
          <t>LEAD-0229</t>
        </is>
      </c>
      <c r="B233" s="27" t="inlineStr">
        <is>
          <t>Finn Delaney</t>
        </is>
      </c>
      <c r="C233" s="27" t="inlineStr">
        <is>
          <t>Podcaster</t>
        </is>
      </c>
      <c r="D233" s="27" t="inlineStr">
        <is>
          <t>US</t>
        </is>
      </c>
      <c r="E233" s="27" t="inlineStr">
        <is>
          <t>English</t>
        </is>
      </c>
      <c r="F233" s="27" t="inlineStr">
        <is>
          <t>Apple Podcasts</t>
        </is>
      </c>
      <c r="G233" s="27" t="inlineStr">
        <is>
          <t>https://podcasts.apple.com/us/podcast/finndelaney/id1000229</t>
        </is>
      </c>
      <c r="H233" s="27" t="inlineStr">
        <is>
          <t>AP-US-1000229</t>
        </is>
      </c>
      <c r="I233" s="27" t="inlineStr">
        <is>
          <t>60,000</t>
        </is>
      </c>
      <c r="J233" s="27" t="inlineStr">
        <is>
          <t>2026-10-15</t>
        </is>
      </c>
      <c r="K233" s="27" t="inlineStr">
        <is>
          <t>https://finndelaney.com/episodes/30</t>
        </is>
      </c>
      <c r="L233" s="27" t="n">
        <v>17</v>
      </c>
      <c r="M233" s="27" t="n">
        <v>29</v>
      </c>
      <c r="N233" s="27" t="inlineStr">
        <is>
          <t>Newsletter Subscription</t>
        </is>
      </c>
      <c r="O233" s="27" t="inlineStr">
        <is>
          <t>https://finndelaney.com/subscribe</t>
        </is>
      </c>
      <c r="P233" s="27" t="inlineStr">
        <is>
          <t>Shorts Repurposing Bottleneck</t>
        </is>
      </c>
      <c r="Q233" s="27" t="inlineStr">
        <is>
          <t>https://finndelaney.com/highlights</t>
        </is>
      </c>
      <c r="R233" s="27" t="inlineStr">
        <is>
          <t>LinkedIn</t>
        </is>
      </c>
      <c r="S233" s="27" t="inlineStr">
        <is>
          <t>https://linkedin.com/in/finndelaney</t>
        </is>
      </c>
      <c r="T233" s="27" t="inlineStr">
        <is>
          <t>https://finndelaney.com/about</t>
        </is>
      </c>
      <c r="U233" s="27" t="inlineStr">
        <is>
          <t>Email</t>
        </is>
      </c>
      <c r="V233" s="27" t="inlineStr">
        <is>
          <t>e-commerce &amp; digital brands frameworks, specifically regarding episode 30 on E-Commerce &amp; Digital Brands workflow optimization</t>
        </is>
      </c>
      <c r="W233" s="27" t="inlineStr">
        <is>
          <t>Hi Finn,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33" s="27" t="inlineStr">
        <is>
          <t>2026-10-18</t>
        </is>
      </c>
      <c r="Y233" s="27" t="inlineStr">
        <is>
          <t>B</t>
        </is>
      </c>
      <c r="Z233" s="27" t="n">
        <v>89.7</v>
      </c>
      <c r="AA233" s="27" t="inlineStr">
        <is>
          <t>Qualified</t>
        </is>
      </c>
      <c r="AB233" s="27" t="inlineStr"/>
      <c r="AC233" s="28">
        <f>IF(A233="","",IF(COUNTIF($H$5:$H$1004,H233)&gt;1,"DUPLICATE","UNIQUE"))</f>
        <v/>
      </c>
      <c r="AD233" s="28">
        <f>IF(A233="","",IF(AA233="Rejected",IF(AB233&lt;&gt;"","REJECTED","ADD REASON"),IF(AND(B233&lt;&gt;"",C233&lt;&gt;"",D233&lt;&gt;"",E233&lt;&gt;"",F233&lt;&gt;"",G233&lt;&gt;"",H233&lt;&gt;"",J233&lt;&gt;"",K233&lt;&gt;"",N233&lt;&gt;"",O233&lt;&gt;"",P233&lt;&gt;"",Q233&lt;&gt;"",R233&lt;&gt;"",S233&lt;&gt;"",T233&lt;&gt;"",V233&lt;&gt;"",W233&lt;&gt;"",X233&lt;&gt;"",Y233&lt;&gt;""),"COMPLETE","MISSING FIELDS")))</f>
        <v/>
      </c>
    </row>
    <row r="234" ht="15" customHeight="1" s="15">
      <c r="A234" s="27" t="inlineStr">
        <is>
          <t>LEAD-0230</t>
        </is>
      </c>
      <c r="B234" s="27" t="inlineStr">
        <is>
          <t>Finn Eastwood</t>
        </is>
      </c>
      <c r="C234" s="27" t="inlineStr">
        <is>
          <t>YouTuber</t>
        </is>
      </c>
      <c r="D234" s="27" t="inlineStr">
        <is>
          <t>US</t>
        </is>
      </c>
      <c r="E234" s="27" t="inlineStr">
        <is>
          <t>English</t>
        </is>
      </c>
      <c r="F234" s="27" t="inlineStr">
        <is>
          <t>YouTube</t>
        </is>
      </c>
      <c r="G234" s="27" t="inlineStr">
        <is>
          <t>https://www.youtube.com/@finneastwood</t>
        </is>
      </c>
      <c r="H234" s="27" t="inlineStr">
        <is>
          <t>UCUS00230697661</t>
        </is>
      </c>
      <c r="I234" s="27" t="inlineStr">
        <is>
          <t>420,000</t>
        </is>
      </c>
      <c r="J234" s="27" t="inlineStr">
        <is>
          <t>2026-10-16</t>
        </is>
      </c>
      <c r="K234" s="27" t="inlineStr">
        <is>
          <t>https://www.youtube.com/watch?v=us00230</t>
        </is>
      </c>
      <c r="L234" s="27" t="n">
        <v>8</v>
      </c>
      <c r="M234" s="27" t="n">
        <v>30</v>
      </c>
      <c r="N234" s="27" t="inlineStr">
        <is>
          <t>Affiliate</t>
        </is>
      </c>
      <c r="O234" s="27" t="inlineStr">
        <is>
          <t>https://finneastwood.com/resources</t>
        </is>
      </c>
      <c r="P234" s="27" t="inlineStr">
        <is>
          <t>Shorts Repurposing Bottleneck</t>
        </is>
      </c>
      <c r="Q234" s="27" t="inlineStr">
        <is>
          <t>https://finneastwood.com/highlights</t>
        </is>
      </c>
      <c r="R234" s="27" t="inlineStr">
        <is>
          <t>X (Twitter)</t>
        </is>
      </c>
      <c r="S234" s="27" t="inlineStr">
        <is>
          <t>https://x.com/finneastwood</t>
        </is>
      </c>
      <c r="T234" s="27" t="inlineStr">
        <is>
          <t>https://finneastwood.com/links</t>
        </is>
      </c>
      <c r="U234" s="27" t="inlineStr">
        <is>
          <t>LinkedIn</t>
        </is>
      </c>
      <c r="V234" s="27" t="inlineStr">
        <is>
          <t>tech &amp; ai frameworks, specifically regarding episode 31 on Tech &amp; AI workflow optimization</t>
        </is>
      </c>
      <c r="W234" s="27" t="inlineStr">
        <is>
          <t>Hi Finn,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34" s="27" t="inlineStr">
        <is>
          <t>2026-10-18</t>
        </is>
      </c>
      <c r="Y234" s="27" t="inlineStr">
        <is>
          <t>B</t>
        </is>
      </c>
      <c r="Z234" s="27" t="n">
        <v>89.59999999999999</v>
      </c>
      <c r="AA234" s="27" t="inlineStr">
        <is>
          <t>Qualified</t>
        </is>
      </c>
      <c r="AB234" s="27" t="inlineStr"/>
      <c r="AC234" s="28">
        <f>IF(A234="","",IF(COUNTIF($H$5:$H$1004,H234)&gt;1,"DUPLICATE","UNIQUE"))</f>
        <v/>
      </c>
      <c r="AD234" s="28">
        <f>IF(A234="","",IF(AA234="Rejected",IF(AB234&lt;&gt;"","REJECTED","ADD REASON"),IF(AND(B234&lt;&gt;"",C234&lt;&gt;"",D234&lt;&gt;"",E234&lt;&gt;"",F234&lt;&gt;"",G234&lt;&gt;"",H234&lt;&gt;"",J234&lt;&gt;"",K234&lt;&gt;"",N234&lt;&gt;"",O234&lt;&gt;"",P234&lt;&gt;"",Q234&lt;&gt;"",R234&lt;&gt;"",S234&lt;&gt;"",T234&lt;&gt;"",V234&lt;&gt;"",W234&lt;&gt;"",X234&lt;&gt;"",Y234&lt;&gt;""),"COMPLETE","MISSING FIELDS")))</f>
        <v/>
      </c>
    </row>
    <row r="235" ht="15" customHeight="1" s="15">
      <c r="A235" s="27" t="inlineStr">
        <is>
          <t>LEAD-0231</t>
        </is>
      </c>
      <c r="B235" s="27" t="inlineStr">
        <is>
          <t>Finn Fairchild</t>
        </is>
      </c>
      <c r="C235" s="27" t="inlineStr">
        <is>
          <t>Podcaster</t>
        </is>
      </c>
      <c r="D235" s="27" t="inlineStr">
        <is>
          <t>US</t>
        </is>
      </c>
      <c r="E235" s="27" t="inlineStr">
        <is>
          <t>English</t>
        </is>
      </c>
      <c r="F235" s="27" t="inlineStr">
        <is>
          <t>Apple Podcasts</t>
        </is>
      </c>
      <c r="G235" s="27" t="inlineStr">
        <is>
          <t>https://podcasts.apple.com/us/podcast/finnfairchild/id1000231</t>
        </is>
      </c>
      <c r="H235" s="27" t="inlineStr">
        <is>
          <t>AP-US-1000231</t>
        </is>
      </c>
      <c r="I235" s="27" t="inlineStr">
        <is>
          <t>84,000</t>
        </is>
      </c>
      <c r="J235" s="27" t="inlineStr">
        <is>
          <t>2026-10-17</t>
        </is>
      </c>
      <c r="K235" s="27" t="inlineStr">
        <is>
          <t>https://finnfairchild.com/episodes/32</t>
        </is>
      </c>
      <c r="L235" s="27" t="n">
        <v>9</v>
      </c>
      <c r="M235" s="27" t="n">
        <v>31</v>
      </c>
      <c r="N235" s="27" t="inlineStr">
        <is>
          <t>Course</t>
        </is>
      </c>
      <c r="O235" s="27" t="inlineStr">
        <is>
          <t>https://finnfairchild.com/academy</t>
        </is>
      </c>
      <c r="P235" s="27" t="inlineStr">
        <is>
          <t>Missing Video Captions &amp; Retention Clips</t>
        </is>
      </c>
      <c r="Q235" s="27" t="inlineStr">
        <is>
          <t>https://finnfairchild.com/highlights</t>
        </is>
      </c>
      <c r="R235" s="27" t="inlineStr">
        <is>
          <t>Email</t>
        </is>
      </c>
      <c r="S235" s="27" t="inlineStr">
        <is>
          <t>hello@finnfairchild.com</t>
        </is>
      </c>
      <c r="T235" s="27" t="inlineStr">
        <is>
          <t>https://finnfairchild.com/work-with-me</t>
        </is>
      </c>
      <c r="U235" s="27" t="inlineStr">
        <is>
          <t>LinkedIn</t>
        </is>
      </c>
      <c r="V235" s="27" t="inlineStr">
        <is>
          <t>saas &amp; product growth frameworks, specifically regarding episode 32 on SaaS &amp; Product Growth workflow optimization</t>
        </is>
      </c>
      <c r="W235" s="27" t="inlineStr">
        <is>
          <t>Hi Finn,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35" s="27" t="inlineStr">
        <is>
          <t>2026-10-18</t>
        </is>
      </c>
      <c r="Y235" s="27" t="inlineStr">
        <is>
          <t>B</t>
        </is>
      </c>
      <c r="Z235" s="27" t="n">
        <v>89.5</v>
      </c>
      <c r="AA235" s="27" t="inlineStr">
        <is>
          <t>Qualified</t>
        </is>
      </c>
      <c r="AB235" s="27" t="inlineStr"/>
      <c r="AC235" s="28">
        <f>IF(A235="","",IF(COUNTIF($H$5:$H$1004,H235)&gt;1,"DUPLICATE","UNIQUE"))</f>
        <v/>
      </c>
      <c r="AD235" s="28">
        <f>IF(A235="","",IF(AA235="Rejected",IF(AB235&lt;&gt;"","REJECTED","ADD REASON"),IF(AND(B235&lt;&gt;"",C235&lt;&gt;"",D235&lt;&gt;"",E235&lt;&gt;"",F235&lt;&gt;"",G235&lt;&gt;"",H235&lt;&gt;"",J235&lt;&gt;"",K235&lt;&gt;"",N235&lt;&gt;"",O235&lt;&gt;"",P235&lt;&gt;"",Q235&lt;&gt;"",R235&lt;&gt;"",S235&lt;&gt;"",T235&lt;&gt;"",V235&lt;&gt;"",W235&lt;&gt;"",X235&lt;&gt;"",Y235&lt;&gt;""),"COMPLETE","MISSING FIELDS")))</f>
        <v/>
      </c>
    </row>
    <row r="236" ht="15" customHeight="1" s="15">
      <c r="A236" s="27" t="inlineStr">
        <is>
          <t>LEAD-0232</t>
        </is>
      </c>
      <c r="B236" s="27" t="inlineStr">
        <is>
          <t>Finn Gallagher</t>
        </is>
      </c>
      <c r="C236" s="27" t="inlineStr">
        <is>
          <t>Expert-Led Creator</t>
        </is>
      </c>
      <c r="D236" s="27" t="inlineStr">
        <is>
          <t>US</t>
        </is>
      </c>
      <c r="E236" s="27" t="inlineStr">
        <is>
          <t>English</t>
        </is>
      </c>
      <c r="F236" s="27" t="inlineStr">
        <is>
          <t>YouTube</t>
        </is>
      </c>
      <c r="G236" s="27" t="inlineStr">
        <is>
          <t>https://www.youtube.com/@finngallagher</t>
        </is>
      </c>
      <c r="H236" s="27" t="inlineStr">
        <is>
          <t>UCUS00232493191</t>
        </is>
      </c>
      <c r="I236" s="27" t="inlineStr">
        <is>
          <t>460,000</t>
        </is>
      </c>
      <c r="J236" s="27" t="inlineStr">
        <is>
          <t>2026-10-10</t>
        </is>
      </c>
      <c r="K236" s="27" t="inlineStr">
        <is>
          <t>https://www.youtube.com/watch?v=us00232</t>
        </is>
      </c>
      <c r="L236" s="27" t="n">
        <v>10</v>
      </c>
      <c r="M236" s="27" t="n">
        <v>32</v>
      </c>
      <c r="N236" s="27" t="inlineStr">
        <is>
          <t>Sponsor</t>
        </is>
      </c>
      <c r="O236" s="27" t="inlineStr">
        <is>
          <t>https://finngallagher.com/partners</t>
        </is>
      </c>
      <c r="P236" s="27" t="inlineStr">
        <is>
          <t>Editing Backlog &amp; Team Workflow Overhead</t>
        </is>
      </c>
      <c r="Q236" s="27" t="inlineStr">
        <is>
          <t>https://finngallagher.com/highlights</t>
        </is>
      </c>
      <c r="R236" s="27" t="inlineStr">
        <is>
          <t>Email</t>
        </is>
      </c>
      <c r="S236" s="27" t="inlineStr">
        <is>
          <t>contact@finngallagher.com</t>
        </is>
      </c>
      <c r="T236" s="27" t="inlineStr">
        <is>
          <t>https://finngallagher.com/contact</t>
        </is>
      </c>
      <c r="U236" s="27" t="inlineStr">
        <is>
          <t>LinkedIn</t>
        </is>
      </c>
      <c r="V236" s="27" t="inlineStr">
        <is>
          <t>creator business &amp; monetization frameworks, specifically regarding episode 33 on Creator Business &amp; Monetization workflow optimization</t>
        </is>
      </c>
      <c r="W236" s="27" t="inlineStr">
        <is>
          <t>Hi Finn,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36" s="27" t="inlineStr">
        <is>
          <t>2026-10-18</t>
        </is>
      </c>
      <c r="Y236" s="27" t="inlineStr">
        <is>
          <t>B</t>
        </is>
      </c>
      <c r="Z236" s="27" t="n">
        <v>89.40000000000001</v>
      </c>
      <c r="AA236" s="27" t="inlineStr">
        <is>
          <t>Qualified</t>
        </is>
      </c>
      <c r="AB236" s="27" t="inlineStr"/>
      <c r="AC236" s="28">
        <f>IF(A236="","",IF(COUNTIF($H$5:$H$1004,H236)&gt;1,"DUPLICATE","UNIQUE"))</f>
        <v/>
      </c>
      <c r="AD236" s="28">
        <f>IF(A236="","",IF(AA236="Rejected",IF(AB236&lt;&gt;"","REJECTED","ADD REASON"),IF(AND(B236&lt;&gt;"",C236&lt;&gt;"",D236&lt;&gt;"",E236&lt;&gt;"",F236&lt;&gt;"",G236&lt;&gt;"",H236&lt;&gt;"",J236&lt;&gt;"",K236&lt;&gt;"",N236&lt;&gt;"",O236&lt;&gt;"",P236&lt;&gt;"",Q236&lt;&gt;"",R236&lt;&gt;"",S236&lt;&gt;"",T236&lt;&gt;"",V236&lt;&gt;"",W236&lt;&gt;"",X236&lt;&gt;"",Y236&lt;&gt;""),"COMPLETE","MISSING FIELDS")))</f>
        <v/>
      </c>
    </row>
    <row r="237" ht="15" customHeight="1" s="15">
      <c r="A237" s="27" t="inlineStr">
        <is>
          <t>LEAD-0233</t>
        </is>
      </c>
      <c r="B237" s="27" t="inlineStr">
        <is>
          <t>Finn Hawthorne</t>
        </is>
      </c>
      <c r="C237" s="27" t="inlineStr">
        <is>
          <t>YouTuber</t>
        </is>
      </c>
      <c r="D237" s="27" t="inlineStr">
        <is>
          <t>US</t>
        </is>
      </c>
      <c r="E237" s="27" t="inlineStr">
        <is>
          <t>English</t>
        </is>
      </c>
      <c r="F237" s="27" t="inlineStr">
        <is>
          <t>YouTube</t>
        </is>
      </c>
      <c r="G237" s="27" t="inlineStr">
        <is>
          <t>https://www.youtube.com/@finnhawthorne</t>
        </is>
      </c>
      <c r="H237" s="27" t="inlineStr">
        <is>
          <t>UCUS00233454769</t>
        </is>
      </c>
      <c r="I237" s="27" t="inlineStr">
        <is>
          <t>480,000</t>
        </is>
      </c>
      <c r="J237" s="27" t="inlineStr">
        <is>
          <t>2026-10-11</t>
        </is>
      </c>
      <c r="K237" s="27" t="inlineStr">
        <is>
          <t>https://www.youtube.com/watch?v=us00233</t>
        </is>
      </c>
      <c r="L237" s="27" t="n">
        <v>11</v>
      </c>
      <c r="M237" s="27" t="n">
        <v>33</v>
      </c>
      <c r="N237" s="27" t="inlineStr">
        <is>
          <t>Membership</t>
        </is>
      </c>
      <c r="O237" s="27" t="inlineStr">
        <is>
          <t>https://finnhawthorne.com/community</t>
        </is>
      </c>
      <c r="P237" s="27" t="inlineStr">
        <is>
          <t>Shorts Repurposing Bottleneck</t>
        </is>
      </c>
      <c r="Q237" s="27" t="inlineStr">
        <is>
          <t>https://finnhawthorne.com/highlights</t>
        </is>
      </c>
      <c r="R237" s="27" t="inlineStr">
        <is>
          <t>LinkedIn</t>
        </is>
      </c>
      <c r="S237" s="27" t="inlineStr">
        <is>
          <t>https://linkedin.com/in/finnhawthorne</t>
        </is>
      </c>
      <c r="T237" s="27" t="inlineStr">
        <is>
          <t>https://finnhawthorne.com/about</t>
        </is>
      </c>
      <c r="U237" s="27" t="inlineStr">
        <is>
          <t>Email</t>
        </is>
      </c>
      <c r="V237" s="27" t="inlineStr">
        <is>
          <t>productivity &amp; personal systems frameworks, specifically regarding episode 34 on Productivity &amp; Personal Systems workflow optimization</t>
        </is>
      </c>
      <c r="W237" s="27" t="inlineStr">
        <is>
          <t>Hi Finn,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37" s="27" t="inlineStr">
        <is>
          <t>2026-10-18</t>
        </is>
      </c>
      <c r="Y237" s="27" t="inlineStr">
        <is>
          <t>B</t>
        </is>
      </c>
      <c r="Z237" s="27" t="n">
        <v>89.40000000000001</v>
      </c>
      <c r="AA237" s="27" t="inlineStr">
        <is>
          <t>Qualified</t>
        </is>
      </c>
      <c r="AB237" s="27" t="inlineStr"/>
      <c r="AC237" s="28">
        <f>IF(A237="","",IF(COUNTIF($H$5:$H$1004,H237)&gt;1,"DUPLICATE","UNIQUE"))</f>
        <v/>
      </c>
      <c r="AD237" s="28">
        <f>IF(A237="","",IF(AA237="Rejected",IF(AB237&lt;&gt;"","REJECTED","ADD REASON"),IF(AND(B237&lt;&gt;"",C237&lt;&gt;"",D237&lt;&gt;"",E237&lt;&gt;"",F237&lt;&gt;"",G237&lt;&gt;"",H237&lt;&gt;"",J237&lt;&gt;"",K237&lt;&gt;"",N237&lt;&gt;"",O237&lt;&gt;"",P237&lt;&gt;"",Q237&lt;&gt;"",R237&lt;&gt;"",S237&lt;&gt;"",T237&lt;&gt;"",V237&lt;&gt;"",W237&lt;&gt;"",X237&lt;&gt;"",Y237&lt;&gt;""),"COMPLETE","MISSING FIELDS")))</f>
        <v/>
      </c>
    </row>
    <row r="238" ht="15" customHeight="1" s="15">
      <c r="A238" s="27" t="inlineStr">
        <is>
          <t>LEAD-0234</t>
        </is>
      </c>
      <c r="B238" s="27" t="inlineStr">
        <is>
          <t>Finn Ingram</t>
        </is>
      </c>
      <c r="C238" s="27" t="inlineStr">
        <is>
          <t>Podcaster</t>
        </is>
      </c>
      <c r="D238" s="27" t="inlineStr">
        <is>
          <t>US</t>
        </is>
      </c>
      <c r="E238" s="27" t="inlineStr">
        <is>
          <t>English</t>
        </is>
      </c>
      <c r="F238" s="27" t="inlineStr">
        <is>
          <t>Apple Podcasts</t>
        </is>
      </c>
      <c r="G238" s="27" t="inlineStr">
        <is>
          <t>https://podcasts.apple.com/us/podcast/finningram/id1000234</t>
        </is>
      </c>
      <c r="H238" s="27" t="inlineStr">
        <is>
          <t>AP-US-1000234</t>
        </is>
      </c>
      <c r="I238" s="27" t="inlineStr">
        <is>
          <t>120,000</t>
        </is>
      </c>
      <c r="J238" s="27" t="inlineStr">
        <is>
          <t>2026-10-12</t>
        </is>
      </c>
      <c r="K238" s="27" t="inlineStr">
        <is>
          <t>https://finningram.com/episodes/35</t>
        </is>
      </c>
      <c r="L238" s="27" t="n">
        <v>12</v>
      </c>
      <c r="M238" s="27" t="n">
        <v>16</v>
      </c>
      <c r="N238" s="27" t="inlineStr">
        <is>
          <t>Product</t>
        </is>
      </c>
      <c r="O238" s="27" t="inlineStr">
        <is>
          <t>https://finningram.com/shop</t>
        </is>
      </c>
      <c r="P238" s="27" t="inlineStr">
        <is>
          <t>Inconsistent Cross-Platform Publishing</t>
        </is>
      </c>
      <c r="Q238" s="27" t="inlineStr">
        <is>
          <t>https://finningram.com/highlights</t>
        </is>
      </c>
      <c r="R238" s="27" t="inlineStr">
        <is>
          <t>X (Twitter)</t>
        </is>
      </c>
      <c r="S238" s="27" t="inlineStr">
        <is>
          <t>https://x.com/finningram</t>
        </is>
      </c>
      <c r="T238" s="27" t="inlineStr">
        <is>
          <t>https://finningram.com/links</t>
        </is>
      </c>
      <c r="U238" s="27" t="inlineStr">
        <is>
          <t>LinkedIn</t>
        </is>
      </c>
      <c r="V238" s="27" t="inlineStr">
        <is>
          <t>leadership &amp; team ops frameworks, specifically regarding episode 35 on Leadership &amp; Team Ops workflow optimization</t>
        </is>
      </c>
      <c r="W238" s="27" t="inlineStr">
        <is>
          <t>Hi Finn,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38" s="27" t="inlineStr">
        <is>
          <t>2026-10-18</t>
        </is>
      </c>
      <c r="Y238" s="27" t="inlineStr">
        <is>
          <t>B</t>
        </is>
      </c>
      <c r="Z238" s="27" t="n">
        <v>89.3</v>
      </c>
      <c r="AA238" s="27" t="inlineStr">
        <is>
          <t>Qualified</t>
        </is>
      </c>
      <c r="AB238" s="27" t="inlineStr"/>
      <c r="AC238" s="28">
        <f>IF(A238="","",IF(COUNTIF($H$5:$H$1004,H238)&gt;1,"DUPLICATE","UNIQUE"))</f>
        <v/>
      </c>
      <c r="AD238" s="28">
        <f>IF(A238="","",IF(AA238="Rejected",IF(AB238&lt;&gt;"","REJECTED","ADD REASON"),IF(AND(B238&lt;&gt;"",C238&lt;&gt;"",D238&lt;&gt;"",E238&lt;&gt;"",F238&lt;&gt;"",G238&lt;&gt;"",H238&lt;&gt;"",J238&lt;&gt;"",K238&lt;&gt;"",N238&lt;&gt;"",O238&lt;&gt;"",P238&lt;&gt;"",Q238&lt;&gt;"",R238&lt;&gt;"",S238&lt;&gt;"",T238&lt;&gt;"",V238&lt;&gt;"",W238&lt;&gt;"",X238&lt;&gt;"",Y238&lt;&gt;""),"COMPLETE","MISSING FIELDS")))</f>
        <v/>
      </c>
    </row>
    <row r="239" ht="15" customHeight="1" s="15">
      <c r="A239" s="27" t="inlineStr">
        <is>
          <t>LEAD-0235</t>
        </is>
      </c>
      <c r="B239" s="27" t="inlineStr">
        <is>
          <t>Finn Jennings</t>
        </is>
      </c>
      <c r="C239" s="27" t="inlineStr">
        <is>
          <t>Expert-Led Creator</t>
        </is>
      </c>
      <c r="D239" s="27" t="inlineStr">
        <is>
          <t>US</t>
        </is>
      </c>
      <c r="E239" s="27" t="inlineStr">
        <is>
          <t>English</t>
        </is>
      </c>
      <c r="F239" s="27" t="inlineStr">
        <is>
          <t>LinkedIn</t>
        </is>
      </c>
      <c r="G239" s="27" t="inlineStr">
        <is>
          <t>https://www.linkedin.com/in/finnjennings</t>
        </is>
      </c>
      <c r="H239" s="27" t="inlineStr">
        <is>
          <t>LI-finnjennings-0235</t>
        </is>
      </c>
      <c r="I239" s="27" t="inlineStr">
        <is>
          <t>156,000</t>
        </is>
      </c>
      <c r="J239" s="27" t="inlineStr">
        <is>
          <t>2026-10-13</t>
        </is>
      </c>
      <c r="K239" s="27" t="inlineStr">
        <is>
          <t>https://finnjennings.com/posts/86</t>
        </is>
      </c>
      <c r="L239" s="27" t="n">
        <v>13</v>
      </c>
      <c r="M239" s="27" t="n">
        <v>17</v>
      </c>
      <c r="N239" s="27" t="inlineStr">
        <is>
          <t>Consulting</t>
        </is>
      </c>
      <c r="O239" s="27" t="inlineStr">
        <is>
          <t>https://finnjennings.com/advisory</t>
        </is>
      </c>
      <c r="P239" s="27" t="inlineStr">
        <is>
          <t>Editing Backlog &amp; Team Workflow Overhead</t>
        </is>
      </c>
      <c r="Q239" s="27" t="inlineStr">
        <is>
          <t>https://finnjennings.com/highlights</t>
        </is>
      </c>
      <c r="R239" s="27" t="inlineStr">
        <is>
          <t>Email</t>
        </is>
      </c>
      <c r="S239" s="27" t="inlineStr">
        <is>
          <t>hello@finnjennings.com</t>
        </is>
      </c>
      <c r="T239" s="27" t="inlineStr">
        <is>
          <t>https://finnjennings.com/work-with-me</t>
        </is>
      </c>
      <c r="U239" s="27" t="inlineStr">
        <is>
          <t>LinkedIn</t>
        </is>
      </c>
      <c r="V239" s="27" t="inlineStr">
        <is>
          <t>b2b marketing &amp; sales frameworks, specifically regarding episode 36 on B2B Marketing &amp; Sales workflow optimization</t>
        </is>
      </c>
      <c r="W239" s="27" t="inlineStr">
        <is>
          <t>Hi Finn,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39" s="27" t="inlineStr">
        <is>
          <t>2026-10-18</t>
        </is>
      </c>
      <c r="Y239" s="27" t="inlineStr">
        <is>
          <t>B</t>
        </is>
      </c>
      <c r="Z239" s="27" t="n">
        <v>89.2</v>
      </c>
      <c r="AA239" s="27" t="inlineStr">
        <is>
          <t>Qualified</t>
        </is>
      </c>
      <c r="AB239" s="27" t="inlineStr"/>
      <c r="AC239" s="28">
        <f>IF(A239="","",IF(COUNTIF($H$5:$H$1004,H239)&gt;1,"DUPLICATE","UNIQUE"))</f>
        <v/>
      </c>
      <c r="AD239" s="28">
        <f>IF(A239="","",IF(AA239="Rejected",IF(AB239&lt;&gt;"","REJECTED","ADD REASON"),IF(AND(B239&lt;&gt;"",C239&lt;&gt;"",D239&lt;&gt;"",E239&lt;&gt;"",F239&lt;&gt;"",G239&lt;&gt;"",H239&lt;&gt;"",J239&lt;&gt;"",K239&lt;&gt;"",N239&lt;&gt;"",O239&lt;&gt;"",P239&lt;&gt;"",Q239&lt;&gt;"",R239&lt;&gt;"",S239&lt;&gt;"",T239&lt;&gt;"",V239&lt;&gt;"",W239&lt;&gt;"",X239&lt;&gt;"",Y239&lt;&gt;""),"COMPLETE","MISSING FIELDS")))</f>
        <v/>
      </c>
    </row>
    <row r="240" ht="15" customHeight="1" s="15">
      <c r="A240" s="27" t="inlineStr">
        <is>
          <t>LEAD-0236</t>
        </is>
      </c>
      <c r="B240" s="27" t="inlineStr">
        <is>
          <t>Finn Kingsley</t>
        </is>
      </c>
      <c r="C240" s="27" t="inlineStr">
        <is>
          <t>YouTuber</t>
        </is>
      </c>
      <c r="D240" s="27" t="inlineStr">
        <is>
          <t>US</t>
        </is>
      </c>
      <c r="E240" s="27" t="inlineStr">
        <is>
          <t>English</t>
        </is>
      </c>
      <c r="F240" s="27" t="inlineStr">
        <is>
          <t>YouTube</t>
        </is>
      </c>
      <c r="G240" s="27" t="inlineStr">
        <is>
          <t>https://www.youtube.com/@finnkingsley</t>
        </is>
      </c>
      <c r="H240" s="27" t="inlineStr">
        <is>
          <t>UCUS00236440972</t>
        </is>
      </c>
      <c r="I240" s="27" t="inlineStr">
        <is>
          <t>540,000</t>
        </is>
      </c>
      <c r="J240" s="27" t="inlineStr">
        <is>
          <t>2026-10-14</t>
        </is>
      </c>
      <c r="K240" s="27" t="inlineStr">
        <is>
          <t>https://www.youtube.com/watch?v=us00236</t>
        </is>
      </c>
      <c r="L240" s="27" t="n">
        <v>14</v>
      </c>
      <c r="M240" s="27" t="n">
        <v>18</v>
      </c>
      <c r="N240" s="27" t="inlineStr">
        <is>
          <t>Newsletter Subscription</t>
        </is>
      </c>
      <c r="O240" s="27" t="inlineStr">
        <is>
          <t>https://finnkingsley.com/subscribe</t>
        </is>
      </c>
      <c r="P240" s="27" t="inlineStr">
        <is>
          <t>Multilingual Audio Dubbing</t>
        </is>
      </c>
      <c r="Q240" s="27" t="inlineStr">
        <is>
          <t>https://finnkingsley.com/highlights</t>
        </is>
      </c>
      <c r="R240" s="27" t="inlineStr">
        <is>
          <t>Email</t>
        </is>
      </c>
      <c r="S240" s="27" t="inlineStr">
        <is>
          <t>contact@finnkingsley.com</t>
        </is>
      </c>
      <c r="T240" s="27" t="inlineStr">
        <is>
          <t>https://finnkingsley.com/contact</t>
        </is>
      </c>
      <c r="U240" s="27" t="inlineStr">
        <is>
          <t>LinkedIn</t>
        </is>
      </c>
      <c r="V240" s="27" t="inlineStr">
        <is>
          <t>finance &amp; wealth engineering frameworks, specifically regarding episode 37 on Finance &amp; Wealth Engineering workflow optimization</t>
        </is>
      </c>
      <c r="W240" s="27" t="inlineStr">
        <is>
          <t>Hi Finn,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40" s="27" t="inlineStr">
        <is>
          <t>2026-10-18</t>
        </is>
      </c>
      <c r="Y240" s="27" t="inlineStr">
        <is>
          <t>B</t>
        </is>
      </c>
      <c r="Z240" s="27" t="n">
        <v>89.09999999999999</v>
      </c>
      <c r="AA240" s="27" t="inlineStr">
        <is>
          <t>Qualified</t>
        </is>
      </c>
      <c r="AB240" s="27" t="inlineStr"/>
      <c r="AC240" s="28">
        <f>IF(A240="","",IF(COUNTIF($H$5:$H$1004,H240)&gt;1,"DUPLICATE","UNIQUE"))</f>
        <v/>
      </c>
      <c r="AD240" s="28">
        <f>IF(A240="","",IF(AA240="Rejected",IF(AB240&lt;&gt;"","REJECTED","ADD REASON"),IF(AND(B240&lt;&gt;"",C240&lt;&gt;"",D240&lt;&gt;"",E240&lt;&gt;"",F240&lt;&gt;"",G240&lt;&gt;"",H240&lt;&gt;"",J240&lt;&gt;"",K240&lt;&gt;"",N240&lt;&gt;"",O240&lt;&gt;"",P240&lt;&gt;"",Q240&lt;&gt;"",R240&lt;&gt;"",S240&lt;&gt;"",T240&lt;&gt;"",V240&lt;&gt;"",W240&lt;&gt;"",X240&lt;&gt;"",Y240&lt;&gt;""),"COMPLETE","MISSING FIELDS")))</f>
        <v/>
      </c>
    </row>
    <row r="241" ht="15" customHeight="1" s="15">
      <c r="A241" s="27" t="inlineStr">
        <is>
          <t>LEAD-0237</t>
        </is>
      </c>
      <c r="B241" s="27" t="inlineStr">
        <is>
          <t>Finn Lockwood</t>
        </is>
      </c>
      <c r="C241" s="27" t="inlineStr">
        <is>
          <t>Podcaster</t>
        </is>
      </c>
      <c r="D241" s="27" t="inlineStr">
        <is>
          <t>US</t>
        </is>
      </c>
      <c r="E241" s="27" t="inlineStr">
        <is>
          <t>English</t>
        </is>
      </c>
      <c r="F241" s="27" t="inlineStr">
        <is>
          <t>Apple Podcasts</t>
        </is>
      </c>
      <c r="G241" s="27" t="inlineStr">
        <is>
          <t>https://podcasts.apple.com/us/podcast/finnlockwood/id1000237</t>
        </is>
      </c>
      <c r="H241" s="27" t="inlineStr">
        <is>
          <t>AP-US-1000237</t>
        </is>
      </c>
      <c r="I241" s="27" t="inlineStr">
        <is>
          <t>156,000</t>
        </is>
      </c>
      <c r="J241" s="27" t="inlineStr">
        <is>
          <t>2026-10-15</t>
        </is>
      </c>
      <c r="K241" s="27" t="inlineStr">
        <is>
          <t>https://finnlockwood.com/episodes/38</t>
        </is>
      </c>
      <c r="L241" s="27" t="n">
        <v>15</v>
      </c>
      <c r="M241" s="27" t="n">
        <v>19</v>
      </c>
      <c r="N241" s="27" t="inlineStr">
        <is>
          <t>Affiliate</t>
        </is>
      </c>
      <c r="O241" s="27" t="inlineStr">
        <is>
          <t>https://finnlockwood.com/resources</t>
        </is>
      </c>
      <c r="P241" s="27" t="inlineStr">
        <is>
          <t>Multilingual Audio Dubbing</t>
        </is>
      </c>
      <c r="Q241" s="27" t="inlineStr">
        <is>
          <t>https://finnlockwood.com/highlights</t>
        </is>
      </c>
      <c r="R241" s="27" t="inlineStr">
        <is>
          <t>LinkedIn</t>
        </is>
      </c>
      <c r="S241" s="27" t="inlineStr">
        <is>
          <t>https://linkedin.com/in/finnlockwood</t>
        </is>
      </c>
      <c r="T241" s="27" t="inlineStr">
        <is>
          <t>https://finnlockwood.com/about</t>
        </is>
      </c>
      <c r="U241" s="27" t="inlineStr">
        <is>
          <t>Email</t>
        </is>
      </c>
      <c r="V241" s="27" t="inlineStr">
        <is>
          <t>health &amp; longevity science frameworks, specifically regarding episode 38 on Health &amp; Longevity Science workflow optimization</t>
        </is>
      </c>
      <c r="W241" s="27" t="inlineStr">
        <is>
          <t>Hi Finn,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41" s="27" t="inlineStr">
        <is>
          <t>2026-10-18</t>
        </is>
      </c>
      <c r="Y241" s="27" t="inlineStr">
        <is>
          <t>B</t>
        </is>
      </c>
      <c r="Z241" s="27" t="n">
        <v>89</v>
      </c>
      <c r="AA241" s="27" t="inlineStr">
        <is>
          <t>Qualified</t>
        </is>
      </c>
      <c r="AB241" s="27" t="inlineStr"/>
      <c r="AC241" s="28">
        <f>IF(A241="","",IF(COUNTIF($H$5:$H$1004,H241)&gt;1,"DUPLICATE","UNIQUE"))</f>
        <v/>
      </c>
      <c r="AD241" s="28">
        <f>IF(A241="","",IF(AA241="Rejected",IF(AB241&lt;&gt;"","REJECTED","ADD REASON"),IF(AND(B241&lt;&gt;"",C241&lt;&gt;"",D241&lt;&gt;"",E241&lt;&gt;"",F241&lt;&gt;"",G241&lt;&gt;"",H241&lt;&gt;"",J241&lt;&gt;"",K241&lt;&gt;"",N241&lt;&gt;"",O241&lt;&gt;"",P241&lt;&gt;"",Q241&lt;&gt;"",R241&lt;&gt;"",S241&lt;&gt;"",T241&lt;&gt;"",V241&lt;&gt;"",W241&lt;&gt;"",X241&lt;&gt;"",Y241&lt;&gt;""),"COMPLETE","MISSING FIELDS")))</f>
        <v/>
      </c>
    </row>
    <row r="242" ht="15" customHeight="1" s="15">
      <c r="A242" s="27" t="inlineStr">
        <is>
          <t>LEAD-0238</t>
        </is>
      </c>
      <c r="B242" s="27" t="inlineStr">
        <is>
          <t>Finn Montague</t>
        </is>
      </c>
      <c r="C242" s="27" t="inlineStr">
        <is>
          <t>YouTuber</t>
        </is>
      </c>
      <c r="D242" s="27" t="inlineStr">
        <is>
          <t>US</t>
        </is>
      </c>
      <c r="E242" s="27" t="inlineStr">
        <is>
          <t>English</t>
        </is>
      </c>
      <c r="F242" s="27" t="inlineStr">
        <is>
          <t>YouTube</t>
        </is>
      </c>
      <c r="G242" s="27" t="inlineStr">
        <is>
          <t>https://www.youtube.com/@finnmontague</t>
        </is>
      </c>
      <c r="H242" s="27" t="inlineStr">
        <is>
          <t>UCUS00238598303</t>
        </is>
      </c>
      <c r="I242" s="27" t="inlineStr">
        <is>
          <t>580,000</t>
        </is>
      </c>
      <c r="J242" s="27" t="inlineStr">
        <is>
          <t>2026-10-16</t>
        </is>
      </c>
      <c r="K242" s="27" t="inlineStr">
        <is>
          <t>https://www.youtube.com/watch?v=us00238</t>
        </is>
      </c>
      <c r="L242" s="27" t="n">
        <v>16</v>
      </c>
      <c r="M242" s="27" t="n">
        <v>20</v>
      </c>
      <c r="N242" s="27" t="inlineStr">
        <is>
          <t>Course</t>
        </is>
      </c>
      <c r="O242" s="27" t="inlineStr">
        <is>
          <t>https://finnmontague.com/academy</t>
        </is>
      </c>
      <c r="P242" s="27" t="inlineStr">
        <is>
          <t>Missing Video Captions &amp; Retention Clips</t>
        </is>
      </c>
      <c r="Q242" s="27" t="inlineStr">
        <is>
          <t>https://finnmontague.com/highlights</t>
        </is>
      </c>
      <c r="R242" s="27" t="inlineStr">
        <is>
          <t>X (Twitter)</t>
        </is>
      </c>
      <c r="S242" s="27" t="inlineStr">
        <is>
          <t>https://x.com/finnmontague</t>
        </is>
      </c>
      <c r="T242" s="27" t="inlineStr">
        <is>
          <t>https://finnmontague.com/links</t>
        </is>
      </c>
      <c r="U242" s="27" t="inlineStr">
        <is>
          <t>LinkedIn</t>
        </is>
      </c>
      <c r="V242" s="27" t="inlineStr">
        <is>
          <t>education &amp; applied coding frameworks, specifically regarding episode 39 on Education &amp; Applied Coding workflow optimization</t>
        </is>
      </c>
      <c r="W242" s="27" t="inlineStr">
        <is>
          <t>Hi Finn,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42" s="27" t="inlineStr">
        <is>
          <t>2026-10-18</t>
        </is>
      </c>
      <c r="Y242" s="27" t="inlineStr">
        <is>
          <t>B</t>
        </is>
      </c>
      <c r="Z242" s="27" t="n">
        <v>89</v>
      </c>
      <c r="AA242" s="27" t="inlineStr">
        <is>
          <t>Qualified</t>
        </is>
      </c>
      <c r="AB242" s="27" t="inlineStr"/>
      <c r="AC242" s="28">
        <f>IF(A242="","",IF(COUNTIF($H$5:$H$1004,H242)&gt;1,"DUPLICATE","UNIQUE"))</f>
        <v/>
      </c>
      <c r="AD242" s="28">
        <f>IF(A242="","",IF(AA242="Rejected",IF(AB242&lt;&gt;"","REJECTED","ADD REASON"),IF(AND(B242&lt;&gt;"",C242&lt;&gt;"",D242&lt;&gt;"",E242&lt;&gt;"",F242&lt;&gt;"",G242&lt;&gt;"",H242&lt;&gt;"",J242&lt;&gt;"",K242&lt;&gt;"",N242&lt;&gt;"",O242&lt;&gt;"",P242&lt;&gt;"",Q242&lt;&gt;"",R242&lt;&gt;"",S242&lt;&gt;"",T242&lt;&gt;"",V242&lt;&gt;"",W242&lt;&gt;"",X242&lt;&gt;"",Y242&lt;&gt;""),"COMPLETE","MISSING FIELDS")))</f>
        <v/>
      </c>
    </row>
    <row r="243" ht="15" customHeight="1" s="15">
      <c r="A243" s="27" t="inlineStr">
        <is>
          <t>LEAD-0239</t>
        </is>
      </c>
      <c r="B243" s="27" t="inlineStr">
        <is>
          <t>Finn Northwood</t>
        </is>
      </c>
      <c r="C243" s="27" t="inlineStr">
        <is>
          <t>Podcaster</t>
        </is>
      </c>
      <c r="D243" s="27" t="inlineStr">
        <is>
          <t>US</t>
        </is>
      </c>
      <c r="E243" s="27" t="inlineStr">
        <is>
          <t>English</t>
        </is>
      </c>
      <c r="F243" s="27" t="inlineStr">
        <is>
          <t>Apple Podcasts</t>
        </is>
      </c>
      <c r="G243" s="27" t="inlineStr">
        <is>
          <t>https://podcasts.apple.com/us/podcast/finnnorthwood/id1000239</t>
        </is>
      </c>
      <c r="H243" s="27" t="inlineStr">
        <is>
          <t>AP-US-1000239</t>
        </is>
      </c>
      <c r="I243" s="27" t="inlineStr">
        <is>
          <t>180,000</t>
        </is>
      </c>
      <c r="J243" s="27" t="inlineStr">
        <is>
          <t>2026-10-17</t>
        </is>
      </c>
      <c r="K243" s="27" t="inlineStr">
        <is>
          <t>https://finnnorthwood.com/episodes/40</t>
        </is>
      </c>
      <c r="L243" s="27" t="n">
        <v>17</v>
      </c>
      <c r="M243" s="27" t="n">
        <v>21</v>
      </c>
      <c r="N243" s="27" t="inlineStr">
        <is>
          <t>Sponsor</t>
        </is>
      </c>
      <c r="O243" s="27" t="inlineStr">
        <is>
          <t>https://finnnorthwood.com/partners</t>
        </is>
      </c>
      <c r="P243" s="27" t="inlineStr">
        <is>
          <t>Shorts Repurposing Bottleneck</t>
        </is>
      </c>
      <c r="Q243" s="27" t="inlineStr">
        <is>
          <t>https://finnnorthwood.com/highlights</t>
        </is>
      </c>
      <c r="R243" s="27" t="inlineStr">
        <is>
          <t>Email</t>
        </is>
      </c>
      <c r="S243" s="27" t="inlineStr">
        <is>
          <t>hello@finnnorthwood.com</t>
        </is>
      </c>
      <c r="T243" s="27" t="inlineStr">
        <is>
          <t>https://finnnorthwood.com/work-with-me</t>
        </is>
      </c>
      <c r="U243" s="27" t="inlineStr">
        <is>
          <t>LinkedIn</t>
        </is>
      </c>
      <c r="V243" s="27" t="inlineStr">
        <is>
          <t>e-commerce &amp; digital brands frameworks, specifically regarding episode 40 on E-Commerce &amp; Digital Brands workflow optimization</t>
        </is>
      </c>
      <c r="W243" s="27" t="inlineStr">
        <is>
          <t>Hi Finn,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43" s="27" t="inlineStr">
        <is>
          <t>2026-10-18</t>
        </is>
      </c>
      <c r="Y243" s="27" t="inlineStr">
        <is>
          <t>B</t>
        </is>
      </c>
      <c r="Z243" s="27" t="n">
        <v>88.90000000000001</v>
      </c>
      <c r="AA243" s="27" t="inlineStr">
        <is>
          <t>Qualified</t>
        </is>
      </c>
      <c r="AB243" s="27" t="inlineStr"/>
      <c r="AC243" s="28">
        <f>IF(A243="","",IF(COUNTIF($H$5:$H$1004,H243)&gt;1,"DUPLICATE","UNIQUE"))</f>
        <v/>
      </c>
      <c r="AD243" s="28">
        <f>IF(A243="","",IF(AA243="Rejected",IF(AB243&lt;&gt;"","REJECTED","ADD REASON"),IF(AND(B243&lt;&gt;"",C243&lt;&gt;"",D243&lt;&gt;"",E243&lt;&gt;"",F243&lt;&gt;"",G243&lt;&gt;"",H243&lt;&gt;"",J243&lt;&gt;"",K243&lt;&gt;"",N243&lt;&gt;"",O243&lt;&gt;"",P243&lt;&gt;"",Q243&lt;&gt;"",R243&lt;&gt;"",S243&lt;&gt;"",T243&lt;&gt;"",V243&lt;&gt;"",W243&lt;&gt;"",X243&lt;&gt;"",Y243&lt;&gt;""),"COMPLETE","MISSING FIELDS")))</f>
        <v/>
      </c>
    </row>
    <row r="244" ht="15" customHeight="1" s="15">
      <c r="A244" s="27" t="inlineStr">
        <is>
          <t>LEAD-0240</t>
        </is>
      </c>
      <c r="B244" s="27" t="inlineStr">
        <is>
          <t>Finn Oakley</t>
        </is>
      </c>
      <c r="C244" s="27" t="inlineStr">
        <is>
          <t>YouTuber</t>
        </is>
      </c>
      <c r="D244" s="27" t="inlineStr">
        <is>
          <t>US</t>
        </is>
      </c>
      <c r="E244" s="27" t="inlineStr">
        <is>
          <t>English</t>
        </is>
      </c>
      <c r="F244" s="27" t="inlineStr">
        <is>
          <t>YouTube</t>
        </is>
      </c>
      <c r="G244" s="27" t="inlineStr">
        <is>
          <t>https://www.youtube.com/@finnoakley</t>
        </is>
      </c>
      <c r="H244" s="27" t="inlineStr">
        <is>
          <t>UCUS00240245856</t>
        </is>
      </c>
      <c r="I244" s="27" t="inlineStr">
        <is>
          <t>620,000</t>
        </is>
      </c>
      <c r="J244" s="27" t="inlineStr">
        <is>
          <t>2026-10-10</t>
        </is>
      </c>
      <c r="K244" s="27" t="inlineStr">
        <is>
          <t>https://www.youtube.com/watch?v=us00240</t>
        </is>
      </c>
      <c r="L244" s="27" t="n">
        <v>8</v>
      </c>
      <c r="M244" s="27" t="n">
        <v>22</v>
      </c>
      <c r="N244" s="27" t="inlineStr">
        <is>
          <t>Membership</t>
        </is>
      </c>
      <c r="O244" s="27" t="inlineStr">
        <is>
          <t>https://finnoakley.com/community</t>
        </is>
      </c>
      <c r="P244" s="27" t="inlineStr">
        <is>
          <t>Shorts Repurposing Bottleneck</t>
        </is>
      </c>
      <c r="Q244" s="27" t="inlineStr">
        <is>
          <t>https://finnoakley.com/highlights</t>
        </is>
      </c>
      <c r="R244" s="27" t="inlineStr">
        <is>
          <t>Email</t>
        </is>
      </c>
      <c r="S244" s="27" t="inlineStr">
        <is>
          <t>contact@finnoakley.com</t>
        </is>
      </c>
      <c r="T244" s="27" t="inlineStr">
        <is>
          <t>https://finnoakley.com/contact</t>
        </is>
      </c>
      <c r="U244" s="27" t="inlineStr">
        <is>
          <t>LinkedIn</t>
        </is>
      </c>
      <c r="V244" s="27" t="inlineStr">
        <is>
          <t>tech &amp; ai frameworks, specifically regarding episode 41 on Tech &amp; AI workflow optimization</t>
        </is>
      </c>
      <c r="W244" s="27" t="inlineStr">
        <is>
          <t>Hi Finn,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44" s="27" t="inlineStr">
        <is>
          <t>2026-10-18</t>
        </is>
      </c>
      <c r="Y244" s="27" t="inlineStr">
        <is>
          <t>B</t>
        </is>
      </c>
      <c r="Z244" s="27" t="n">
        <v>88.8</v>
      </c>
      <c r="AA244" s="27" t="inlineStr">
        <is>
          <t>Qualified</t>
        </is>
      </c>
      <c r="AB244" s="27" t="inlineStr"/>
      <c r="AC244" s="28">
        <f>IF(A244="","",IF(COUNTIF($H$5:$H$1004,H244)&gt;1,"DUPLICATE","UNIQUE"))</f>
        <v/>
      </c>
      <c r="AD244" s="28">
        <f>IF(A244="","",IF(AA244="Rejected",IF(AB244&lt;&gt;"","REJECTED","ADD REASON"),IF(AND(B244&lt;&gt;"",C244&lt;&gt;"",D244&lt;&gt;"",E244&lt;&gt;"",F244&lt;&gt;"",G244&lt;&gt;"",H244&lt;&gt;"",J244&lt;&gt;"",K244&lt;&gt;"",N244&lt;&gt;"",O244&lt;&gt;"",P244&lt;&gt;"",Q244&lt;&gt;"",R244&lt;&gt;"",S244&lt;&gt;"",T244&lt;&gt;"",V244&lt;&gt;"",W244&lt;&gt;"",X244&lt;&gt;"",Y244&lt;&gt;""),"COMPLETE","MISSING FIELDS")))</f>
        <v/>
      </c>
    </row>
    <row r="245" ht="15" customHeight="1" s="15">
      <c r="A245" s="27" t="inlineStr">
        <is>
          <t>LEAD-0241</t>
        </is>
      </c>
      <c r="B245" s="27" t="inlineStr">
        <is>
          <t>Finn Pemberton</t>
        </is>
      </c>
      <c r="C245" s="27" t="inlineStr">
        <is>
          <t>Podcaster</t>
        </is>
      </c>
      <c r="D245" s="27" t="inlineStr">
        <is>
          <t>US</t>
        </is>
      </c>
      <c r="E245" s="27" t="inlineStr">
        <is>
          <t>English</t>
        </is>
      </c>
      <c r="F245" s="27" t="inlineStr">
        <is>
          <t>Apple Podcasts</t>
        </is>
      </c>
      <c r="G245" s="27" t="inlineStr">
        <is>
          <t>https://podcasts.apple.com/us/podcast/finnpemberton/id1000241</t>
        </is>
      </c>
      <c r="H245" s="27" t="inlineStr">
        <is>
          <t>AP-US-1000241</t>
        </is>
      </c>
      <c r="I245" s="27" t="inlineStr">
        <is>
          <t>204,000</t>
        </is>
      </c>
      <c r="J245" s="27" t="inlineStr">
        <is>
          <t>2026-10-11</t>
        </is>
      </c>
      <c r="K245" s="27" t="inlineStr">
        <is>
          <t>https://finnpemberton.com/episodes/42</t>
        </is>
      </c>
      <c r="L245" s="27" t="n">
        <v>9</v>
      </c>
      <c r="M245" s="27" t="n">
        <v>23</v>
      </c>
      <c r="N245" s="27" t="inlineStr">
        <is>
          <t>Product</t>
        </is>
      </c>
      <c r="O245" s="27" t="inlineStr">
        <is>
          <t>https://finnpemberton.com/shop</t>
        </is>
      </c>
      <c r="P245" s="27" t="inlineStr">
        <is>
          <t>Missing Video Captions &amp; Retention Clips</t>
        </is>
      </c>
      <c r="Q245" s="27" t="inlineStr">
        <is>
          <t>https://finnpemberton.com/highlights</t>
        </is>
      </c>
      <c r="R245" s="27" t="inlineStr">
        <is>
          <t>LinkedIn</t>
        </is>
      </c>
      <c r="S245" s="27" t="inlineStr">
        <is>
          <t>https://linkedin.com/in/finnpemberton</t>
        </is>
      </c>
      <c r="T245" s="27" t="inlineStr">
        <is>
          <t>https://finnpemberton.com/about</t>
        </is>
      </c>
      <c r="U245" s="27" t="inlineStr">
        <is>
          <t>Email</t>
        </is>
      </c>
      <c r="V245" s="27" t="inlineStr">
        <is>
          <t>saas &amp; product growth frameworks, specifically regarding episode 42 on SaaS &amp; Product Growth workflow optimization</t>
        </is>
      </c>
      <c r="W245" s="27" t="inlineStr">
        <is>
          <t>Hi Finn,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45" s="27" t="inlineStr">
        <is>
          <t>2026-10-18</t>
        </is>
      </c>
      <c r="Y245" s="27" t="inlineStr">
        <is>
          <t>B</t>
        </is>
      </c>
      <c r="Z245" s="27" t="n">
        <v>88.7</v>
      </c>
      <c r="AA245" s="27" t="inlineStr">
        <is>
          <t>Qualified</t>
        </is>
      </c>
      <c r="AB245" s="27" t="inlineStr"/>
      <c r="AC245" s="28">
        <f>IF(A245="","",IF(COUNTIF($H$5:$H$1004,H245)&gt;1,"DUPLICATE","UNIQUE"))</f>
        <v/>
      </c>
      <c r="AD245" s="28">
        <f>IF(A245="","",IF(AA245="Rejected",IF(AB245&lt;&gt;"","REJECTED","ADD REASON"),IF(AND(B245&lt;&gt;"",C245&lt;&gt;"",D245&lt;&gt;"",E245&lt;&gt;"",F245&lt;&gt;"",G245&lt;&gt;"",H245&lt;&gt;"",J245&lt;&gt;"",K245&lt;&gt;"",N245&lt;&gt;"",O245&lt;&gt;"",P245&lt;&gt;"",Q245&lt;&gt;"",R245&lt;&gt;"",S245&lt;&gt;"",T245&lt;&gt;"",V245&lt;&gt;"",W245&lt;&gt;"",X245&lt;&gt;"",Y245&lt;&gt;""),"COMPLETE","MISSING FIELDS")))</f>
        <v/>
      </c>
    </row>
    <row r="246" ht="15" customHeight="1" s="15">
      <c r="A246" s="27" t="inlineStr">
        <is>
          <t>LEAD-0242</t>
        </is>
      </c>
      <c r="B246" s="27" t="inlineStr">
        <is>
          <t>Finn Quatermain</t>
        </is>
      </c>
      <c r="C246" s="27" t="inlineStr">
        <is>
          <t>Expert-Led Creator</t>
        </is>
      </c>
      <c r="D246" s="27" t="inlineStr">
        <is>
          <t>US</t>
        </is>
      </c>
      <c r="E246" s="27" t="inlineStr">
        <is>
          <t>English</t>
        </is>
      </c>
      <c r="F246" s="27" t="inlineStr">
        <is>
          <t>YouTube</t>
        </is>
      </c>
      <c r="G246" s="27" t="inlineStr">
        <is>
          <t>https://www.youtube.com/@finnquatermain</t>
        </is>
      </c>
      <c r="H246" s="27" t="inlineStr">
        <is>
          <t>UCUS00242030733</t>
        </is>
      </c>
      <c r="I246" s="27" t="inlineStr">
        <is>
          <t>660,000</t>
        </is>
      </c>
      <c r="J246" s="27" t="inlineStr">
        <is>
          <t>2026-10-12</t>
        </is>
      </c>
      <c r="K246" s="27" t="inlineStr">
        <is>
          <t>https://www.youtube.com/watch?v=us00242</t>
        </is>
      </c>
      <c r="L246" s="27" t="n">
        <v>10</v>
      </c>
      <c r="M246" s="27" t="n">
        <v>24</v>
      </c>
      <c r="N246" s="27" t="inlineStr">
        <is>
          <t>Consulting</t>
        </is>
      </c>
      <c r="O246" s="27" t="inlineStr">
        <is>
          <t>https://finnquatermain.com/advisory</t>
        </is>
      </c>
      <c r="P246" s="27" t="inlineStr">
        <is>
          <t>Editing Backlog &amp; Team Workflow Overhead</t>
        </is>
      </c>
      <c r="Q246" s="27" t="inlineStr">
        <is>
          <t>https://finnquatermain.com/highlights</t>
        </is>
      </c>
      <c r="R246" s="27" t="inlineStr">
        <is>
          <t>X (Twitter)</t>
        </is>
      </c>
      <c r="S246" s="27" t="inlineStr">
        <is>
          <t>https://x.com/finnquatermain</t>
        </is>
      </c>
      <c r="T246" s="27" t="inlineStr">
        <is>
          <t>https://finnquatermain.com/links</t>
        </is>
      </c>
      <c r="U246" s="27" t="inlineStr">
        <is>
          <t>LinkedIn</t>
        </is>
      </c>
      <c r="V246" s="27" t="inlineStr">
        <is>
          <t>creator business &amp; monetization frameworks, specifically regarding episode 43 on Creator Business &amp; Monetization workflow optimization</t>
        </is>
      </c>
      <c r="W246" s="27" t="inlineStr">
        <is>
          <t>Hi Finn,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46" s="27" t="inlineStr">
        <is>
          <t>2026-10-18</t>
        </is>
      </c>
      <c r="Y246" s="27" t="inlineStr">
        <is>
          <t>B</t>
        </is>
      </c>
      <c r="Z246" s="27" t="n">
        <v>88.59999999999999</v>
      </c>
      <c r="AA246" s="27" t="inlineStr">
        <is>
          <t>Qualified</t>
        </is>
      </c>
      <c r="AB246" s="27" t="inlineStr"/>
      <c r="AC246" s="28">
        <f>IF(A246="","",IF(COUNTIF($H$5:$H$1004,H246)&gt;1,"DUPLICATE","UNIQUE"))</f>
        <v/>
      </c>
      <c r="AD246" s="28">
        <f>IF(A246="","",IF(AA246="Rejected",IF(AB246&lt;&gt;"","REJECTED","ADD REASON"),IF(AND(B246&lt;&gt;"",C246&lt;&gt;"",D246&lt;&gt;"",E246&lt;&gt;"",F246&lt;&gt;"",G246&lt;&gt;"",H246&lt;&gt;"",J246&lt;&gt;"",K246&lt;&gt;"",N246&lt;&gt;"",O246&lt;&gt;"",P246&lt;&gt;"",Q246&lt;&gt;"",R246&lt;&gt;"",S246&lt;&gt;"",T246&lt;&gt;"",V246&lt;&gt;"",W246&lt;&gt;"",X246&lt;&gt;"",Y246&lt;&gt;""),"COMPLETE","MISSING FIELDS")))</f>
        <v/>
      </c>
    </row>
    <row r="247" ht="15" customHeight="1" s="15">
      <c r="A247" s="27" t="inlineStr">
        <is>
          <t>LEAD-0243</t>
        </is>
      </c>
      <c r="B247" s="27" t="inlineStr">
        <is>
          <t>Finn Radcliffe</t>
        </is>
      </c>
      <c r="C247" s="27" t="inlineStr">
        <is>
          <t>YouTuber</t>
        </is>
      </c>
      <c r="D247" s="27" t="inlineStr">
        <is>
          <t>US</t>
        </is>
      </c>
      <c r="E247" s="27" t="inlineStr">
        <is>
          <t>English</t>
        </is>
      </c>
      <c r="F247" s="27" t="inlineStr">
        <is>
          <t>YouTube</t>
        </is>
      </c>
      <c r="G247" s="27" t="inlineStr">
        <is>
          <t>https://www.youtube.com/@finnradcliffe</t>
        </is>
      </c>
      <c r="H247" s="27" t="inlineStr">
        <is>
          <t>UCUS00243322054</t>
        </is>
      </c>
      <c r="I247" s="27" t="inlineStr">
        <is>
          <t>680,000</t>
        </is>
      </c>
      <c r="J247" s="27" t="inlineStr">
        <is>
          <t>2026-10-13</t>
        </is>
      </c>
      <c r="K247" s="27" t="inlineStr">
        <is>
          <t>https://www.youtube.com/watch?v=us00243</t>
        </is>
      </c>
      <c r="L247" s="27" t="n">
        <v>11</v>
      </c>
      <c r="M247" s="27" t="n">
        <v>25</v>
      </c>
      <c r="N247" s="27" t="inlineStr">
        <is>
          <t>Newsletter Subscription</t>
        </is>
      </c>
      <c r="O247" s="27" t="inlineStr">
        <is>
          <t>https://finnradcliffe.com/subscribe</t>
        </is>
      </c>
      <c r="P247" s="27" t="inlineStr">
        <is>
          <t>Shorts Repurposing Bottleneck</t>
        </is>
      </c>
      <c r="Q247" s="27" t="inlineStr">
        <is>
          <t>https://finnradcliffe.com/highlights</t>
        </is>
      </c>
      <c r="R247" s="27" t="inlineStr">
        <is>
          <t>Email</t>
        </is>
      </c>
      <c r="S247" s="27" t="inlineStr">
        <is>
          <t>hello@finnradcliffe.com</t>
        </is>
      </c>
      <c r="T247" s="27" t="inlineStr">
        <is>
          <t>https://finnradcliffe.com/work-with-me</t>
        </is>
      </c>
      <c r="U247" s="27" t="inlineStr">
        <is>
          <t>LinkedIn</t>
        </is>
      </c>
      <c r="V247" s="27" t="inlineStr">
        <is>
          <t>productivity &amp; personal systems frameworks, specifically regarding episode 44 on Productivity &amp; Personal Systems workflow optimization</t>
        </is>
      </c>
      <c r="W247" s="27" t="inlineStr">
        <is>
          <t>Hi Finn,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47" s="27" t="inlineStr">
        <is>
          <t>2026-10-18</t>
        </is>
      </c>
      <c r="Y247" s="27" t="inlineStr">
        <is>
          <t>B</t>
        </is>
      </c>
      <c r="Z247" s="27" t="n">
        <v>88.59999999999999</v>
      </c>
      <c r="AA247" s="27" t="inlineStr">
        <is>
          <t>Qualified</t>
        </is>
      </c>
      <c r="AB247" s="27" t="inlineStr"/>
      <c r="AC247" s="28">
        <f>IF(A247="","",IF(COUNTIF($H$5:$H$1004,H247)&gt;1,"DUPLICATE","UNIQUE"))</f>
        <v/>
      </c>
      <c r="AD247" s="28">
        <f>IF(A247="","",IF(AA247="Rejected",IF(AB247&lt;&gt;"","REJECTED","ADD REASON"),IF(AND(B247&lt;&gt;"",C247&lt;&gt;"",D247&lt;&gt;"",E247&lt;&gt;"",F247&lt;&gt;"",G247&lt;&gt;"",H247&lt;&gt;"",J247&lt;&gt;"",K247&lt;&gt;"",N247&lt;&gt;"",O247&lt;&gt;"",P247&lt;&gt;"",Q247&lt;&gt;"",R247&lt;&gt;"",S247&lt;&gt;"",T247&lt;&gt;"",V247&lt;&gt;"",W247&lt;&gt;"",X247&lt;&gt;"",Y247&lt;&gt;""),"COMPLETE","MISSING FIELDS")))</f>
        <v/>
      </c>
    </row>
    <row r="248" ht="15" customHeight="1" s="15">
      <c r="A248" s="27" t="inlineStr">
        <is>
          <t>LEAD-0244</t>
        </is>
      </c>
      <c r="B248" s="27" t="inlineStr">
        <is>
          <t>Finn Stanhope</t>
        </is>
      </c>
      <c r="C248" s="27" t="inlineStr">
        <is>
          <t>Podcaster</t>
        </is>
      </c>
      <c r="D248" s="27" t="inlineStr">
        <is>
          <t>US</t>
        </is>
      </c>
      <c r="E248" s="27" t="inlineStr">
        <is>
          <t>English</t>
        </is>
      </c>
      <c r="F248" s="27" t="inlineStr">
        <is>
          <t>Apple Podcasts</t>
        </is>
      </c>
      <c r="G248" s="27" t="inlineStr">
        <is>
          <t>https://podcasts.apple.com/us/podcast/finnstanhope/id1000244</t>
        </is>
      </c>
      <c r="H248" s="27" t="inlineStr">
        <is>
          <t>AP-US-1000244</t>
        </is>
      </c>
      <c r="I248" s="27" t="inlineStr">
        <is>
          <t>240,000</t>
        </is>
      </c>
      <c r="J248" s="27" t="inlineStr">
        <is>
          <t>2026-10-14</t>
        </is>
      </c>
      <c r="K248" s="27" t="inlineStr">
        <is>
          <t>https://finnstanhope.com/episodes/45</t>
        </is>
      </c>
      <c r="L248" s="27" t="n">
        <v>12</v>
      </c>
      <c r="M248" s="27" t="n">
        <v>26</v>
      </c>
      <c r="N248" s="27" t="inlineStr">
        <is>
          <t>Affiliate</t>
        </is>
      </c>
      <c r="O248" s="27" t="inlineStr">
        <is>
          <t>https://finnstanhope.com/resources</t>
        </is>
      </c>
      <c r="P248" s="27" t="inlineStr">
        <is>
          <t>Inconsistent Cross-Platform Publishing</t>
        </is>
      </c>
      <c r="Q248" s="27" t="inlineStr">
        <is>
          <t>https://finnstanhope.com/highlights</t>
        </is>
      </c>
      <c r="R248" s="27" t="inlineStr">
        <is>
          <t>Email</t>
        </is>
      </c>
      <c r="S248" s="27" t="inlineStr">
        <is>
          <t>contact@finnstanhope.com</t>
        </is>
      </c>
      <c r="T248" s="27" t="inlineStr">
        <is>
          <t>https://finnstanhope.com/contact</t>
        </is>
      </c>
      <c r="U248" s="27" t="inlineStr">
        <is>
          <t>LinkedIn</t>
        </is>
      </c>
      <c r="V248" s="27" t="inlineStr">
        <is>
          <t>leadership &amp; team ops frameworks, specifically regarding episode 45 on Leadership &amp; Team Ops workflow optimization</t>
        </is>
      </c>
      <c r="W248" s="27" t="inlineStr">
        <is>
          <t>Hi Finn,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48" s="27" t="inlineStr">
        <is>
          <t>2026-10-18</t>
        </is>
      </c>
      <c r="Y248" s="27" t="inlineStr">
        <is>
          <t>B</t>
        </is>
      </c>
      <c r="Z248" s="27" t="n">
        <v>88.5</v>
      </c>
      <c r="AA248" s="27" t="inlineStr">
        <is>
          <t>Qualified</t>
        </is>
      </c>
      <c r="AB248" s="27" t="inlineStr"/>
      <c r="AC248" s="28">
        <f>IF(A248="","",IF(COUNTIF($H$5:$H$1004,H248)&gt;1,"DUPLICATE","UNIQUE"))</f>
        <v/>
      </c>
      <c r="AD248" s="28">
        <f>IF(A248="","",IF(AA248="Rejected",IF(AB248&lt;&gt;"","REJECTED","ADD REASON"),IF(AND(B248&lt;&gt;"",C248&lt;&gt;"",D248&lt;&gt;"",E248&lt;&gt;"",F248&lt;&gt;"",G248&lt;&gt;"",H248&lt;&gt;"",J248&lt;&gt;"",K248&lt;&gt;"",N248&lt;&gt;"",O248&lt;&gt;"",P248&lt;&gt;"",Q248&lt;&gt;"",R248&lt;&gt;"",S248&lt;&gt;"",T248&lt;&gt;"",V248&lt;&gt;"",W248&lt;&gt;"",X248&lt;&gt;"",Y248&lt;&gt;""),"COMPLETE","MISSING FIELDS")))</f>
        <v/>
      </c>
    </row>
    <row r="249" ht="15" customHeight="1" s="15">
      <c r="A249" s="27" t="inlineStr">
        <is>
          <t>LEAD-0245</t>
        </is>
      </c>
      <c r="B249" s="27" t="inlineStr">
        <is>
          <t>Finn Thackery</t>
        </is>
      </c>
      <c r="C249" s="27" t="inlineStr">
        <is>
          <t>Expert-Led Creator</t>
        </is>
      </c>
      <c r="D249" s="27" t="inlineStr">
        <is>
          <t>US</t>
        </is>
      </c>
      <c r="E249" s="27" t="inlineStr">
        <is>
          <t>English</t>
        </is>
      </c>
      <c r="F249" s="27" t="inlineStr">
        <is>
          <t>LinkedIn</t>
        </is>
      </c>
      <c r="G249" s="27" t="inlineStr">
        <is>
          <t>https://www.linkedin.com/in/finnthackery</t>
        </is>
      </c>
      <c r="H249" s="27" t="inlineStr">
        <is>
          <t>LI-finnthackery-0245</t>
        </is>
      </c>
      <c r="I249" s="27" t="inlineStr">
        <is>
          <t>36,000</t>
        </is>
      </c>
      <c r="J249" s="27" t="inlineStr">
        <is>
          <t>2026-10-15</t>
        </is>
      </c>
      <c r="K249" s="27" t="inlineStr">
        <is>
          <t>https://finnthackery.com/posts/96</t>
        </is>
      </c>
      <c r="L249" s="27" t="n">
        <v>13</v>
      </c>
      <c r="M249" s="27" t="n">
        <v>27</v>
      </c>
      <c r="N249" s="27" t="inlineStr">
        <is>
          <t>Course</t>
        </is>
      </c>
      <c r="O249" s="27" t="inlineStr">
        <is>
          <t>https://finnthackery.com/academy</t>
        </is>
      </c>
      <c r="P249" s="27" t="inlineStr">
        <is>
          <t>Editing Backlog &amp; Team Workflow Overhead</t>
        </is>
      </c>
      <c r="Q249" s="27" t="inlineStr">
        <is>
          <t>https://finnthackery.com/highlights</t>
        </is>
      </c>
      <c r="R249" s="27" t="inlineStr">
        <is>
          <t>LinkedIn</t>
        </is>
      </c>
      <c r="S249" s="27" t="inlineStr">
        <is>
          <t>https://linkedin.com/in/finnthackery</t>
        </is>
      </c>
      <c r="T249" s="27" t="inlineStr">
        <is>
          <t>https://finnthackery.com/about</t>
        </is>
      </c>
      <c r="U249" s="27" t="inlineStr">
        <is>
          <t>Email</t>
        </is>
      </c>
      <c r="V249" s="27" t="inlineStr">
        <is>
          <t>b2b marketing &amp; sales frameworks, specifically regarding episode 46 on B2B Marketing &amp; Sales workflow optimization</t>
        </is>
      </c>
      <c r="W249" s="27" t="inlineStr">
        <is>
          <t>Hi Finn,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49" s="27" t="inlineStr">
        <is>
          <t>2026-10-18</t>
        </is>
      </c>
      <c r="Y249" s="27" t="inlineStr">
        <is>
          <t>B</t>
        </is>
      </c>
      <c r="Z249" s="27" t="n">
        <v>88.40000000000001</v>
      </c>
      <c r="AA249" s="27" t="inlineStr">
        <is>
          <t>Qualified</t>
        </is>
      </c>
      <c r="AB249" s="27" t="inlineStr"/>
      <c r="AC249" s="28">
        <f>IF(A249="","",IF(COUNTIF($H$5:$H$1004,H249)&gt;1,"DUPLICATE","UNIQUE"))</f>
        <v/>
      </c>
      <c r="AD249" s="28">
        <f>IF(A249="","",IF(AA249="Rejected",IF(AB249&lt;&gt;"","REJECTED","ADD REASON"),IF(AND(B249&lt;&gt;"",C249&lt;&gt;"",D249&lt;&gt;"",E249&lt;&gt;"",F249&lt;&gt;"",G249&lt;&gt;"",H249&lt;&gt;"",J249&lt;&gt;"",K249&lt;&gt;"",N249&lt;&gt;"",O249&lt;&gt;"",P249&lt;&gt;"",Q249&lt;&gt;"",R249&lt;&gt;"",S249&lt;&gt;"",T249&lt;&gt;"",V249&lt;&gt;"",W249&lt;&gt;"",X249&lt;&gt;"",Y249&lt;&gt;""),"COMPLETE","MISSING FIELDS")))</f>
        <v/>
      </c>
    </row>
    <row r="250" ht="15" customHeight="1" s="15">
      <c r="A250" s="27" t="inlineStr">
        <is>
          <t>LEAD-0246</t>
        </is>
      </c>
      <c r="B250" s="27" t="inlineStr">
        <is>
          <t>Finn Underwood</t>
        </is>
      </c>
      <c r="C250" s="27" t="inlineStr">
        <is>
          <t>YouTuber</t>
        </is>
      </c>
      <c r="D250" s="27" t="inlineStr">
        <is>
          <t>US</t>
        </is>
      </c>
      <c r="E250" s="27" t="inlineStr">
        <is>
          <t>English</t>
        </is>
      </c>
      <c r="F250" s="27" t="inlineStr">
        <is>
          <t>YouTube</t>
        </is>
      </c>
      <c r="G250" s="27" t="inlineStr">
        <is>
          <t>https://www.youtube.com/@finnunderwood</t>
        </is>
      </c>
      <c r="H250" s="27" t="inlineStr">
        <is>
          <t>UCUS00246362303</t>
        </is>
      </c>
      <c r="I250" s="27" t="inlineStr">
        <is>
          <t>40,000</t>
        </is>
      </c>
      <c r="J250" s="27" t="inlineStr">
        <is>
          <t>2026-10-16</t>
        </is>
      </c>
      <c r="K250" s="27" t="inlineStr">
        <is>
          <t>https://www.youtube.com/watch?v=us00246</t>
        </is>
      </c>
      <c r="L250" s="27" t="n">
        <v>14</v>
      </c>
      <c r="M250" s="27" t="n">
        <v>28</v>
      </c>
      <c r="N250" s="27" t="inlineStr">
        <is>
          <t>Sponsor</t>
        </is>
      </c>
      <c r="O250" s="27" t="inlineStr">
        <is>
          <t>https://finnunderwood.com/partners</t>
        </is>
      </c>
      <c r="P250" s="27" t="inlineStr">
        <is>
          <t>Multilingual Audio Dubbing</t>
        </is>
      </c>
      <c r="Q250" s="27" t="inlineStr">
        <is>
          <t>https://finnunderwood.com/highlights</t>
        </is>
      </c>
      <c r="R250" s="27" t="inlineStr">
        <is>
          <t>X (Twitter)</t>
        </is>
      </c>
      <c r="S250" s="27" t="inlineStr">
        <is>
          <t>https://x.com/finnunderwood</t>
        </is>
      </c>
      <c r="T250" s="27" t="inlineStr">
        <is>
          <t>https://finnunderwood.com/links</t>
        </is>
      </c>
      <c r="U250" s="27" t="inlineStr">
        <is>
          <t>LinkedIn</t>
        </is>
      </c>
      <c r="V250" s="27" t="inlineStr">
        <is>
          <t>finance &amp; wealth engineering frameworks, specifically regarding episode 47 on Finance &amp; Wealth Engineering workflow optimization</t>
        </is>
      </c>
      <c r="W250" s="27" t="inlineStr">
        <is>
          <t>Hi Finn,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50" s="27" t="inlineStr">
        <is>
          <t>2026-10-18</t>
        </is>
      </c>
      <c r="Y250" s="27" t="inlineStr">
        <is>
          <t>B</t>
        </is>
      </c>
      <c r="Z250" s="27" t="n">
        <v>88.3</v>
      </c>
      <c r="AA250" s="27" t="inlineStr">
        <is>
          <t>Qualified</t>
        </is>
      </c>
      <c r="AB250" s="27" t="inlineStr"/>
      <c r="AC250" s="28">
        <f>IF(A250="","",IF(COUNTIF($H$5:$H$1004,H250)&gt;1,"DUPLICATE","UNIQUE"))</f>
        <v/>
      </c>
      <c r="AD250" s="28">
        <f>IF(A250="","",IF(AA250="Rejected",IF(AB250&lt;&gt;"","REJECTED","ADD REASON"),IF(AND(B250&lt;&gt;"",C250&lt;&gt;"",D250&lt;&gt;"",E250&lt;&gt;"",F250&lt;&gt;"",G250&lt;&gt;"",H250&lt;&gt;"",J250&lt;&gt;"",K250&lt;&gt;"",N250&lt;&gt;"",O250&lt;&gt;"",P250&lt;&gt;"",Q250&lt;&gt;"",R250&lt;&gt;"",S250&lt;&gt;"",T250&lt;&gt;"",V250&lt;&gt;"",W250&lt;&gt;"",X250&lt;&gt;"",Y250&lt;&gt;""),"COMPLETE","MISSING FIELDS")))</f>
        <v/>
      </c>
    </row>
    <row r="251" ht="15" customHeight="1" s="15">
      <c r="A251" s="27" t="inlineStr">
        <is>
          <t>LEAD-0247</t>
        </is>
      </c>
      <c r="B251" s="27" t="inlineStr">
        <is>
          <t>Finn Vanguard</t>
        </is>
      </c>
      <c r="C251" s="27" t="inlineStr">
        <is>
          <t>Podcaster</t>
        </is>
      </c>
      <c r="D251" s="27" t="inlineStr">
        <is>
          <t>US</t>
        </is>
      </c>
      <c r="E251" s="27" t="inlineStr">
        <is>
          <t>English</t>
        </is>
      </c>
      <c r="F251" s="27" t="inlineStr">
        <is>
          <t>Apple Podcasts</t>
        </is>
      </c>
      <c r="G251" s="27" t="inlineStr">
        <is>
          <t>https://podcasts.apple.com/us/podcast/finnvanguard/id1000247</t>
        </is>
      </c>
      <c r="H251" s="27" t="inlineStr">
        <is>
          <t>AP-US-1000247</t>
        </is>
      </c>
      <c r="I251" s="27" t="inlineStr">
        <is>
          <t>276,000</t>
        </is>
      </c>
      <c r="J251" s="27" t="inlineStr">
        <is>
          <t>2026-10-17</t>
        </is>
      </c>
      <c r="K251" s="27" t="inlineStr">
        <is>
          <t>https://finnvanguard.com/episodes/48</t>
        </is>
      </c>
      <c r="L251" s="27" t="n">
        <v>15</v>
      </c>
      <c r="M251" s="27" t="n">
        <v>29</v>
      </c>
      <c r="N251" s="27" t="inlineStr">
        <is>
          <t>Membership</t>
        </is>
      </c>
      <c r="O251" s="27" t="inlineStr">
        <is>
          <t>https://finnvanguard.com/community</t>
        </is>
      </c>
      <c r="P251" s="27" t="inlineStr">
        <is>
          <t>Multilingual Audio Dubbing</t>
        </is>
      </c>
      <c r="Q251" s="27" t="inlineStr">
        <is>
          <t>https://finnvanguard.com/highlights</t>
        </is>
      </c>
      <c r="R251" s="27" t="inlineStr">
        <is>
          <t>Email</t>
        </is>
      </c>
      <c r="S251" s="27" t="inlineStr">
        <is>
          <t>hello@finnvanguard.com</t>
        </is>
      </c>
      <c r="T251" s="27" t="inlineStr">
        <is>
          <t>https://finnvanguard.com/work-with-me</t>
        </is>
      </c>
      <c r="U251" s="27" t="inlineStr">
        <is>
          <t>LinkedIn</t>
        </is>
      </c>
      <c r="V251" s="27" t="inlineStr">
        <is>
          <t>health &amp; longevity science frameworks, specifically regarding episode 48 on Health &amp; Longevity Science workflow optimization</t>
        </is>
      </c>
      <c r="W251" s="27" t="inlineStr">
        <is>
          <t>Hi Finn,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51" s="27" t="inlineStr">
        <is>
          <t>2026-10-18</t>
        </is>
      </c>
      <c r="Y251" s="27" t="inlineStr">
        <is>
          <t>B</t>
        </is>
      </c>
      <c r="Z251" s="27" t="n">
        <v>88.2</v>
      </c>
      <c r="AA251" s="27" t="inlineStr">
        <is>
          <t>Qualified</t>
        </is>
      </c>
      <c r="AB251" s="27" t="inlineStr"/>
      <c r="AC251" s="28">
        <f>IF(A251="","",IF(COUNTIF($H$5:$H$1004,H251)&gt;1,"DUPLICATE","UNIQUE"))</f>
        <v/>
      </c>
      <c r="AD251" s="28">
        <f>IF(A251="","",IF(AA251="Rejected",IF(AB251&lt;&gt;"","REJECTED","ADD REASON"),IF(AND(B251&lt;&gt;"",C251&lt;&gt;"",D251&lt;&gt;"",E251&lt;&gt;"",F251&lt;&gt;"",G251&lt;&gt;"",H251&lt;&gt;"",J251&lt;&gt;"",K251&lt;&gt;"",N251&lt;&gt;"",O251&lt;&gt;"",P251&lt;&gt;"",Q251&lt;&gt;"",R251&lt;&gt;"",S251&lt;&gt;"",T251&lt;&gt;"",V251&lt;&gt;"",W251&lt;&gt;"",X251&lt;&gt;"",Y251&lt;&gt;""),"COMPLETE","MISSING FIELDS")))</f>
        <v/>
      </c>
    </row>
    <row r="252" ht="15" customHeight="1" s="15">
      <c r="A252" s="27" t="inlineStr">
        <is>
          <t>LEAD-0248</t>
        </is>
      </c>
      <c r="B252" s="27" t="inlineStr">
        <is>
          <t>Finn Waverly</t>
        </is>
      </c>
      <c r="C252" s="27" t="inlineStr">
        <is>
          <t>YouTuber</t>
        </is>
      </c>
      <c r="D252" s="27" t="inlineStr">
        <is>
          <t>US</t>
        </is>
      </c>
      <c r="E252" s="27" t="inlineStr">
        <is>
          <t>English</t>
        </is>
      </c>
      <c r="F252" s="27" t="inlineStr">
        <is>
          <t>YouTube</t>
        </is>
      </c>
      <c r="G252" s="27" t="inlineStr">
        <is>
          <t>https://www.youtube.com/@finnwaverly</t>
        </is>
      </c>
      <c r="H252" s="27" t="inlineStr">
        <is>
          <t>UCUS00248450871</t>
        </is>
      </c>
      <c r="I252" s="27" t="inlineStr">
        <is>
          <t>80,000</t>
        </is>
      </c>
      <c r="J252" s="27" t="inlineStr">
        <is>
          <t>2026-10-10</t>
        </is>
      </c>
      <c r="K252" s="27" t="inlineStr">
        <is>
          <t>https://www.youtube.com/watch?v=us00248</t>
        </is>
      </c>
      <c r="L252" s="27" t="n">
        <v>16</v>
      </c>
      <c r="M252" s="27" t="n">
        <v>30</v>
      </c>
      <c r="N252" s="27" t="inlineStr">
        <is>
          <t>Product</t>
        </is>
      </c>
      <c r="O252" s="27" t="inlineStr">
        <is>
          <t>https://finnwaverly.com/shop</t>
        </is>
      </c>
      <c r="P252" s="27" t="inlineStr">
        <is>
          <t>Missing Video Captions &amp; Retention Clips</t>
        </is>
      </c>
      <c r="Q252" s="27" t="inlineStr">
        <is>
          <t>https://finnwaverly.com/highlights</t>
        </is>
      </c>
      <c r="R252" s="27" t="inlineStr">
        <is>
          <t>Email</t>
        </is>
      </c>
      <c r="S252" s="27" t="inlineStr">
        <is>
          <t>contact@finnwaverly.com</t>
        </is>
      </c>
      <c r="T252" s="27" t="inlineStr">
        <is>
          <t>https://finnwaverly.com/contact</t>
        </is>
      </c>
      <c r="U252" s="27" t="inlineStr">
        <is>
          <t>LinkedIn</t>
        </is>
      </c>
      <c r="V252" s="27" t="inlineStr">
        <is>
          <t>education &amp; applied coding frameworks, specifically regarding episode 49 on Education &amp; Applied Coding workflow optimization</t>
        </is>
      </c>
      <c r="W252" s="27" t="inlineStr">
        <is>
          <t>Hi Finn,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52" s="27" t="inlineStr">
        <is>
          <t>2026-10-18</t>
        </is>
      </c>
      <c r="Y252" s="27" t="inlineStr">
        <is>
          <t>B</t>
        </is>
      </c>
      <c r="Z252" s="27" t="n">
        <v>88.2</v>
      </c>
      <c r="AA252" s="27" t="inlineStr">
        <is>
          <t>Qualified</t>
        </is>
      </c>
      <c r="AB252" s="27" t="inlineStr"/>
      <c r="AC252" s="28">
        <f>IF(A252="","",IF(COUNTIF($H$5:$H$1004,H252)&gt;1,"DUPLICATE","UNIQUE"))</f>
        <v/>
      </c>
      <c r="AD252" s="28">
        <f>IF(A252="","",IF(AA252="Rejected",IF(AB252&lt;&gt;"","REJECTED","ADD REASON"),IF(AND(B252&lt;&gt;"",C252&lt;&gt;"",D252&lt;&gt;"",E252&lt;&gt;"",F252&lt;&gt;"",G252&lt;&gt;"",H252&lt;&gt;"",J252&lt;&gt;"",K252&lt;&gt;"",N252&lt;&gt;"",O252&lt;&gt;"",P252&lt;&gt;"",Q252&lt;&gt;"",R252&lt;&gt;"",S252&lt;&gt;"",T252&lt;&gt;"",V252&lt;&gt;"",W252&lt;&gt;"",X252&lt;&gt;"",Y252&lt;&gt;""),"COMPLETE","MISSING FIELDS")))</f>
        <v/>
      </c>
    </row>
    <row r="253" ht="15" customHeight="1" s="15">
      <c r="A253" s="27" t="inlineStr">
        <is>
          <t>LEAD-0249</t>
        </is>
      </c>
      <c r="B253" s="27" t="inlineStr">
        <is>
          <t>Finn Yardley</t>
        </is>
      </c>
      <c r="C253" s="27" t="inlineStr">
        <is>
          <t>Podcaster</t>
        </is>
      </c>
      <c r="D253" s="27" t="inlineStr">
        <is>
          <t>US</t>
        </is>
      </c>
      <c r="E253" s="27" t="inlineStr">
        <is>
          <t>English</t>
        </is>
      </c>
      <c r="F253" s="27" t="inlineStr">
        <is>
          <t>Apple Podcasts</t>
        </is>
      </c>
      <c r="G253" s="27" t="inlineStr">
        <is>
          <t>https://podcasts.apple.com/us/podcast/finnyardley/id1000249</t>
        </is>
      </c>
      <c r="H253" s="27" t="inlineStr">
        <is>
          <t>AP-US-1000249</t>
        </is>
      </c>
      <c r="I253" s="27" t="inlineStr">
        <is>
          <t>300,000</t>
        </is>
      </c>
      <c r="J253" s="27" t="inlineStr">
        <is>
          <t>2026-10-11</t>
        </is>
      </c>
      <c r="K253" s="27" t="inlineStr">
        <is>
          <t>https://finnyardley.com/episodes/50</t>
        </is>
      </c>
      <c r="L253" s="27" t="n">
        <v>17</v>
      </c>
      <c r="M253" s="27" t="n">
        <v>31</v>
      </c>
      <c r="N253" s="27" t="inlineStr">
        <is>
          <t>Consulting</t>
        </is>
      </c>
      <c r="O253" s="27" t="inlineStr">
        <is>
          <t>https://finnyardley.com/advisory</t>
        </is>
      </c>
      <c r="P253" s="27" t="inlineStr">
        <is>
          <t>Shorts Repurposing Bottleneck</t>
        </is>
      </c>
      <c r="Q253" s="27" t="inlineStr">
        <is>
          <t>https://finnyardley.com/highlights</t>
        </is>
      </c>
      <c r="R253" s="27" t="inlineStr">
        <is>
          <t>LinkedIn</t>
        </is>
      </c>
      <c r="S253" s="27" t="inlineStr">
        <is>
          <t>https://linkedin.com/in/finnyardley</t>
        </is>
      </c>
      <c r="T253" s="27" t="inlineStr">
        <is>
          <t>https://finnyardley.com/about</t>
        </is>
      </c>
      <c r="U253" s="27" t="inlineStr">
        <is>
          <t>Email</t>
        </is>
      </c>
      <c r="V253" s="27" t="inlineStr">
        <is>
          <t>e-commerce &amp; digital brands frameworks, specifically regarding episode 50 on E-Commerce &amp; Digital Brands workflow optimization</t>
        </is>
      </c>
      <c r="W253" s="27" t="inlineStr">
        <is>
          <t>Hi Finn,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53" s="27" t="inlineStr">
        <is>
          <t>2026-10-18</t>
        </is>
      </c>
      <c r="Y253" s="27" t="inlineStr">
        <is>
          <t>B</t>
        </is>
      </c>
      <c r="Z253" s="27" t="n">
        <v>88.09999999999999</v>
      </c>
      <c r="AA253" s="27" t="inlineStr">
        <is>
          <t>Qualified</t>
        </is>
      </c>
      <c r="AB253" s="27" t="inlineStr"/>
      <c r="AC253" s="28">
        <f>IF(A253="","",IF(COUNTIF($H$5:$H$1004,H253)&gt;1,"DUPLICATE","UNIQUE"))</f>
        <v/>
      </c>
      <c r="AD253" s="28">
        <f>IF(A253="","",IF(AA253="Rejected",IF(AB253&lt;&gt;"","REJECTED","ADD REASON"),IF(AND(B253&lt;&gt;"",C253&lt;&gt;"",D253&lt;&gt;"",E253&lt;&gt;"",F253&lt;&gt;"",G253&lt;&gt;"",H253&lt;&gt;"",J253&lt;&gt;"",K253&lt;&gt;"",N253&lt;&gt;"",O253&lt;&gt;"",P253&lt;&gt;"",Q253&lt;&gt;"",R253&lt;&gt;"",S253&lt;&gt;"",T253&lt;&gt;"",V253&lt;&gt;"",W253&lt;&gt;"",X253&lt;&gt;"",Y253&lt;&gt;""),"COMPLETE","MISSING FIELDS")))</f>
        <v/>
      </c>
    </row>
    <row r="254" ht="15" customHeight="1" s="15">
      <c r="A254" s="27" t="inlineStr">
        <is>
          <t>LEAD-0250</t>
        </is>
      </c>
      <c r="B254" s="27" t="inlineStr">
        <is>
          <t>Finn Zimmerman</t>
        </is>
      </c>
      <c r="C254" s="27" t="inlineStr">
        <is>
          <t>YouTuber</t>
        </is>
      </c>
      <c r="D254" s="27" t="inlineStr">
        <is>
          <t>US</t>
        </is>
      </c>
      <c r="E254" s="27" t="inlineStr">
        <is>
          <t>English</t>
        </is>
      </c>
      <c r="F254" s="27" t="inlineStr">
        <is>
          <t>YouTube</t>
        </is>
      </c>
      <c r="G254" s="27" t="inlineStr">
        <is>
          <t>https://www.youtube.com/@finnzimmerman</t>
        </is>
      </c>
      <c r="H254" s="27" t="inlineStr">
        <is>
          <t>UCUS00250300807</t>
        </is>
      </c>
      <c r="I254" s="27" t="inlineStr">
        <is>
          <t>120,000</t>
        </is>
      </c>
      <c r="J254" s="27" t="inlineStr">
        <is>
          <t>2026-10-12</t>
        </is>
      </c>
      <c r="K254" s="27" t="inlineStr">
        <is>
          <t>https://www.youtube.com/watch?v=us00250</t>
        </is>
      </c>
      <c r="L254" s="27" t="n">
        <v>8</v>
      </c>
      <c r="M254" s="27" t="n">
        <v>32</v>
      </c>
      <c r="N254" s="27" t="inlineStr">
        <is>
          <t>Newsletter Subscription</t>
        </is>
      </c>
      <c r="O254" s="27" t="inlineStr">
        <is>
          <t>https://finnzimmerman.com/subscribe</t>
        </is>
      </c>
      <c r="P254" s="27" t="inlineStr">
        <is>
          <t>Shorts Repurposing Bottleneck</t>
        </is>
      </c>
      <c r="Q254" s="27" t="inlineStr">
        <is>
          <t>https://finnzimmerman.com/highlights</t>
        </is>
      </c>
      <c r="R254" s="27" t="inlineStr">
        <is>
          <t>X (Twitter)</t>
        </is>
      </c>
      <c r="S254" s="27" t="inlineStr">
        <is>
          <t>https://x.com/finnzimmerman</t>
        </is>
      </c>
      <c r="T254" s="27" t="inlineStr">
        <is>
          <t>https://finnzimmerman.com/links</t>
        </is>
      </c>
      <c r="U254" s="27" t="inlineStr">
        <is>
          <t>LinkedIn</t>
        </is>
      </c>
      <c r="V254" s="27" t="inlineStr">
        <is>
          <t>tech &amp; ai frameworks, specifically regarding episode 1 on Tech &amp; AI workflow optimization</t>
        </is>
      </c>
      <c r="W254" s="27" t="inlineStr">
        <is>
          <t>Hi Finn,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54" s="27" t="inlineStr">
        <is>
          <t>2026-10-18</t>
        </is>
      </c>
      <c r="Y254" s="27" t="inlineStr">
        <is>
          <t>B</t>
        </is>
      </c>
      <c r="Z254" s="27" t="n">
        <v>88</v>
      </c>
      <c r="AA254" s="27" t="inlineStr">
        <is>
          <t>Qualified</t>
        </is>
      </c>
      <c r="AB254" s="27" t="inlineStr"/>
      <c r="AC254" s="28">
        <f>IF(A254="","",IF(COUNTIF($H$5:$H$1004,H254)&gt;1,"DUPLICATE","UNIQUE"))</f>
        <v/>
      </c>
      <c r="AD254" s="28">
        <f>IF(A254="","",IF(AA254="Rejected",IF(AB254&lt;&gt;"","REJECTED","ADD REASON"),IF(AND(B254&lt;&gt;"",C254&lt;&gt;"",D254&lt;&gt;"",E254&lt;&gt;"",F254&lt;&gt;"",G254&lt;&gt;"",H254&lt;&gt;"",J254&lt;&gt;"",K254&lt;&gt;"",N254&lt;&gt;"",O254&lt;&gt;"",P254&lt;&gt;"",Q254&lt;&gt;"",R254&lt;&gt;"",S254&lt;&gt;"",T254&lt;&gt;"",V254&lt;&gt;"",W254&lt;&gt;"",X254&lt;&gt;"",Y254&lt;&gt;""),"COMPLETE","MISSING FIELDS")))</f>
        <v/>
      </c>
    </row>
    <row r="255" ht="15" customHeight="1" s="15">
      <c r="A255" s="27" t="inlineStr">
        <is>
          <t>LEAD-0251</t>
        </is>
      </c>
      <c r="B255" s="27" t="inlineStr">
        <is>
          <t>Finn Sterling</t>
        </is>
      </c>
      <c r="C255" s="27" t="inlineStr">
        <is>
          <t>Podcaster</t>
        </is>
      </c>
      <c r="D255" s="27" t="inlineStr">
        <is>
          <t>US</t>
        </is>
      </c>
      <c r="E255" s="27" t="inlineStr">
        <is>
          <t>English</t>
        </is>
      </c>
      <c r="F255" s="27" t="inlineStr">
        <is>
          <t>Apple Podcasts</t>
        </is>
      </c>
      <c r="G255" s="27" t="inlineStr">
        <is>
          <t>https://podcasts.apple.com/us/podcast/finnsterling/id1000251</t>
        </is>
      </c>
      <c r="H255" s="27" t="inlineStr">
        <is>
          <t>AP-US-1000251</t>
        </is>
      </c>
      <c r="I255" s="27" t="inlineStr">
        <is>
          <t>24,000</t>
        </is>
      </c>
      <c r="J255" s="27" t="inlineStr">
        <is>
          <t>2026-10-13</t>
        </is>
      </c>
      <c r="K255" s="27" t="inlineStr">
        <is>
          <t>https://finnsterling.com/episodes/52</t>
        </is>
      </c>
      <c r="L255" s="27" t="n">
        <v>9</v>
      </c>
      <c r="M255" s="27" t="n">
        <v>33</v>
      </c>
      <c r="N255" s="27" t="inlineStr">
        <is>
          <t>Affiliate</t>
        </is>
      </c>
      <c r="O255" s="27" t="inlineStr">
        <is>
          <t>https://finnsterling.com/resources</t>
        </is>
      </c>
      <c r="P255" s="27" t="inlineStr">
        <is>
          <t>Missing Video Captions &amp; Retention Clips</t>
        </is>
      </c>
      <c r="Q255" s="27" t="inlineStr">
        <is>
          <t>https://finnsterling.com/highlights</t>
        </is>
      </c>
      <c r="R255" s="27" t="inlineStr">
        <is>
          <t>Email</t>
        </is>
      </c>
      <c r="S255" s="27" t="inlineStr">
        <is>
          <t>hello@finnsterling.com</t>
        </is>
      </c>
      <c r="T255" s="27" t="inlineStr">
        <is>
          <t>https://finnsterling.com/work-with-me</t>
        </is>
      </c>
      <c r="U255" s="27" t="inlineStr">
        <is>
          <t>LinkedIn</t>
        </is>
      </c>
      <c r="V255" s="27" t="inlineStr">
        <is>
          <t>saas &amp; product growth frameworks, specifically regarding episode 2 on SaaS &amp; Product Growth workflow optimization</t>
        </is>
      </c>
      <c r="W255" s="27" t="inlineStr">
        <is>
          <t>Hi Finn, loved your recent piece on 'saas &amp; product growth frameworks, specifically regarding episode 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55" s="27" t="inlineStr">
        <is>
          <t>2026-10-18</t>
        </is>
      </c>
      <c r="Y255" s="27" t="inlineStr">
        <is>
          <t>C</t>
        </is>
      </c>
      <c r="Z255" s="27" t="n">
        <v>80.90000000000001</v>
      </c>
      <c r="AA255" s="27" t="inlineStr">
        <is>
          <t>Qualified</t>
        </is>
      </c>
      <c r="AB255" s="27" t="inlineStr"/>
      <c r="AC255" s="28">
        <f>IF(A255="","",IF(COUNTIF($H$5:$H$1004,H255)&gt;1,"DUPLICATE","UNIQUE"))</f>
        <v/>
      </c>
      <c r="AD255" s="28">
        <f>IF(A255="","",IF(AA255="Rejected",IF(AB255&lt;&gt;"","REJECTED","ADD REASON"),IF(AND(B255&lt;&gt;"",C255&lt;&gt;"",D255&lt;&gt;"",E255&lt;&gt;"",F255&lt;&gt;"",G255&lt;&gt;"",H255&lt;&gt;"",J255&lt;&gt;"",K255&lt;&gt;"",N255&lt;&gt;"",O255&lt;&gt;"",P255&lt;&gt;"",Q255&lt;&gt;"",R255&lt;&gt;"",S255&lt;&gt;"",T255&lt;&gt;"",V255&lt;&gt;"",W255&lt;&gt;"",X255&lt;&gt;"",Y255&lt;&gt;""),"COMPLETE","MISSING FIELDS")))</f>
        <v/>
      </c>
    </row>
    <row r="256" ht="15" customHeight="1" s="15">
      <c r="A256" s="27" t="inlineStr">
        <is>
          <t>LEAD-0252</t>
        </is>
      </c>
      <c r="B256" s="27" t="inlineStr">
        <is>
          <t>Finn Cross</t>
        </is>
      </c>
      <c r="C256" s="27" t="inlineStr">
        <is>
          <t>Expert-Led Creator</t>
        </is>
      </c>
      <c r="D256" s="27" t="inlineStr">
        <is>
          <t>US</t>
        </is>
      </c>
      <c r="E256" s="27" t="inlineStr">
        <is>
          <t>English</t>
        </is>
      </c>
      <c r="F256" s="27" t="inlineStr">
        <is>
          <t>YouTube</t>
        </is>
      </c>
      <c r="G256" s="27" t="inlineStr">
        <is>
          <t>https://www.youtube.com/@finncross</t>
        </is>
      </c>
      <c r="H256" s="27" t="inlineStr">
        <is>
          <t>UCUS00252427321</t>
        </is>
      </c>
      <c r="I256" s="27" t="inlineStr">
        <is>
          <t>160,000</t>
        </is>
      </c>
      <c r="J256" s="27" t="inlineStr">
        <is>
          <t>2026-10-14</t>
        </is>
      </c>
      <c r="K256" s="27" t="inlineStr">
        <is>
          <t>https://www.youtube.com/watch?v=us00252</t>
        </is>
      </c>
      <c r="L256" s="27" t="n">
        <v>10</v>
      </c>
      <c r="M256" s="27" t="n">
        <v>16</v>
      </c>
      <c r="N256" s="27" t="inlineStr">
        <is>
          <t>Course</t>
        </is>
      </c>
      <c r="O256" s="27" t="inlineStr">
        <is>
          <t>https://finncross.com/academy</t>
        </is>
      </c>
      <c r="P256" s="27" t="inlineStr">
        <is>
          <t>Editing Backlog &amp; Team Workflow Overhead</t>
        </is>
      </c>
      <c r="Q256" s="27" t="inlineStr">
        <is>
          <t>https://finncross.com/highlights</t>
        </is>
      </c>
      <c r="R256" s="27" t="inlineStr">
        <is>
          <t>Email</t>
        </is>
      </c>
      <c r="S256" s="27" t="inlineStr">
        <is>
          <t>contact@finncross.com</t>
        </is>
      </c>
      <c r="T256" s="27" t="inlineStr">
        <is>
          <t>https://finncross.com/contact</t>
        </is>
      </c>
      <c r="U256" s="27" t="inlineStr">
        <is>
          <t>LinkedIn</t>
        </is>
      </c>
      <c r="V256" s="27" t="inlineStr">
        <is>
          <t>creator business &amp; monetization frameworks, specifically regarding episode 3 on Creator Business &amp; Monetization workflow optimization</t>
        </is>
      </c>
      <c r="W256" s="27" t="inlineStr">
        <is>
          <t>Hi Finn, loved your recent piece on 'creator business &amp; monetization frameworks, specifically regarding episode 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56" s="27" t="inlineStr">
        <is>
          <t>2026-10-18</t>
        </is>
      </c>
      <c r="Y256" s="27" t="inlineStr">
        <is>
          <t>C</t>
        </is>
      </c>
      <c r="Z256" s="27" t="n">
        <v>80.90000000000001</v>
      </c>
      <c r="AA256" s="27" t="inlineStr">
        <is>
          <t>Qualified</t>
        </is>
      </c>
      <c r="AB256" s="27" t="inlineStr"/>
      <c r="AC256" s="28">
        <f>IF(A256="","",IF(COUNTIF($H$5:$H$1004,H256)&gt;1,"DUPLICATE","UNIQUE"))</f>
        <v/>
      </c>
      <c r="AD256" s="28">
        <f>IF(A256="","",IF(AA256="Rejected",IF(AB256&lt;&gt;"","REJECTED","ADD REASON"),IF(AND(B256&lt;&gt;"",C256&lt;&gt;"",D256&lt;&gt;"",E256&lt;&gt;"",F256&lt;&gt;"",G256&lt;&gt;"",H256&lt;&gt;"",J256&lt;&gt;"",K256&lt;&gt;"",N256&lt;&gt;"",O256&lt;&gt;"",P256&lt;&gt;"",Q256&lt;&gt;"",R256&lt;&gt;"",S256&lt;&gt;"",T256&lt;&gt;"",V256&lt;&gt;"",W256&lt;&gt;"",X256&lt;&gt;"",Y256&lt;&gt;""),"COMPLETE","MISSING FIELDS")))</f>
        <v/>
      </c>
    </row>
    <row r="257" ht="15" customHeight="1" s="15">
      <c r="A257" s="27" t="inlineStr">
        <is>
          <t>LEAD-0253</t>
        </is>
      </c>
      <c r="B257" s="27" t="inlineStr">
        <is>
          <t>Finn Vance</t>
        </is>
      </c>
      <c r="C257" s="27" t="inlineStr">
        <is>
          <t>YouTuber</t>
        </is>
      </c>
      <c r="D257" s="27" t="inlineStr">
        <is>
          <t>US</t>
        </is>
      </c>
      <c r="E257" s="27" t="inlineStr">
        <is>
          <t>English</t>
        </is>
      </c>
      <c r="F257" s="27" t="inlineStr">
        <is>
          <t>YouTube</t>
        </is>
      </c>
      <c r="G257" s="27" t="inlineStr">
        <is>
          <t>https://www.youtube.com/@finnvance</t>
        </is>
      </c>
      <c r="H257" s="27" t="inlineStr">
        <is>
          <t>UCUS00253417539</t>
        </is>
      </c>
      <c r="I257" s="27" t="inlineStr">
        <is>
          <t>180,000</t>
        </is>
      </c>
      <c r="J257" s="27" t="inlineStr">
        <is>
          <t>2026-10-15</t>
        </is>
      </c>
      <c r="K257" s="27" t="inlineStr">
        <is>
          <t>https://www.youtube.com/watch?v=us00253</t>
        </is>
      </c>
      <c r="L257" s="27" t="n">
        <v>11</v>
      </c>
      <c r="M257" s="27" t="n">
        <v>17</v>
      </c>
      <c r="N257" s="27" t="inlineStr">
        <is>
          <t>Sponsor</t>
        </is>
      </c>
      <c r="O257" s="27" t="inlineStr">
        <is>
          <t>https://finnvance.com/partners</t>
        </is>
      </c>
      <c r="P257" s="27" t="inlineStr">
        <is>
          <t>Shorts Repurposing Bottleneck</t>
        </is>
      </c>
      <c r="Q257" s="27" t="inlineStr">
        <is>
          <t>https://finnvance.com/highlights</t>
        </is>
      </c>
      <c r="R257" s="27" t="inlineStr">
        <is>
          <t>LinkedIn</t>
        </is>
      </c>
      <c r="S257" s="27" t="inlineStr">
        <is>
          <t>https://linkedin.com/in/finnvance</t>
        </is>
      </c>
      <c r="T257" s="27" t="inlineStr">
        <is>
          <t>https://finnvance.com/about</t>
        </is>
      </c>
      <c r="U257" s="27" t="inlineStr">
        <is>
          <t>Email</t>
        </is>
      </c>
      <c r="V257" s="27" t="inlineStr">
        <is>
          <t>productivity &amp; personal systems frameworks, specifically regarding episode 4 on Productivity &amp; Personal Systems workflow optimization</t>
        </is>
      </c>
      <c r="W257" s="27" t="inlineStr">
        <is>
          <t>Hi Finn, loved your recent piece on 'productivity &amp; personal systems frameworks, specifically regarding episode 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57" s="27" t="inlineStr">
        <is>
          <t>2026-10-18</t>
        </is>
      </c>
      <c r="Y257" s="27" t="inlineStr">
        <is>
          <t>C</t>
        </is>
      </c>
      <c r="Z257" s="27" t="n">
        <v>80.8</v>
      </c>
      <c r="AA257" s="27" t="inlineStr">
        <is>
          <t>Qualified</t>
        </is>
      </c>
      <c r="AB257" s="27" t="inlineStr"/>
      <c r="AC257" s="28">
        <f>IF(A257="","",IF(COUNTIF($H$5:$H$1004,H257)&gt;1,"DUPLICATE","UNIQUE"))</f>
        <v/>
      </c>
      <c r="AD257" s="28">
        <f>IF(A257="","",IF(AA257="Rejected",IF(AB257&lt;&gt;"","REJECTED","ADD REASON"),IF(AND(B257&lt;&gt;"",C257&lt;&gt;"",D257&lt;&gt;"",E257&lt;&gt;"",F257&lt;&gt;"",G257&lt;&gt;"",H257&lt;&gt;"",J257&lt;&gt;"",K257&lt;&gt;"",N257&lt;&gt;"",O257&lt;&gt;"",P257&lt;&gt;"",Q257&lt;&gt;"",R257&lt;&gt;"",S257&lt;&gt;"",T257&lt;&gt;"",V257&lt;&gt;"",W257&lt;&gt;"",X257&lt;&gt;"",Y257&lt;&gt;""),"COMPLETE","MISSING FIELDS")))</f>
        <v/>
      </c>
    </row>
    <row r="258" ht="15" customHeight="1" s="15">
      <c r="A258" s="27" t="inlineStr">
        <is>
          <t>LEAD-0254</t>
        </is>
      </c>
      <c r="B258" s="27" t="inlineStr">
        <is>
          <t>Finn Mercer</t>
        </is>
      </c>
      <c r="C258" s="27" t="inlineStr">
        <is>
          <t>Podcaster</t>
        </is>
      </c>
      <c r="D258" s="27" t="inlineStr">
        <is>
          <t>US</t>
        </is>
      </c>
      <c r="E258" s="27" t="inlineStr">
        <is>
          <t>English</t>
        </is>
      </c>
      <c r="F258" s="27" t="inlineStr">
        <is>
          <t>Apple Podcasts</t>
        </is>
      </c>
      <c r="G258" s="27" t="inlineStr">
        <is>
          <t>https://podcasts.apple.com/us/podcast/finnmercer/id1000254</t>
        </is>
      </c>
      <c r="H258" s="27" t="inlineStr">
        <is>
          <t>AP-US-1000254</t>
        </is>
      </c>
      <c r="I258" s="27" t="inlineStr">
        <is>
          <t>60,000</t>
        </is>
      </c>
      <c r="J258" s="27" t="inlineStr">
        <is>
          <t>2026-10-16</t>
        </is>
      </c>
      <c r="K258" s="27" t="inlineStr">
        <is>
          <t>https://finnmercer.com/episodes/55</t>
        </is>
      </c>
      <c r="L258" s="27" t="n">
        <v>12</v>
      </c>
      <c r="M258" s="27" t="n">
        <v>18</v>
      </c>
      <c r="N258" s="27" t="inlineStr">
        <is>
          <t>Membership</t>
        </is>
      </c>
      <c r="O258" s="27" t="inlineStr">
        <is>
          <t>https://finnmercer.com/community</t>
        </is>
      </c>
      <c r="P258" s="27" t="inlineStr">
        <is>
          <t>Inconsistent Cross-Platform Publishing</t>
        </is>
      </c>
      <c r="Q258" s="27" t="inlineStr">
        <is>
          <t>https://finnmercer.com/highlights</t>
        </is>
      </c>
      <c r="R258" s="27" t="inlineStr">
        <is>
          <t>X (Twitter)</t>
        </is>
      </c>
      <c r="S258" s="27" t="inlineStr">
        <is>
          <t>https://x.com/finnmercer</t>
        </is>
      </c>
      <c r="T258" s="27" t="inlineStr">
        <is>
          <t>https://finnmercer.com/links</t>
        </is>
      </c>
      <c r="U258" s="27" t="inlineStr">
        <is>
          <t>LinkedIn</t>
        </is>
      </c>
      <c r="V258" s="27" t="inlineStr">
        <is>
          <t>leadership &amp; team ops frameworks, specifically regarding episode 5 on Leadership &amp; Team Ops workflow optimization</t>
        </is>
      </c>
      <c r="W258" s="27" t="inlineStr">
        <is>
          <t>Hi Finn, loved your recent piece on 'leadership &amp; team ops frameworks, specifically regarding episode 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58" s="27" t="inlineStr">
        <is>
          <t>2026-10-18</t>
        </is>
      </c>
      <c r="Y258" s="27" t="inlineStr">
        <is>
          <t>C</t>
        </is>
      </c>
      <c r="Z258" s="27" t="n">
        <v>80.8</v>
      </c>
      <c r="AA258" s="27" t="inlineStr">
        <is>
          <t>Qualified</t>
        </is>
      </c>
      <c r="AB258" s="27" t="inlineStr"/>
      <c r="AC258" s="28">
        <f>IF(A258="","",IF(COUNTIF($H$5:$H$1004,H258)&gt;1,"DUPLICATE","UNIQUE"))</f>
        <v/>
      </c>
      <c r="AD258" s="28">
        <f>IF(A258="","",IF(AA258="Rejected",IF(AB258&lt;&gt;"","REJECTED","ADD REASON"),IF(AND(B258&lt;&gt;"",C258&lt;&gt;"",D258&lt;&gt;"",E258&lt;&gt;"",F258&lt;&gt;"",G258&lt;&gt;"",H258&lt;&gt;"",J258&lt;&gt;"",K258&lt;&gt;"",N258&lt;&gt;"",O258&lt;&gt;"",P258&lt;&gt;"",Q258&lt;&gt;"",R258&lt;&gt;"",S258&lt;&gt;"",T258&lt;&gt;"",V258&lt;&gt;"",W258&lt;&gt;"",X258&lt;&gt;"",Y258&lt;&gt;""),"COMPLETE","MISSING FIELDS")))</f>
        <v/>
      </c>
    </row>
    <row r="259" ht="15" customHeight="1" s="15">
      <c r="A259" s="27" t="inlineStr">
        <is>
          <t>LEAD-0255</t>
        </is>
      </c>
      <c r="B259" s="27" t="inlineStr">
        <is>
          <t>Finn Sinclair</t>
        </is>
      </c>
      <c r="C259" s="27" t="inlineStr">
        <is>
          <t>Expert-Led Creator</t>
        </is>
      </c>
      <c r="D259" s="27" t="inlineStr">
        <is>
          <t>US</t>
        </is>
      </c>
      <c r="E259" s="27" t="inlineStr">
        <is>
          <t>English</t>
        </is>
      </c>
      <c r="F259" s="27" t="inlineStr">
        <is>
          <t>LinkedIn</t>
        </is>
      </c>
      <c r="G259" s="27" t="inlineStr">
        <is>
          <t>https://www.linkedin.com/in/finnsinclair</t>
        </is>
      </c>
      <c r="H259" s="27" t="inlineStr">
        <is>
          <t>LI-finnsinclair-0255</t>
        </is>
      </c>
      <c r="I259" s="27" t="inlineStr">
        <is>
          <t>96,000</t>
        </is>
      </c>
      <c r="J259" s="27" t="inlineStr">
        <is>
          <t>2026-10-17</t>
        </is>
      </c>
      <c r="K259" s="27" t="inlineStr">
        <is>
          <t>https://finnsinclair.com/posts/106</t>
        </is>
      </c>
      <c r="L259" s="27" t="n">
        <v>13</v>
      </c>
      <c r="M259" s="27" t="n">
        <v>19</v>
      </c>
      <c r="N259" s="27" t="inlineStr">
        <is>
          <t>Product</t>
        </is>
      </c>
      <c r="O259" s="27" t="inlineStr">
        <is>
          <t>https://finnsinclair.com/shop</t>
        </is>
      </c>
      <c r="P259" s="27" t="inlineStr">
        <is>
          <t>Editing Backlog &amp; Team Workflow Overhead</t>
        </is>
      </c>
      <c r="Q259" s="27" t="inlineStr">
        <is>
          <t>https://finnsinclair.com/highlights</t>
        </is>
      </c>
      <c r="R259" s="27" t="inlineStr">
        <is>
          <t>Email</t>
        </is>
      </c>
      <c r="S259" s="27" t="inlineStr">
        <is>
          <t>hello@finnsinclair.com</t>
        </is>
      </c>
      <c r="T259" s="27" t="inlineStr">
        <is>
          <t>https://finnsinclair.com/work-with-me</t>
        </is>
      </c>
      <c r="U259" s="27" t="inlineStr">
        <is>
          <t>LinkedIn</t>
        </is>
      </c>
      <c r="V259" s="27" t="inlineStr">
        <is>
          <t>b2b marketing &amp; sales frameworks, specifically regarding episode 6 on B2B Marketing &amp; Sales workflow optimization</t>
        </is>
      </c>
      <c r="W259" s="27" t="inlineStr">
        <is>
          <t>Hi Finn, loved your recent piece on 'b2b marketing &amp; sales frameworks, specifically regarding episode 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59" s="27" t="inlineStr">
        <is>
          <t>2026-10-18</t>
        </is>
      </c>
      <c r="Y259" s="27" t="inlineStr">
        <is>
          <t>C</t>
        </is>
      </c>
      <c r="Z259" s="27" t="n">
        <v>80.7</v>
      </c>
      <c r="AA259" s="27" t="inlineStr">
        <is>
          <t>Qualified</t>
        </is>
      </c>
      <c r="AB259" s="27" t="inlineStr"/>
      <c r="AC259" s="28">
        <f>IF(A259="","",IF(COUNTIF($H$5:$H$1004,H259)&gt;1,"DUPLICATE","UNIQUE"))</f>
        <v/>
      </c>
      <c r="AD259" s="28">
        <f>IF(A259="","",IF(AA259="Rejected",IF(AB259&lt;&gt;"","REJECTED","ADD REASON"),IF(AND(B259&lt;&gt;"",C259&lt;&gt;"",D259&lt;&gt;"",E259&lt;&gt;"",F259&lt;&gt;"",G259&lt;&gt;"",H259&lt;&gt;"",J259&lt;&gt;"",K259&lt;&gt;"",N259&lt;&gt;"",O259&lt;&gt;"",P259&lt;&gt;"",Q259&lt;&gt;"",R259&lt;&gt;"",S259&lt;&gt;"",T259&lt;&gt;"",V259&lt;&gt;"",W259&lt;&gt;"",X259&lt;&gt;"",Y259&lt;&gt;""),"COMPLETE","MISSING FIELDS")))</f>
        <v/>
      </c>
    </row>
    <row r="260" ht="15" customHeight="1" s="15">
      <c r="A260" s="27" t="inlineStr">
        <is>
          <t>LEAD-0256</t>
        </is>
      </c>
      <c r="B260" s="27" t="inlineStr">
        <is>
          <t>Finn Carrington</t>
        </is>
      </c>
      <c r="C260" s="27" t="inlineStr">
        <is>
          <t>YouTuber</t>
        </is>
      </c>
      <c r="D260" s="27" t="inlineStr">
        <is>
          <t>US</t>
        </is>
      </c>
      <c r="E260" s="27" t="inlineStr">
        <is>
          <t>English</t>
        </is>
      </c>
      <c r="F260" s="27" t="inlineStr">
        <is>
          <t>YouTube</t>
        </is>
      </c>
      <c r="G260" s="27" t="inlineStr">
        <is>
          <t>https://www.youtube.com/@finncarrington</t>
        </is>
      </c>
      <c r="H260" s="27" t="inlineStr">
        <is>
          <t>UCUS00256019208</t>
        </is>
      </c>
      <c r="I260" s="27" t="inlineStr">
        <is>
          <t>240,000</t>
        </is>
      </c>
      <c r="J260" s="27" t="inlineStr">
        <is>
          <t>2026-10-10</t>
        </is>
      </c>
      <c r="K260" s="27" t="inlineStr">
        <is>
          <t>https://www.youtube.com/watch?v=us00256</t>
        </is>
      </c>
      <c r="L260" s="27" t="n">
        <v>14</v>
      </c>
      <c r="M260" s="27" t="n">
        <v>20</v>
      </c>
      <c r="N260" s="27" t="inlineStr">
        <is>
          <t>Consulting</t>
        </is>
      </c>
      <c r="O260" s="27" t="inlineStr">
        <is>
          <t>https://finncarrington.com/advisory</t>
        </is>
      </c>
      <c r="P260" s="27" t="inlineStr">
        <is>
          <t>Multilingual Audio Dubbing</t>
        </is>
      </c>
      <c r="Q260" s="27" t="inlineStr">
        <is>
          <t>https://finncarrington.com/highlights</t>
        </is>
      </c>
      <c r="R260" s="27" t="inlineStr">
        <is>
          <t>Email</t>
        </is>
      </c>
      <c r="S260" s="27" t="inlineStr">
        <is>
          <t>contact@finncarrington.com</t>
        </is>
      </c>
      <c r="T260" s="27" t="inlineStr">
        <is>
          <t>https://finncarrington.com/contact</t>
        </is>
      </c>
      <c r="U260" s="27" t="inlineStr">
        <is>
          <t>LinkedIn</t>
        </is>
      </c>
      <c r="V260" s="27" t="inlineStr">
        <is>
          <t>finance &amp; wealth engineering frameworks, specifically regarding episode 7 on Finance &amp; Wealth Engineering workflow optimization</t>
        </is>
      </c>
      <c r="W260" s="27" t="inlineStr">
        <is>
          <t>Hi Finn, loved your recent piece on 'finance &amp; wealth engineering frameworks, specifically regarding episode 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60" s="27" t="inlineStr">
        <is>
          <t>2026-10-18</t>
        </is>
      </c>
      <c r="Y260" s="27" t="inlineStr">
        <is>
          <t>C</t>
        </is>
      </c>
      <c r="Z260" s="27" t="n">
        <v>80.59999999999999</v>
      </c>
      <c r="AA260" s="27" t="inlineStr">
        <is>
          <t>Qualified</t>
        </is>
      </c>
      <c r="AB260" s="27" t="inlineStr"/>
      <c r="AC260" s="28">
        <f>IF(A260="","",IF(COUNTIF($H$5:$H$1004,H260)&gt;1,"DUPLICATE","UNIQUE"))</f>
        <v/>
      </c>
      <c r="AD260" s="28">
        <f>IF(A260="","",IF(AA260="Rejected",IF(AB260&lt;&gt;"","REJECTED","ADD REASON"),IF(AND(B260&lt;&gt;"",C260&lt;&gt;"",D260&lt;&gt;"",E260&lt;&gt;"",F260&lt;&gt;"",G260&lt;&gt;"",H260&lt;&gt;"",J260&lt;&gt;"",K260&lt;&gt;"",N260&lt;&gt;"",O260&lt;&gt;"",P260&lt;&gt;"",Q260&lt;&gt;"",R260&lt;&gt;"",S260&lt;&gt;"",T260&lt;&gt;"",V260&lt;&gt;"",W260&lt;&gt;"",X260&lt;&gt;"",Y260&lt;&gt;""),"COMPLETE","MISSING FIELDS")))</f>
        <v/>
      </c>
    </row>
    <row r="261" ht="15" customHeight="1" s="15">
      <c r="A261" s="27" t="inlineStr">
        <is>
          <t>LEAD-0257</t>
        </is>
      </c>
      <c r="B261" s="27" t="inlineStr">
        <is>
          <t>Finn Prescott</t>
        </is>
      </c>
      <c r="C261" s="27" t="inlineStr">
        <is>
          <t>Podcaster</t>
        </is>
      </c>
      <c r="D261" s="27" t="inlineStr">
        <is>
          <t>US</t>
        </is>
      </c>
      <c r="E261" s="27" t="inlineStr">
        <is>
          <t>English</t>
        </is>
      </c>
      <c r="F261" s="27" t="inlineStr">
        <is>
          <t>Apple Podcasts</t>
        </is>
      </c>
      <c r="G261" s="27" t="inlineStr">
        <is>
          <t>https://podcasts.apple.com/us/podcast/finnprescott/id1000257</t>
        </is>
      </c>
      <c r="H261" s="27" t="inlineStr">
        <is>
          <t>AP-US-1000257</t>
        </is>
      </c>
      <c r="I261" s="27" t="inlineStr">
        <is>
          <t>96,000</t>
        </is>
      </c>
      <c r="J261" s="27" t="inlineStr">
        <is>
          <t>2026-10-11</t>
        </is>
      </c>
      <c r="K261" s="27" t="inlineStr">
        <is>
          <t>https://finnprescott.com/episodes/58</t>
        </is>
      </c>
      <c r="L261" s="27" t="n">
        <v>15</v>
      </c>
      <c r="M261" s="27" t="n">
        <v>21</v>
      </c>
      <c r="N261" s="27" t="inlineStr">
        <is>
          <t>Newsletter Subscription</t>
        </is>
      </c>
      <c r="O261" s="27" t="inlineStr">
        <is>
          <t>https://finnprescott.com/subscribe</t>
        </is>
      </c>
      <c r="P261" s="27" t="inlineStr">
        <is>
          <t>Multilingual Audio Dubbing</t>
        </is>
      </c>
      <c r="Q261" s="27" t="inlineStr">
        <is>
          <t>https://finnprescott.com/highlights</t>
        </is>
      </c>
      <c r="R261" s="27" t="inlineStr">
        <is>
          <t>LinkedIn</t>
        </is>
      </c>
      <c r="S261" s="27" t="inlineStr">
        <is>
          <t>https://linkedin.com/in/finnprescott</t>
        </is>
      </c>
      <c r="T261" s="27" t="inlineStr">
        <is>
          <t>https://finnprescott.com/about</t>
        </is>
      </c>
      <c r="U261" s="27" t="inlineStr">
        <is>
          <t>Email</t>
        </is>
      </c>
      <c r="V261" s="27" t="inlineStr">
        <is>
          <t>health &amp; longevity science frameworks, specifically regarding episode 8 on Health &amp; Longevity Science workflow optimization</t>
        </is>
      </c>
      <c r="W261" s="27" t="inlineStr">
        <is>
          <t>Hi Finn, loved your recent piece on 'health &amp; longevity science frameworks, specifically regarding episode 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61" s="27" t="inlineStr">
        <is>
          <t>2026-10-18</t>
        </is>
      </c>
      <c r="Y261" s="27" t="inlineStr">
        <is>
          <t>C</t>
        </is>
      </c>
      <c r="Z261" s="27" t="n">
        <v>80.59999999999999</v>
      </c>
      <c r="AA261" s="27" t="inlineStr">
        <is>
          <t>Qualified</t>
        </is>
      </c>
      <c r="AB261" s="27" t="inlineStr"/>
      <c r="AC261" s="28">
        <f>IF(A261="","",IF(COUNTIF($H$5:$H$1004,H261)&gt;1,"DUPLICATE","UNIQUE"))</f>
        <v/>
      </c>
      <c r="AD261" s="28">
        <f>IF(A261="","",IF(AA261="Rejected",IF(AB261&lt;&gt;"","REJECTED","ADD REASON"),IF(AND(B261&lt;&gt;"",C261&lt;&gt;"",D261&lt;&gt;"",E261&lt;&gt;"",F261&lt;&gt;"",G261&lt;&gt;"",H261&lt;&gt;"",J261&lt;&gt;"",K261&lt;&gt;"",N261&lt;&gt;"",O261&lt;&gt;"",P261&lt;&gt;"",Q261&lt;&gt;"",R261&lt;&gt;"",S261&lt;&gt;"",T261&lt;&gt;"",V261&lt;&gt;"",W261&lt;&gt;"",X261&lt;&gt;"",Y261&lt;&gt;""),"COMPLETE","MISSING FIELDS")))</f>
        <v/>
      </c>
    </row>
    <row r="262" ht="15" customHeight="1" s="15">
      <c r="A262" s="27" t="inlineStr">
        <is>
          <t>LEAD-0258</t>
        </is>
      </c>
      <c r="B262" s="27" t="inlineStr">
        <is>
          <t>Finn Winslow</t>
        </is>
      </c>
      <c r="C262" s="27" t="inlineStr">
        <is>
          <t>YouTuber</t>
        </is>
      </c>
      <c r="D262" s="27" t="inlineStr">
        <is>
          <t>US</t>
        </is>
      </c>
      <c r="E262" s="27" t="inlineStr">
        <is>
          <t>English</t>
        </is>
      </c>
      <c r="F262" s="27" t="inlineStr">
        <is>
          <t>YouTube</t>
        </is>
      </c>
      <c r="G262" s="27" t="inlineStr">
        <is>
          <t>https://www.youtube.com/@finnwinslow</t>
        </is>
      </c>
      <c r="H262" s="27" t="inlineStr">
        <is>
          <t>UCUS00258369964</t>
        </is>
      </c>
      <c r="I262" s="27" t="inlineStr">
        <is>
          <t>280,000</t>
        </is>
      </c>
      <c r="J262" s="27" t="inlineStr">
        <is>
          <t>2026-10-12</t>
        </is>
      </c>
      <c r="K262" s="27" t="inlineStr">
        <is>
          <t>https://www.youtube.com/watch?v=us00258</t>
        </is>
      </c>
      <c r="L262" s="27" t="n">
        <v>16</v>
      </c>
      <c r="M262" s="27" t="n">
        <v>22</v>
      </c>
      <c r="N262" s="27" t="inlineStr">
        <is>
          <t>Affiliate</t>
        </is>
      </c>
      <c r="O262" s="27" t="inlineStr">
        <is>
          <t>https://finnwinslow.com/resources</t>
        </is>
      </c>
      <c r="P262" s="27" t="inlineStr">
        <is>
          <t>Missing Video Captions &amp; Retention Clips</t>
        </is>
      </c>
      <c r="Q262" s="27" t="inlineStr">
        <is>
          <t>https://finnwinslow.com/highlights</t>
        </is>
      </c>
      <c r="R262" s="27" t="inlineStr">
        <is>
          <t>X (Twitter)</t>
        </is>
      </c>
      <c r="S262" s="27" t="inlineStr">
        <is>
          <t>https://x.com/finnwinslow</t>
        </is>
      </c>
      <c r="T262" s="27" t="inlineStr">
        <is>
          <t>https://finnwinslow.com/links</t>
        </is>
      </c>
      <c r="U262" s="27" t="inlineStr">
        <is>
          <t>LinkedIn</t>
        </is>
      </c>
      <c r="V262" s="27" t="inlineStr">
        <is>
          <t>education &amp; applied coding frameworks, specifically regarding episode 9 on Education &amp; Applied Coding workflow optimization</t>
        </is>
      </c>
      <c r="W262" s="27" t="inlineStr">
        <is>
          <t>Hi Finn, loved your recent piece on 'education &amp; applied coding frameworks, specifically regarding episode 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62" s="27" t="inlineStr">
        <is>
          <t>2026-10-18</t>
        </is>
      </c>
      <c r="Y262" s="27" t="inlineStr">
        <is>
          <t>C</t>
        </is>
      </c>
      <c r="Z262" s="27" t="n">
        <v>80.5</v>
      </c>
      <c r="AA262" s="27" t="inlineStr">
        <is>
          <t>Qualified</t>
        </is>
      </c>
      <c r="AB262" s="27" t="inlineStr"/>
      <c r="AC262" s="28">
        <f>IF(A262="","",IF(COUNTIF($H$5:$H$1004,H262)&gt;1,"DUPLICATE","UNIQUE"))</f>
        <v/>
      </c>
      <c r="AD262" s="28">
        <f>IF(A262="","",IF(AA262="Rejected",IF(AB262&lt;&gt;"","REJECTED","ADD REASON"),IF(AND(B262&lt;&gt;"",C262&lt;&gt;"",D262&lt;&gt;"",E262&lt;&gt;"",F262&lt;&gt;"",G262&lt;&gt;"",H262&lt;&gt;"",J262&lt;&gt;"",K262&lt;&gt;"",N262&lt;&gt;"",O262&lt;&gt;"",P262&lt;&gt;"",Q262&lt;&gt;"",R262&lt;&gt;"",S262&lt;&gt;"",T262&lt;&gt;"",V262&lt;&gt;"",W262&lt;&gt;"",X262&lt;&gt;"",Y262&lt;&gt;""),"COMPLETE","MISSING FIELDS")))</f>
        <v/>
      </c>
    </row>
    <row r="263" ht="15" customHeight="1" s="15">
      <c r="A263" s="27" t="inlineStr">
        <is>
          <t>LEAD-0259</t>
        </is>
      </c>
      <c r="B263" s="27" t="inlineStr">
        <is>
          <t>Finn Bradford</t>
        </is>
      </c>
      <c r="C263" s="27" t="inlineStr">
        <is>
          <t>Podcaster</t>
        </is>
      </c>
      <c r="D263" s="27" t="inlineStr">
        <is>
          <t>US</t>
        </is>
      </c>
      <c r="E263" s="27" t="inlineStr">
        <is>
          <t>English</t>
        </is>
      </c>
      <c r="F263" s="27" t="inlineStr">
        <is>
          <t>Apple Podcasts</t>
        </is>
      </c>
      <c r="G263" s="27" t="inlineStr">
        <is>
          <t>https://podcasts.apple.com/us/podcast/finnbradford/id1000259</t>
        </is>
      </c>
      <c r="H263" s="27" t="inlineStr">
        <is>
          <t>AP-US-1000259</t>
        </is>
      </c>
      <c r="I263" s="27" t="inlineStr">
        <is>
          <t>120,000</t>
        </is>
      </c>
      <c r="J263" s="27" t="inlineStr">
        <is>
          <t>2026-10-13</t>
        </is>
      </c>
      <c r="K263" s="27" t="inlineStr">
        <is>
          <t>https://finnbradford.com/episodes/60</t>
        </is>
      </c>
      <c r="L263" s="27" t="n">
        <v>17</v>
      </c>
      <c r="M263" s="27" t="n">
        <v>23</v>
      </c>
      <c r="N263" s="27" t="inlineStr">
        <is>
          <t>Course</t>
        </is>
      </c>
      <c r="O263" s="27" t="inlineStr">
        <is>
          <t>https://finnbradford.com/academy</t>
        </is>
      </c>
      <c r="P263" s="27" t="inlineStr">
        <is>
          <t>Shorts Repurposing Bottleneck</t>
        </is>
      </c>
      <c r="Q263" s="27" t="inlineStr">
        <is>
          <t>https://finnbradford.com/highlights</t>
        </is>
      </c>
      <c r="R263" s="27" t="inlineStr">
        <is>
          <t>Email</t>
        </is>
      </c>
      <c r="S263" s="27" t="inlineStr">
        <is>
          <t>hello@finnbradford.com</t>
        </is>
      </c>
      <c r="T263" s="27" t="inlineStr">
        <is>
          <t>https://finnbradford.com/work-with-me</t>
        </is>
      </c>
      <c r="U263" s="27" t="inlineStr">
        <is>
          <t>LinkedIn</t>
        </is>
      </c>
      <c r="V263" s="27" t="inlineStr">
        <is>
          <t>e-commerce &amp; digital brands frameworks, specifically regarding episode 10 on E-Commerce &amp; Digital Brands workflow optimization</t>
        </is>
      </c>
      <c r="W263" s="27" t="inlineStr">
        <is>
          <t>Hi Finn, loved your recent piece on 'e-commerce &amp; digital brands frameworks, specifically regarding episode 10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63" s="27" t="inlineStr">
        <is>
          <t>2026-10-18</t>
        </is>
      </c>
      <c r="Y263" s="27" t="inlineStr">
        <is>
          <t>C</t>
        </is>
      </c>
      <c r="Z263" s="27" t="n">
        <v>80.5</v>
      </c>
      <c r="AA263" s="27" t="inlineStr">
        <is>
          <t>Qualified</t>
        </is>
      </c>
      <c r="AB263" s="27" t="inlineStr"/>
      <c r="AC263" s="28">
        <f>IF(A263="","",IF(COUNTIF($H$5:$H$1004,H263)&gt;1,"DUPLICATE","UNIQUE"))</f>
        <v/>
      </c>
      <c r="AD263" s="28">
        <f>IF(A263="","",IF(AA263="Rejected",IF(AB263&lt;&gt;"","REJECTED","ADD REASON"),IF(AND(B263&lt;&gt;"",C263&lt;&gt;"",D263&lt;&gt;"",E263&lt;&gt;"",F263&lt;&gt;"",G263&lt;&gt;"",H263&lt;&gt;"",J263&lt;&gt;"",K263&lt;&gt;"",N263&lt;&gt;"",O263&lt;&gt;"",P263&lt;&gt;"",Q263&lt;&gt;"",R263&lt;&gt;"",S263&lt;&gt;"",T263&lt;&gt;"",V263&lt;&gt;"",W263&lt;&gt;"",X263&lt;&gt;"",Y263&lt;&gt;""),"COMPLETE","MISSING FIELDS")))</f>
        <v/>
      </c>
    </row>
    <row r="264" ht="15" customHeight="1" s="15">
      <c r="A264" s="27" t="inlineStr">
        <is>
          <t>LEAD-0260</t>
        </is>
      </c>
      <c r="B264" s="27" t="inlineStr">
        <is>
          <t>Finn Kensington</t>
        </is>
      </c>
      <c r="C264" s="27" t="inlineStr">
        <is>
          <t>YouTuber</t>
        </is>
      </c>
      <c r="D264" s="27" t="inlineStr">
        <is>
          <t>US</t>
        </is>
      </c>
      <c r="E264" s="27" t="inlineStr">
        <is>
          <t>English</t>
        </is>
      </c>
      <c r="F264" s="27" t="inlineStr">
        <is>
          <t>YouTube</t>
        </is>
      </c>
      <c r="G264" s="27" t="inlineStr">
        <is>
          <t>https://www.youtube.com/@finnkensington</t>
        </is>
      </c>
      <c r="H264" s="27" t="inlineStr">
        <is>
          <t>UCUS00260878447</t>
        </is>
      </c>
      <c r="I264" s="27" t="inlineStr">
        <is>
          <t>320,000</t>
        </is>
      </c>
      <c r="J264" s="27" t="inlineStr">
        <is>
          <t>2026-10-14</t>
        </is>
      </c>
      <c r="K264" s="27" t="inlineStr">
        <is>
          <t>https://www.youtube.com/watch?v=us00260</t>
        </is>
      </c>
      <c r="L264" s="27" t="n">
        <v>8</v>
      </c>
      <c r="M264" s="27" t="n">
        <v>24</v>
      </c>
      <c r="N264" s="27" t="inlineStr">
        <is>
          <t>Sponsor</t>
        </is>
      </c>
      <c r="O264" s="27" t="inlineStr">
        <is>
          <t>https://finnkensington.com/partners</t>
        </is>
      </c>
      <c r="P264" s="27" t="inlineStr">
        <is>
          <t>Shorts Repurposing Bottleneck</t>
        </is>
      </c>
      <c r="Q264" s="27" t="inlineStr">
        <is>
          <t>https://finnkensington.com/highlights</t>
        </is>
      </c>
      <c r="R264" s="27" t="inlineStr">
        <is>
          <t>Email</t>
        </is>
      </c>
      <c r="S264" s="27" t="inlineStr">
        <is>
          <t>contact@finnkensington.com</t>
        </is>
      </c>
      <c r="T264" s="27" t="inlineStr">
        <is>
          <t>https://finnkensington.com/contact</t>
        </is>
      </c>
      <c r="U264" s="27" t="inlineStr">
        <is>
          <t>LinkedIn</t>
        </is>
      </c>
      <c r="V264" s="27" t="inlineStr">
        <is>
          <t>tech &amp; ai frameworks, specifically regarding episode 11 on Tech &amp; AI workflow optimization</t>
        </is>
      </c>
      <c r="W264" s="27" t="inlineStr">
        <is>
          <t>Hi Finn, loved your recent piece on 'tech &amp; ai frameworks, specifically regarding episode 11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64" s="27" t="inlineStr">
        <is>
          <t>2026-10-18</t>
        </is>
      </c>
      <c r="Y264" s="27" t="inlineStr">
        <is>
          <t>C</t>
        </is>
      </c>
      <c r="Z264" s="27" t="n">
        <v>80.40000000000001</v>
      </c>
      <c r="AA264" s="27" t="inlineStr">
        <is>
          <t>Qualified</t>
        </is>
      </c>
      <c r="AB264" s="27" t="inlineStr"/>
      <c r="AC264" s="28">
        <f>IF(A264="","",IF(COUNTIF($H$5:$H$1004,H264)&gt;1,"DUPLICATE","UNIQUE"))</f>
        <v/>
      </c>
      <c r="AD264" s="28">
        <f>IF(A264="","",IF(AA264="Rejected",IF(AB264&lt;&gt;"","REJECTED","ADD REASON"),IF(AND(B264&lt;&gt;"",C264&lt;&gt;"",D264&lt;&gt;"",E264&lt;&gt;"",F264&lt;&gt;"",G264&lt;&gt;"",H264&lt;&gt;"",J264&lt;&gt;"",K264&lt;&gt;"",N264&lt;&gt;"",O264&lt;&gt;"",P264&lt;&gt;"",Q264&lt;&gt;"",R264&lt;&gt;"",S264&lt;&gt;"",T264&lt;&gt;"",V264&lt;&gt;"",W264&lt;&gt;"",X264&lt;&gt;"",Y264&lt;&gt;""),"COMPLETE","MISSING FIELDS")))</f>
        <v/>
      </c>
    </row>
    <row r="265" ht="15" customHeight="1" s="15">
      <c r="A265" s="27" t="inlineStr">
        <is>
          <t>LEAD-0261</t>
        </is>
      </c>
      <c r="B265" s="27" t="inlineStr">
        <is>
          <t>Finn Lancaster</t>
        </is>
      </c>
      <c r="C265" s="27" t="inlineStr">
        <is>
          <t>Podcaster</t>
        </is>
      </c>
      <c r="D265" s="27" t="inlineStr">
        <is>
          <t>US</t>
        </is>
      </c>
      <c r="E265" s="27" t="inlineStr">
        <is>
          <t>English</t>
        </is>
      </c>
      <c r="F265" s="27" t="inlineStr">
        <is>
          <t>Apple Podcasts</t>
        </is>
      </c>
      <c r="G265" s="27" t="inlineStr">
        <is>
          <t>https://podcasts.apple.com/us/podcast/finnlancaster/id1000261</t>
        </is>
      </c>
      <c r="H265" s="27" t="inlineStr">
        <is>
          <t>AP-US-1000261</t>
        </is>
      </c>
      <c r="I265" s="27" t="inlineStr">
        <is>
          <t>144,000</t>
        </is>
      </c>
      <c r="J265" s="27" t="inlineStr">
        <is>
          <t>2026-10-15</t>
        </is>
      </c>
      <c r="K265" s="27" t="inlineStr">
        <is>
          <t>https://finnlancaster.com/episodes/62</t>
        </is>
      </c>
      <c r="L265" s="27" t="n">
        <v>9</v>
      </c>
      <c r="M265" s="27" t="n">
        <v>25</v>
      </c>
      <c r="N265" s="27" t="inlineStr">
        <is>
          <t>Membership</t>
        </is>
      </c>
      <c r="O265" s="27" t="inlineStr">
        <is>
          <t>https://finnlancaster.com/community</t>
        </is>
      </c>
      <c r="P265" s="27" t="inlineStr">
        <is>
          <t>Missing Video Captions &amp; Retention Clips</t>
        </is>
      </c>
      <c r="Q265" s="27" t="inlineStr">
        <is>
          <t>https://finnlancaster.com/highlights</t>
        </is>
      </c>
      <c r="R265" s="27" t="inlineStr">
        <is>
          <t>LinkedIn</t>
        </is>
      </c>
      <c r="S265" s="27" t="inlineStr">
        <is>
          <t>https://linkedin.com/in/finnlancaster</t>
        </is>
      </c>
      <c r="T265" s="27" t="inlineStr">
        <is>
          <t>https://finnlancaster.com/about</t>
        </is>
      </c>
      <c r="U265" s="27" t="inlineStr">
        <is>
          <t>Email</t>
        </is>
      </c>
      <c r="V265" s="27" t="inlineStr">
        <is>
          <t>saas &amp; product growth frameworks, specifically regarding episode 12 on SaaS &amp; Product Growth workflow optimization</t>
        </is>
      </c>
      <c r="W265" s="27" t="inlineStr">
        <is>
          <t>Hi Finn, loved your recent piece on 'saas &amp; product growth frameworks, specifically regarding episode 12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65" s="27" t="inlineStr">
        <is>
          <t>2026-10-18</t>
        </is>
      </c>
      <c r="Y265" s="27" t="inlineStr">
        <is>
          <t>C</t>
        </is>
      </c>
      <c r="Z265" s="27" t="n">
        <v>80.3</v>
      </c>
      <c r="AA265" s="27" t="inlineStr">
        <is>
          <t>Qualified</t>
        </is>
      </c>
      <c r="AB265" s="27" t="inlineStr"/>
      <c r="AC265" s="28">
        <f>IF(A265="","",IF(COUNTIF($H$5:$H$1004,H265)&gt;1,"DUPLICATE","UNIQUE"))</f>
        <v/>
      </c>
      <c r="AD265" s="28">
        <f>IF(A265="","",IF(AA265="Rejected",IF(AB265&lt;&gt;"","REJECTED","ADD REASON"),IF(AND(B265&lt;&gt;"",C265&lt;&gt;"",D265&lt;&gt;"",E265&lt;&gt;"",F265&lt;&gt;"",G265&lt;&gt;"",H265&lt;&gt;"",J265&lt;&gt;"",K265&lt;&gt;"",N265&lt;&gt;"",O265&lt;&gt;"",P265&lt;&gt;"",Q265&lt;&gt;"",R265&lt;&gt;"",S265&lt;&gt;"",T265&lt;&gt;"",V265&lt;&gt;"",W265&lt;&gt;"",X265&lt;&gt;"",Y265&lt;&gt;""),"COMPLETE","MISSING FIELDS")))</f>
        <v/>
      </c>
    </row>
    <row r="266" ht="15" customHeight="1" s="15">
      <c r="A266" s="27" t="inlineStr">
        <is>
          <t>LEAD-0262</t>
        </is>
      </c>
      <c r="B266" s="27" t="inlineStr">
        <is>
          <t>Finn Montgomery</t>
        </is>
      </c>
      <c r="C266" s="27" t="inlineStr">
        <is>
          <t>Expert-Led Creator</t>
        </is>
      </c>
      <c r="D266" s="27" t="inlineStr">
        <is>
          <t>US</t>
        </is>
      </c>
      <c r="E266" s="27" t="inlineStr">
        <is>
          <t>English</t>
        </is>
      </c>
      <c r="F266" s="27" t="inlineStr">
        <is>
          <t>YouTube</t>
        </is>
      </c>
      <c r="G266" s="27" t="inlineStr">
        <is>
          <t>https://www.youtube.com/@finnmontgomery</t>
        </is>
      </c>
      <c r="H266" s="27" t="inlineStr">
        <is>
          <t>UCUS00262653502</t>
        </is>
      </c>
      <c r="I266" s="27" t="inlineStr">
        <is>
          <t>360,000</t>
        </is>
      </c>
      <c r="J266" s="27" t="inlineStr">
        <is>
          <t>2026-10-16</t>
        </is>
      </c>
      <c r="K266" s="27" t="inlineStr">
        <is>
          <t>https://www.youtube.com/watch?v=us00262</t>
        </is>
      </c>
      <c r="L266" s="27" t="n">
        <v>10</v>
      </c>
      <c r="M266" s="27" t="n">
        <v>26</v>
      </c>
      <c r="N266" s="27" t="inlineStr">
        <is>
          <t>Product</t>
        </is>
      </c>
      <c r="O266" s="27" t="inlineStr">
        <is>
          <t>https://finnmontgomery.com/shop</t>
        </is>
      </c>
      <c r="P266" s="27" t="inlineStr">
        <is>
          <t>Editing Backlog &amp; Team Workflow Overhead</t>
        </is>
      </c>
      <c r="Q266" s="27" t="inlineStr">
        <is>
          <t>https://finnmontgomery.com/highlights</t>
        </is>
      </c>
      <c r="R266" s="27" t="inlineStr">
        <is>
          <t>X (Twitter)</t>
        </is>
      </c>
      <c r="S266" s="27" t="inlineStr">
        <is>
          <t>https://x.com/finnmontgomery</t>
        </is>
      </c>
      <c r="T266" s="27" t="inlineStr">
        <is>
          <t>https://finnmontgomery.com/links</t>
        </is>
      </c>
      <c r="U266" s="27" t="inlineStr">
        <is>
          <t>LinkedIn</t>
        </is>
      </c>
      <c r="V266" s="27" t="inlineStr">
        <is>
          <t>creator business &amp; monetization frameworks, specifically regarding episode 13 on Creator Business &amp; Monetization workflow optimization</t>
        </is>
      </c>
      <c r="W266" s="27" t="inlineStr">
        <is>
          <t>Hi Finn, loved your recent piece on 'creator business &amp; monetization frameworks, specifically regarding episode 13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66" s="27" t="inlineStr">
        <is>
          <t>2026-10-18</t>
        </is>
      </c>
      <c r="Y266" s="27" t="inlineStr">
        <is>
          <t>C</t>
        </is>
      </c>
      <c r="Z266" s="27" t="n">
        <v>80.3</v>
      </c>
      <c r="AA266" s="27" t="inlineStr">
        <is>
          <t>Qualified</t>
        </is>
      </c>
      <c r="AB266" s="27" t="inlineStr"/>
      <c r="AC266" s="28">
        <f>IF(A266="","",IF(COUNTIF($H$5:$H$1004,H266)&gt;1,"DUPLICATE","UNIQUE"))</f>
        <v/>
      </c>
      <c r="AD266" s="28">
        <f>IF(A266="","",IF(AA266="Rejected",IF(AB266&lt;&gt;"","REJECTED","ADD REASON"),IF(AND(B266&lt;&gt;"",C266&lt;&gt;"",D266&lt;&gt;"",E266&lt;&gt;"",F266&lt;&gt;"",G266&lt;&gt;"",H266&lt;&gt;"",J266&lt;&gt;"",K266&lt;&gt;"",N266&lt;&gt;"",O266&lt;&gt;"",P266&lt;&gt;"",Q266&lt;&gt;"",R266&lt;&gt;"",S266&lt;&gt;"",T266&lt;&gt;"",V266&lt;&gt;"",W266&lt;&gt;"",X266&lt;&gt;"",Y266&lt;&gt;""),"COMPLETE","MISSING FIELDS")))</f>
        <v/>
      </c>
    </row>
    <row r="267" ht="15" customHeight="1" s="15">
      <c r="A267" s="27" t="inlineStr">
        <is>
          <t>LEAD-0263</t>
        </is>
      </c>
      <c r="B267" s="27" t="inlineStr">
        <is>
          <t>Finn Barrington</t>
        </is>
      </c>
      <c r="C267" s="27" t="inlineStr">
        <is>
          <t>YouTuber</t>
        </is>
      </c>
      <c r="D267" s="27" t="inlineStr">
        <is>
          <t>US</t>
        </is>
      </c>
      <c r="E267" s="27" t="inlineStr">
        <is>
          <t>English</t>
        </is>
      </c>
      <c r="F267" s="27" t="inlineStr">
        <is>
          <t>YouTube</t>
        </is>
      </c>
      <c r="G267" s="27" t="inlineStr">
        <is>
          <t>https://www.youtube.com/@finnbarrington</t>
        </is>
      </c>
      <c r="H267" s="27" t="inlineStr">
        <is>
          <t>UCUS00263159433</t>
        </is>
      </c>
      <c r="I267" s="27" t="inlineStr">
        <is>
          <t>380,000</t>
        </is>
      </c>
      <c r="J267" s="27" t="inlineStr">
        <is>
          <t>2026-10-17</t>
        </is>
      </c>
      <c r="K267" s="27" t="inlineStr">
        <is>
          <t>https://www.youtube.com/watch?v=us00263</t>
        </is>
      </c>
      <c r="L267" s="27" t="n">
        <v>11</v>
      </c>
      <c r="M267" s="27" t="n">
        <v>27</v>
      </c>
      <c r="N267" s="27" t="inlineStr">
        <is>
          <t>Consulting</t>
        </is>
      </c>
      <c r="O267" s="27" t="inlineStr">
        <is>
          <t>https://finnbarrington.com/advisory</t>
        </is>
      </c>
      <c r="P267" s="27" t="inlineStr">
        <is>
          <t>Shorts Repurposing Bottleneck</t>
        </is>
      </c>
      <c r="Q267" s="27" t="inlineStr">
        <is>
          <t>https://finnbarrington.com/highlights</t>
        </is>
      </c>
      <c r="R267" s="27" t="inlineStr">
        <is>
          <t>Email</t>
        </is>
      </c>
      <c r="S267" s="27" t="inlineStr">
        <is>
          <t>hello@finnbarrington.com</t>
        </is>
      </c>
      <c r="T267" s="27" t="inlineStr">
        <is>
          <t>https://finnbarrington.com/work-with-me</t>
        </is>
      </c>
      <c r="U267" s="27" t="inlineStr">
        <is>
          <t>LinkedIn</t>
        </is>
      </c>
      <c r="V267" s="27" t="inlineStr">
        <is>
          <t>productivity &amp; personal systems frameworks, specifically regarding episode 14 on Productivity &amp; Personal Systems workflow optimization</t>
        </is>
      </c>
      <c r="W267" s="27" t="inlineStr">
        <is>
          <t>Hi Finn, loved your recent piece on 'productivity &amp; personal systems frameworks, specifically regarding episode 14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67" s="27" t="inlineStr">
        <is>
          <t>2026-10-18</t>
        </is>
      </c>
      <c r="Y267" s="27" t="inlineStr">
        <is>
          <t>C</t>
        </is>
      </c>
      <c r="Z267" s="27" t="n">
        <v>80.2</v>
      </c>
      <c r="AA267" s="27" t="inlineStr">
        <is>
          <t>Qualified</t>
        </is>
      </c>
      <c r="AB267" s="27" t="inlineStr"/>
      <c r="AC267" s="28">
        <f>IF(A267="","",IF(COUNTIF($H$5:$H$1004,H267)&gt;1,"DUPLICATE","UNIQUE"))</f>
        <v/>
      </c>
      <c r="AD267" s="28">
        <f>IF(A267="","",IF(AA267="Rejected",IF(AB267&lt;&gt;"","REJECTED","ADD REASON"),IF(AND(B267&lt;&gt;"",C267&lt;&gt;"",D267&lt;&gt;"",E267&lt;&gt;"",F267&lt;&gt;"",G267&lt;&gt;"",H267&lt;&gt;"",J267&lt;&gt;"",K267&lt;&gt;"",N267&lt;&gt;"",O267&lt;&gt;"",P267&lt;&gt;"",Q267&lt;&gt;"",R267&lt;&gt;"",S267&lt;&gt;"",T267&lt;&gt;"",V267&lt;&gt;"",W267&lt;&gt;"",X267&lt;&gt;"",Y267&lt;&gt;""),"COMPLETE","MISSING FIELDS")))</f>
        <v/>
      </c>
    </row>
    <row r="268" ht="15" customHeight="1" s="15">
      <c r="A268" s="27" t="inlineStr">
        <is>
          <t>LEAD-0264</t>
        </is>
      </c>
      <c r="B268" s="27" t="inlineStr">
        <is>
          <t>Finn Thornton</t>
        </is>
      </c>
      <c r="C268" s="27" t="inlineStr">
        <is>
          <t>Podcaster</t>
        </is>
      </c>
      <c r="D268" s="27" t="inlineStr">
        <is>
          <t>US</t>
        </is>
      </c>
      <c r="E268" s="27" t="inlineStr">
        <is>
          <t>English</t>
        </is>
      </c>
      <c r="F268" s="27" t="inlineStr">
        <is>
          <t>Apple Podcasts</t>
        </is>
      </c>
      <c r="G268" s="27" t="inlineStr">
        <is>
          <t>https://podcasts.apple.com/us/podcast/finnthornton/id1000264</t>
        </is>
      </c>
      <c r="H268" s="27" t="inlineStr">
        <is>
          <t>AP-US-1000264</t>
        </is>
      </c>
      <c r="I268" s="27" t="inlineStr">
        <is>
          <t>180,000</t>
        </is>
      </c>
      <c r="J268" s="27" t="inlineStr">
        <is>
          <t>2026-10-10</t>
        </is>
      </c>
      <c r="K268" s="27" t="inlineStr">
        <is>
          <t>https://finnthornton.com/episodes/65</t>
        </is>
      </c>
      <c r="L268" s="27" t="n">
        <v>12</v>
      </c>
      <c r="M268" s="27" t="n">
        <v>28</v>
      </c>
      <c r="N268" s="27" t="inlineStr">
        <is>
          <t>Newsletter Subscription</t>
        </is>
      </c>
      <c r="O268" s="27" t="inlineStr">
        <is>
          <t>https://finnthornton.com/subscribe</t>
        </is>
      </c>
      <c r="P268" s="27" t="inlineStr">
        <is>
          <t>Inconsistent Cross-Platform Publishing</t>
        </is>
      </c>
      <c r="Q268" s="27" t="inlineStr">
        <is>
          <t>https://finnthornton.com/highlights</t>
        </is>
      </c>
      <c r="R268" s="27" t="inlineStr">
        <is>
          <t>Email</t>
        </is>
      </c>
      <c r="S268" s="27" t="inlineStr">
        <is>
          <t>contact@finnthornton.com</t>
        </is>
      </c>
      <c r="T268" s="27" t="inlineStr">
        <is>
          <t>https://finnthornton.com/contact</t>
        </is>
      </c>
      <c r="U268" s="27" t="inlineStr">
        <is>
          <t>LinkedIn</t>
        </is>
      </c>
      <c r="V268" s="27" t="inlineStr">
        <is>
          <t>leadership &amp; team ops frameworks, specifically regarding episode 15 on Leadership &amp; Team Ops workflow optimization</t>
        </is>
      </c>
      <c r="W268" s="27" t="inlineStr">
        <is>
          <t>Hi Finn, loved your recent piece on 'leadership &amp; team ops frameworks, specifically regarding episode 15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68" s="27" t="inlineStr">
        <is>
          <t>2026-10-18</t>
        </is>
      </c>
      <c r="Y268" s="27" t="inlineStr">
        <is>
          <t>C</t>
        </is>
      </c>
      <c r="Z268" s="27" t="n">
        <v>80.2</v>
      </c>
      <c r="AA268" s="27" t="inlineStr">
        <is>
          <t>Qualified</t>
        </is>
      </c>
      <c r="AB268" s="27" t="inlineStr"/>
      <c r="AC268" s="28">
        <f>IF(A268="","",IF(COUNTIF($H$5:$H$1004,H268)&gt;1,"DUPLICATE","UNIQUE"))</f>
        <v/>
      </c>
      <c r="AD268" s="28">
        <f>IF(A268="","",IF(AA268="Rejected",IF(AB268&lt;&gt;"","REJECTED","ADD REASON"),IF(AND(B268&lt;&gt;"",C268&lt;&gt;"",D268&lt;&gt;"",E268&lt;&gt;"",F268&lt;&gt;"",G268&lt;&gt;"",H268&lt;&gt;"",J268&lt;&gt;"",K268&lt;&gt;"",N268&lt;&gt;"",O268&lt;&gt;"",P268&lt;&gt;"",Q268&lt;&gt;"",R268&lt;&gt;"",S268&lt;&gt;"",T268&lt;&gt;"",V268&lt;&gt;"",W268&lt;&gt;"",X268&lt;&gt;"",Y268&lt;&gt;""),"COMPLETE","MISSING FIELDS")))</f>
        <v/>
      </c>
    </row>
    <row r="269" ht="15" customHeight="1" s="15">
      <c r="A269" s="27" t="inlineStr">
        <is>
          <t>LEAD-0265</t>
        </is>
      </c>
      <c r="B269" s="27" t="inlineStr">
        <is>
          <t>Finn Wellington</t>
        </is>
      </c>
      <c r="C269" s="27" t="inlineStr">
        <is>
          <t>Expert-Led Creator</t>
        </is>
      </c>
      <c r="D269" s="27" t="inlineStr">
        <is>
          <t>US</t>
        </is>
      </c>
      <c r="E269" s="27" t="inlineStr">
        <is>
          <t>English</t>
        </is>
      </c>
      <c r="F269" s="27" t="inlineStr">
        <is>
          <t>LinkedIn</t>
        </is>
      </c>
      <c r="G269" s="27" t="inlineStr">
        <is>
          <t>https://www.linkedin.com/in/finnwellington</t>
        </is>
      </c>
      <c r="H269" s="27" t="inlineStr">
        <is>
          <t>LI-finnwellington-0265</t>
        </is>
      </c>
      <c r="I269" s="27" t="inlineStr">
        <is>
          <t>156,000</t>
        </is>
      </c>
      <c r="J269" s="27" t="inlineStr">
        <is>
          <t>2026-10-11</t>
        </is>
      </c>
      <c r="K269" s="27" t="inlineStr">
        <is>
          <t>https://finnwellington.com/posts/116</t>
        </is>
      </c>
      <c r="L269" s="27" t="n">
        <v>13</v>
      </c>
      <c r="M269" s="27" t="n">
        <v>29</v>
      </c>
      <c r="N269" s="27" t="inlineStr">
        <is>
          <t>Affiliate</t>
        </is>
      </c>
      <c r="O269" s="27" t="inlineStr">
        <is>
          <t>https://finnwellington.com/resources</t>
        </is>
      </c>
      <c r="P269" s="27" t="inlineStr">
        <is>
          <t>Editing Backlog &amp; Team Workflow Overhead</t>
        </is>
      </c>
      <c r="Q269" s="27" t="inlineStr">
        <is>
          <t>https://finnwellington.com/highlights</t>
        </is>
      </c>
      <c r="R269" s="27" t="inlineStr">
        <is>
          <t>LinkedIn</t>
        </is>
      </c>
      <c r="S269" s="27" t="inlineStr">
        <is>
          <t>https://linkedin.com/in/finnwellington</t>
        </is>
      </c>
      <c r="T269" s="27" t="inlineStr">
        <is>
          <t>https://finnwellington.com/about</t>
        </is>
      </c>
      <c r="U269" s="27" t="inlineStr">
        <is>
          <t>Email</t>
        </is>
      </c>
      <c r="V269" s="27" t="inlineStr">
        <is>
          <t>b2b marketing &amp; sales frameworks, specifically regarding episode 16 on B2B Marketing &amp; Sales workflow optimization</t>
        </is>
      </c>
      <c r="W269" s="27" t="inlineStr">
        <is>
          <t>Hi Finn, loved your recent piece on 'b2b marketing &amp; sales frameworks, specifically regarding episode 16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69" s="27" t="inlineStr">
        <is>
          <t>2026-10-18</t>
        </is>
      </c>
      <c r="Y269" s="27" t="inlineStr">
        <is>
          <t>C</t>
        </is>
      </c>
      <c r="Z269" s="27" t="n">
        <v>80.09999999999999</v>
      </c>
      <c r="AA269" s="27" t="inlineStr">
        <is>
          <t>Qualified</t>
        </is>
      </c>
      <c r="AB269" s="27" t="inlineStr"/>
      <c r="AC269" s="28">
        <f>IF(A269="","",IF(COUNTIF($H$5:$H$1004,H269)&gt;1,"DUPLICATE","UNIQUE"))</f>
        <v/>
      </c>
      <c r="AD269" s="28">
        <f>IF(A269="","",IF(AA269="Rejected",IF(AB269&lt;&gt;"","REJECTED","ADD REASON"),IF(AND(B269&lt;&gt;"",C269&lt;&gt;"",D269&lt;&gt;"",E269&lt;&gt;"",F269&lt;&gt;"",G269&lt;&gt;"",H269&lt;&gt;"",J269&lt;&gt;"",K269&lt;&gt;"",N269&lt;&gt;"",O269&lt;&gt;"",P269&lt;&gt;"",Q269&lt;&gt;"",R269&lt;&gt;"",S269&lt;&gt;"",T269&lt;&gt;"",V269&lt;&gt;"",W269&lt;&gt;"",X269&lt;&gt;"",Y269&lt;&gt;""),"COMPLETE","MISSING FIELDS")))</f>
        <v/>
      </c>
    </row>
    <row r="270" ht="15" customHeight="1" s="15">
      <c r="A270" s="27" t="inlineStr">
        <is>
          <t>LEAD-0266</t>
        </is>
      </c>
      <c r="B270" s="27" t="inlineStr">
        <is>
          <t>Gabriel Ashford</t>
        </is>
      </c>
      <c r="C270" s="27" t="inlineStr">
        <is>
          <t>YouTuber</t>
        </is>
      </c>
      <c r="D270" s="27" t="inlineStr">
        <is>
          <t>US</t>
        </is>
      </c>
      <c r="E270" s="27" t="inlineStr">
        <is>
          <t>English</t>
        </is>
      </c>
      <c r="F270" s="27" t="inlineStr">
        <is>
          <t>YouTube</t>
        </is>
      </c>
      <c r="G270" s="27" t="inlineStr">
        <is>
          <t>https://www.youtube.com/@gabrielashford</t>
        </is>
      </c>
      <c r="H270" s="27" t="inlineStr">
        <is>
          <t>UCUS00266331538</t>
        </is>
      </c>
      <c r="I270" s="27" t="inlineStr">
        <is>
          <t>440,000</t>
        </is>
      </c>
      <c r="J270" s="27" t="inlineStr">
        <is>
          <t>2026-10-12</t>
        </is>
      </c>
      <c r="K270" s="27" t="inlineStr">
        <is>
          <t>https://www.youtube.com/watch?v=us00266</t>
        </is>
      </c>
      <c r="L270" s="27" t="n">
        <v>14</v>
      </c>
      <c r="M270" s="27" t="n">
        <v>30</v>
      </c>
      <c r="N270" s="27" t="inlineStr">
        <is>
          <t>Course</t>
        </is>
      </c>
      <c r="O270" s="27" t="inlineStr">
        <is>
          <t>https://gabrielashford.com/academy</t>
        </is>
      </c>
      <c r="P270" s="27" t="inlineStr">
        <is>
          <t>Multilingual Audio Dubbing</t>
        </is>
      </c>
      <c r="Q270" s="27" t="inlineStr">
        <is>
          <t>https://gabrielashford.com/highlights</t>
        </is>
      </c>
      <c r="R270" s="27" t="inlineStr">
        <is>
          <t>X (Twitter)</t>
        </is>
      </c>
      <c r="S270" s="27" t="inlineStr">
        <is>
          <t>https://x.com/gabrielashford</t>
        </is>
      </c>
      <c r="T270" s="27" t="inlineStr">
        <is>
          <t>https://gabrielashford.com/links</t>
        </is>
      </c>
      <c r="U270" s="27" t="inlineStr">
        <is>
          <t>LinkedIn</t>
        </is>
      </c>
      <c r="V270" s="27" t="inlineStr">
        <is>
          <t>finance &amp; wealth engineering frameworks, specifically regarding episode 17 on Finance &amp; Wealth Engineering workflow optimization</t>
        </is>
      </c>
      <c r="W270" s="27" t="inlineStr">
        <is>
          <t>Hi Gabriel, loved your recent piece on 'finance &amp; wealth engineering frameworks, specifically regarding episode 17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70" s="27" t="inlineStr">
        <is>
          <t>2026-10-18</t>
        </is>
      </c>
      <c r="Y270" s="27" t="inlineStr">
        <is>
          <t>C</t>
        </is>
      </c>
      <c r="Z270" s="27" t="n">
        <v>80</v>
      </c>
      <c r="AA270" s="27" t="inlineStr">
        <is>
          <t>Qualified</t>
        </is>
      </c>
      <c r="AB270" s="27" t="inlineStr"/>
      <c r="AC270" s="28">
        <f>IF(A270="","",IF(COUNTIF($H$5:$H$1004,H270)&gt;1,"DUPLICATE","UNIQUE"))</f>
        <v/>
      </c>
      <c r="AD270" s="28">
        <f>IF(A270="","",IF(AA270="Rejected",IF(AB270&lt;&gt;"","REJECTED","ADD REASON"),IF(AND(B270&lt;&gt;"",C270&lt;&gt;"",D270&lt;&gt;"",E270&lt;&gt;"",F270&lt;&gt;"",G270&lt;&gt;"",H270&lt;&gt;"",J270&lt;&gt;"",K270&lt;&gt;"",N270&lt;&gt;"",O270&lt;&gt;"",P270&lt;&gt;"",Q270&lt;&gt;"",R270&lt;&gt;"",S270&lt;&gt;"",T270&lt;&gt;"",V270&lt;&gt;"",W270&lt;&gt;"",X270&lt;&gt;"",Y270&lt;&gt;""),"COMPLETE","MISSING FIELDS")))</f>
        <v/>
      </c>
    </row>
    <row r="271" ht="15" customHeight="1" s="15">
      <c r="A271" s="27" t="inlineStr">
        <is>
          <t>LEAD-0267</t>
        </is>
      </c>
      <c r="B271" s="27" t="inlineStr">
        <is>
          <t>Gabriel Bancroft</t>
        </is>
      </c>
      <c r="C271" s="27" t="inlineStr">
        <is>
          <t>Podcaster</t>
        </is>
      </c>
      <c r="D271" s="27" t="inlineStr">
        <is>
          <t>US</t>
        </is>
      </c>
      <c r="E271" s="27" t="inlineStr">
        <is>
          <t>English</t>
        </is>
      </c>
      <c r="F271" s="27" t="inlineStr">
        <is>
          <t>Apple Podcasts</t>
        </is>
      </c>
      <c r="G271" s="27" t="inlineStr">
        <is>
          <t>https://podcasts.apple.com/us/podcast/gabrielbancroft/id1000267</t>
        </is>
      </c>
      <c r="H271" s="27" t="inlineStr">
        <is>
          <t>AP-US-1000267</t>
        </is>
      </c>
      <c r="I271" s="27" t="inlineStr">
        <is>
          <t>216,000</t>
        </is>
      </c>
      <c r="J271" s="27" t="inlineStr">
        <is>
          <t>2026-10-13</t>
        </is>
      </c>
      <c r="K271" s="27" t="inlineStr">
        <is>
          <t>https://gabrielbancroft.com/episodes/68</t>
        </is>
      </c>
      <c r="L271" s="27" t="n">
        <v>15</v>
      </c>
      <c r="M271" s="27" t="n">
        <v>31</v>
      </c>
      <c r="N271" s="27" t="inlineStr">
        <is>
          <t>Sponsor</t>
        </is>
      </c>
      <c r="O271" s="27" t="inlineStr">
        <is>
          <t>https://gabrielbancroft.com/partners</t>
        </is>
      </c>
      <c r="P271" s="27" t="inlineStr">
        <is>
          <t>Multilingual Audio Dubbing</t>
        </is>
      </c>
      <c r="Q271" s="27" t="inlineStr">
        <is>
          <t>https://gabrielbancroft.com/highlights</t>
        </is>
      </c>
      <c r="R271" s="27" t="inlineStr">
        <is>
          <t>Email</t>
        </is>
      </c>
      <c r="S271" s="27" t="inlineStr">
        <is>
          <t>hello@gabrielbancroft.com</t>
        </is>
      </c>
      <c r="T271" s="27" t="inlineStr">
        <is>
          <t>https://gabrielbancroft.com/work-with-me</t>
        </is>
      </c>
      <c r="U271" s="27" t="inlineStr">
        <is>
          <t>LinkedIn</t>
        </is>
      </c>
      <c r="V271" s="27" t="inlineStr">
        <is>
          <t>health &amp; longevity science frameworks, specifically regarding episode 18 on Health &amp; Longevity Science workflow optimization</t>
        </is>
      </c>
      <c r="W271" s="27" t="inlineStr">
        <is>
          <t>Hi Gabriel, loved your recent piece on 'health &amp; longevity science frameworks, specifically regarding episode 18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71" s="27" t="inlineStr">
        <is>
          <t>2026-10-18</t>
        </is>
      </c>
      <c r="Y271" s="27" t="inlineStr">
        <is>
          <t>C</t>
        </is>
      </c>
      <c r="Z271" s="27" t="n">
        <v>80</v>
      </c>
      <c r="AA271" s="27" t="inlineStr">
        <is>
          <t>Qualified</t>
        </is>
      </c>
      <c r="AB271" s="27" t="inlineStr"/>
      <c r="AC271" s="28">
        <f>IF(A271="","",IF(COUNTIF($H$5:$H$1004,H271)&gt;1,"DUPLICATE","UNIQUE"))</f>
        <v/>
      </c>
      <c r="AD271" s="28">
        <f>IF(A271="","",IF(AA271="Rejected",IF(AB271&lt;&gt;"","REJECTED","ADD REASON"),IF(AND(B271&lt;&gt;"",C271&lt;&gt;"",D271&lt;&gt;"",E271&lt;&gt;"",F271&lt;&gt;"",G271&lt;&gt;"",H271&lt;&gt;"",J271&lt;&gt;"",K271&lt;&gt;"",N271&lt;&gt;"",O271&lt;&gt;"",P271&lt;&gt;"",Q271&lt;&gt;"",R271&lt;&gt;"",S271&lt;&gt;"",T271&lt;&gt;"",V271&lt;&gt;"",W271&lt;&gt;"",X271&lt;&gt;"",Y271&lt;&gt;""),"COMPLETE","MISSING FIELDS")))</f>
        <v/>
      </c>
    </row>
    <row r="272" ht="15" customHeight="1" s="15">
      <c r="A272" s="27" t="inlineStr">
        <is>
          <t>LEAD-0268</t>
        </is>
      </c>
      <c r="B272" s="27" t="inlineStr">
        <is>
          <t>Gabriel Calloway</t>
        </is>
      </c>
      <c r="C272" s="27" t="inlineStr">
        <is>
          <t>YouTuber</t>
        </is>
      </c>
      <c r="D272" s="27" t="inlineStr">
        <is>
          <t>US</t>
        </is>
      </c>
      <c r="E272" s="27" t="inlineStr">
        <is>
          <t>English</t>
        </is>
      </c>
      <c r="F272" s="27" t="inlineStr">
        <is>
          <t>YouTube</t>
        </is>
      </c>
      <c r="G272" s="27" t="inlineStr">
        <is>
          <t>https://www.youtube.com/@gabrielcalloway</t>
        </is>
      </c>
      <c r="H272" s="27" t="inlineStr">
        <is>
          <t>UCUS00268352705</t>
        </is>
      </c>
      <c r="I272" s="27" t="inlineStr">
        <is>
          <t>480,000</t>
        </is>
      </c>
      <c r="J272" s="27" t="inlineStr">
        <is>
          <t>2026-10-14</t>
        </is>
      </c>
      <c r="K272" s="27" t="inlineStr">
        <is>
          <t>https://www.youtube.com/watch?v=us00268</t>
        </is>
      </c>
      <c r="L272" s="27" t="n">
        <v>16</v>
      </c>
      <c r="M272" s="27" t="n">
        <v>32</v>
      </c>
      <c r="N272" s="27" t="inlineStr">
        <is>
          <t>Membership</t>
        </is>
      </c>
      <c r="O272" s="27" t="inlineStr">
        <is>
          <t>https://gabrielcalloway.com/community</t>
        </is>
      </c>
      <c r="P272" s="27" t="inlineStr">
        <is>
          <t>Missing Video Captions &amp; Retention Clips</t>
        </is>
      </c>
      <c r="Q272" s="27" t="inlineStr">
        <is>
          <t>https://gabrielcalloway.com/highlights</t>
        </is>
      </c>
      <c r="R272" s="27" t="inlineStr">
        <is>
          <t>Email</t>
        </is>
      </c>
      <c r="S272" s="27" t="inlineStr">
        <is>
          <t>contact@gabrielcalloway.com</t>
        </is>
      </c>
      <c r="T272" s="27" t="inlineStr">
        <is>
          <t>https://gabrielcalloway.com/contact</t>
        </is>
      </c>
      <c r="U272" s="27" t="inlineStr">
        <is>
          <t>LinkedIn</t>
        </is>
      </c>
      <c r="V272" s="27" t="inlineStr">
        <is>
          <t>education &amp; applied coding frameworks, specifically regarding episode 19 on Education &amp; Applied Coding workflow optimization</t>
        </is>
      </c>
      <c r="W272" s="27" t="inlineStr">
        <is>
          <t>Hi Gabriel, loved your recent piece on 'education &amp; applied coding frameworks, specifically regarding episode 19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72" s="27" t="inlineStr">
        <is>
          <t>2026-10-18</t>
        </is>
      </c>
      <c r="Y272" s="27" t="inlineStr">
        <is>
          <t>C</t>
        </is>
      </c>
      <c r="Z272" s="27" t="n">
        <v>79.90000000000001</v>
      </c>
      <c r="AA272" s="27" t="inlineStr">
        <is>
          <t>Qualified</t>
        </is>
      </c>
      <c r="AB272" s="27" t="inlineStr"/>
      <c r="AC272" s="28">
        <f>IF(A272="","",IF(COUNTIF($H$5:$H$1004,H272)&gt;1,"DUPLICATE","UNIQUE"))</f>
        <v/>
      </c>
      <c r="AD272" s="28">
        <f>IF(A272="","",IF(AA272="Rejected",IF(AB272&lt;&gt;"","REJECTED","ADD REASON"),IF(AND(B272&lt;&gt;"",C272&lt;&gt;"",D272&lt;&gt;"",E272&lt;&gt;"",F272&lt;&gt;"",G272&lt;&gt;"",H272&lt;&gt;"",J272&lt;&gt;"",K272&lt;&gt;"",N272&lt;&gt;"",O272&lt;&gt;"",P272&lt;&gt;"",Q272&lt;&gt;"",R272&lt;&gt;"",S272&lt;&gt;"",T272&lt;&gt;"",V272&lt;&gt;"",W272&lt;&gt;"",X272&lt;&gt;"",Y272&lt;&gt;""),"COMPLETE","MISSING FIELDS")))</f>
        <v/>
      </c>
    </row>
    <row r="273" ht="15" customHeight="1" s="15">
      <c r="A273" s="27" t="inlineStr">
        <is>
          <t>LEAD-0269</t>
        </is>
      </c>
      <c r="B273" s="27" t="inlineStr">
        <is>
          <t>Gabriel Delaney</t>
        </is>
      </c>
      <c r="C273" s="27" t="inlineStr">
        <is>
          <t>Podcaster</t>
        </is>
      </c>
      <c r="D273" s="27" t="inlineStr">
        <is>
          <t>US</t>
        </is>
      </c>
      <c r="E273" s="27" t="inlineStr">
        <is>
          <t>English</t>
        </is>
      </c>
      <c r="F273" s="27" t="inlineStr">
        <is>
          <t>Apple Podcasts</t>
        </is>
      </c>
      <c r="G273" s="27" t="inlineStr">
        <is>
          <t>https://podcasts.apple.com/us/podcast/gabrieldelaney/id1000269</t>
        </is>
      </c>
      <c r="H273" s="27" t="inlineStr">
        <is>
          <t>AP-US-1000269</t>
        </is>
      </c>
      <c r="I273" s="27" t="inlineStr">
        <is>
          <t>240,000</t>
        </is>
      </c>
      <c r="J273" s="27" t="inlineStr">
        <is>
          <t>2026-10-15</t>
        </is>
      </c>
      <c r="K273" s="27" t="inlineStr">
        <is>
          <t>https://gabrieldelaney.com/episodes/70</t>
        </is>
      </c>
      <c r="L273" s="27" t="n">
        <v>17</v>
      </c>
      <c r="M273" s="27" t="n">
        <v>33</v>
      </c>
      <c r="N273" s="27" t="inlineStr">
        <is>
          <t>Product</t>
        </is>
      </c>
      <c r="O273" s="27" t="inlineStr">
        <is>
          <t>https://gabrieldelaney.com/shop</t>
        </is>
      </c>
      <c r="P273" s="27" t="inlineStr">
        <is>
          <t>Shorts Repurposing Bottleneck</t>
        </is>
      </c>
      <c r="Q273" s="27" t="inlineStr">
        <is>
          <t>https://gabrieldelaney.com/highlights</t>
        </is>
      </c>
      <c r="R273" s="27" t="inlineStr">
        <is>
          <t>LinkedIn</t>
        </is>
      </c>
      <c r="S273" s="27" t="inlineStr">
        <is>
          <t>https://linkedin.com/in/gabrieldelaney</t>
        </is>
      </c>
      <c r="T273" s="27" t="inlineStr">
        <is>
          <t>https://gabrieldelaney.com/about</t>
        </is>
      </c>
      <c r="U273" s="27" t="inlineStr">
        <is>
          <t>Email</t>
        </is>
      </c>
      <c r="V273" s="27" t="inlineStr">
        <is>
          <t>e-commerce &amp; digital brands frameworks, specifically regarding episode 20 on E-Commerce &amp; Digital Brands workflow optimization</t>
        </is>
      </c>
      <c r="W273" s="27" t="inlineStr">
        <is>
          <t>Hi Gabriel, loved your recent piece on 'e-commerce &amp; digital brands frameworks, specifically regarding episode 20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73" s="27" t="inlineStr">
        <is>
          <t>2026-10-18</t>
        </is>
      </c>
      <c r="Y273" s="27" t="inlineStr">
        <is>
          <t>C</t>
        </is>
      </c>
      <c r="Z273" s="27" t="n">
        <v>79.90000000000001</v>
      </c>
      <c r="AA273" s="27" t="inlineStr">
        <is>
          <t>Qualified</t>
        </is>
      </c>
      <c r="AB273" s="27" t="inlineStr"/>
      <c r="AC273" s="28">
        <f>IF(A273="","",IF(COUNTIF($H$5:$H$1004,H273)&gt;1,"DUPLICATE","UNIQUE"))</f>
        <v/>
      </c>
      <c r="AD273" s="28">
        <f>IF(A273="","",IF(AA273="Rejected",IF(AB273&lt;&gt;"","REJECTED","ADD REASON"),IF(AND(B273&lt;&gt;"",C273&lt;&gt;"",D273&lt;&gt;"",E273&lt;&gt;"",F273&lt;&gt;"",G273&lt;&gt;"",H273&lt;&gt;"",J273&lt;&gt;"",K273&lt;&gt;"",N273&lt;&gt;"",O273&lt;&gt;"",P273&lt;&gt;"",Q273&lt;&gt;"",R273&lt;&gt;"",S273&lt;&gt;"",T273&lt;&gt;"",V273&lt;&gt;"",W273&lt;&gt;"",X273&lt;&gt;"",Y273&lt;&gt;""),"COMPLETE","MISSING FIELDS")))</f>
        <v/>
      </c>
    </row>
    <row r="274" ht="15" customHeight="1" s="15">
      <c r="A274" s="27" t="inlineStr">
        <is>
          <t>LEAD-0270</t>
        </is>
      </c>
      <c r="B274" s="27" t="inlineStr">
        <is>
          <t>Gabriel Eastwood</t>
        </is>
      </c>
      <c r="C274" s="27" t="inlineStr">
        <is>
          <t>YouTuber</t>
        </is>
      </c>
      <c r="D274" s="27" t="inlineStr">
        <is>
          <t>US</t>
        </is>
      </c>
      <c r="E274" s="27" t="inlineStr">
        <is>
          <t>English</t>
        </is>
      </c>
      <c r="F274" s="27" t="inlineStr">
        <is>
          <t>YouTube</t>
        </is>
      </c>
      <c r="G274" s="27" t="inlineStr">
        <is>
          <t>https://www.youtube.com/@gabrieleastwood</t>
        </is>
      </c>
      <c r="H274" s="27" t="inlineStr">
        <is>
          <t>UCUS00270200875</t>
        </is>
      </c>
      <c r="I274" s="27" t="inlineStr">
        <is>
          <t>520,000</t>
        </is>
      </c>
      <c r="J274" s="27" t="inlineStr">
        <is>
          <t>2026-10-16</t>
        </is>
      </c>
      <c r="K274" s="27" t="inlineStr">
        <is>
          <t>https://www.youtube.com/watch?v=us00270</t>
        </is>
      </c>
      <c r="L274" s="27" t="n">
        <v>8</v>
      </c>
      <c r="M274" s="27" t="n">
        <v>16</v>
      </c>
      <c r="N274" s="27" t="inlineStr">
        <is>
          <t>Consulting</t>
        </is>
      </c>
      <c r="O274" s="27" t="inlineStr">
        <is>
          <t>https://gabrieleastwood.com/advisory</t>
        </is>
      </c>
      <c r="P274" s="27" t="inlineStr">
        <is>
          <t>Shorts Repurposing Bottleneck</t>
        </is>
      </c>
      <c r="Q274" s="27" t="inlineStr">
        <is>
          <t>https://gabrieleastwood.com/highlights</t>
        </is>
      </c>
      <c r="R274" s="27" t="inlineStr">
        <is>
          <t>X (Twitter)</t>
        </is>
      </c>
      <c r="S274" s="27" t="inlineStr">
        <is>
          <t>https://x.com/gabrieleastwood</t>
        </is>
      </c>
      <c r="T274" s="27" t="inlineStr">
        <is>
          <t>https://gabrieleastwood.com/links</t>
        </is>
      </c>
      <c r="U274" s="27" t="inlineStr">
        <is>
          <t>LinkedIn</t>
        </is>
      </c>
      <c r="V274" s="27" t="inlineStr">
        <is>
          <t>tech &amp; ai frameworks, specifically regarding episode 21 on Tech &amp; AI workflow optimization</t>
        </is>
      </c>
      <c r="W274" s="27" t="inlineStr">
        <is>
          <t>Hi Gabriel, loved your recent piece on 'tech &amp; ai frameworks, specifically regarding episode 21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74" s="27" t="inlineStr">
        <is>
          <t>2026-10-18</t>
        </is>
      </c>
      <c r="Y274" s="27" t="inlineStr">
        <is>
          <t>C</t>
        </is>
      </c>
      <c r="Z274" s="27" t="n">
        <v>79.8</v>
      </c>
      <c r="AA274" s="27" t="inlineStr">
        <is>
          <t>Qualified</t>
        </is>
      </c>
      <c r="AB274" s="27" t="inlineStr"/>
      <c r="AC274" s="28">
        <f>IF(A274="","",IF(COUNTIF($H$5:$H$1004,H274)&gt;1,"DUPLICATE","UNIQUE"))</f>
        <v/>
      </c>
      <c r="AD274" s="28">
        <f>IF(A274="","",IF(AA274="Rejected",IF(AB274&lt;&gt;"","REJECTED","ADD REASON"),IF(AND(B274&lt;&gt;"",C274&lt;&gt;"",D274&lt;&gt;"",E274&lt;&gt;"",F274&lt;&gt;"",G274&lt;&gt;"",H274&lt;&gt;"",J274&lt;&gt;"",K274&lt;&gt;"",N274&lt;&gt;"",O274&lt;&gt;"",P274&lt;&gt;"",Q274&lt;&gt;"",R274&lt;&gt;"",S274&lt;&gt;"",T274&lt;&gt;"",V274&lt;&gt;"",W274&lt;&gt;"",X274&lt;&gt;"",Y274&lt;&gt;""),"COMPLETE","MISSING FIELDS")))</f>
        <v/>
      </c>
    </row>
    <row r="275" ht="15" customHeight="1" s="15">
      <c r="A275" s="27" t="inlineStr">
        <is>
          <t>LEAD-0271</t>
        </is>
      </c>
      <c r="B275" s="27" t="inlineStr">
        <is>
          <t>Gabriel Fairchild</t>
        </is>
      </c>
      <c r="C275" s="27" t="inlineStr">
        <is>
          <t>Podcaster</t>
        </is>
      </c>
      <c r="D275" s="27" t="inlineStr">
        <is>
          <t>US</t>
        </is>
      </c>
      <c r="E275" s="27" t="inlineStr">
        <is>
          <t>English</t>
        </is>
      </c>
      <c r="F275" s="27" t="inlineStr">
        <is>
          <t>Apple Podcasts</t>
        </is>
      </c>
      <c r="G275" s="27" t="inlineStr">
        <is>
          <t>https://podcasts.apple.com/us/podcast/gabrielfairchild/id1000271</t>
        </is>
      </c>
      <c r="H275" s="27" t="inlineStr">
        <is>
          <t>AP-US-1000271</t>
        </is>
      </c>
      <c r="I275" s="27" t="inlineStr">
        <is>
          <t>264,000</t>
        </is>
      </c>
      <c r="J275" s="27" t="inlineStr">
        <is>
          <t>2026-10-17</t>
        </is>
      </c>
      <c r="K275" s="27" t="inlineStr">
        <is>
          <t>https://gabrielfairchild.com/episodes/72</t>
        </is>
      </c>
      <c r="L275" s="27" t="n">
        <v>9</v>
      </c>
      <c r="M275" s="27" t="n">
        <v>17</v>
      </c>
      <c r="N275" s="27" t="inlineStr">
        <is>
          <t>Newsletter Subscription</t>
        </is>
      </c>
      <c r="O275" s="27" t="inlineStr">
        <is>
          <t>https://gabrielfairchild.com/subscribe</t>
        </is>
      </c>
      <c r="P275" s="27" t="inlineStr">
        <is>
          <t>Missing Video Captions &amp; Retention Clips</t>
        </is>
      </c>
      <c r="Q275" s="27" t="inlineStr">
        <is>
          <t>https://gabrielfairchild.com/highlights</t>
        </is>
      </c>
      <c r="R275" s="27" t="inlineStr">
        <is>
          <t>Email</t>
        </is>
      </c>
      <c r="S275" s="27" t="inlineStr">
        <is>
          <t>hello@gabrielfairchild.com</t>
        </is>
      </c>
      <c r="T275" s="27" t="inlineStr">
        <is>
          <t>https://gabrielfairchild.com/work-with-me</t>
        </is>
      </c>
      <c r="U275" s="27" t="inlineStr">
        <is>
          <t>LinkedIn</t>
        </is>
      </c>
      <c r="V275" s="27" t="inlineStr">
        <is>
          <t>saas &amp; product growth frameworks, specifically regarding episode 22 on SaaS &amp; Product Growth workflow optimization</t>
        </is>
      </c>
      <c r="W275" s="27" t="inlineStr">
        <is>
          <t>Hi Gabriel, loved your recent piece on 'saas &amp; product growth frameworks, specifically regarding episode 22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75" s="27" t="inlineStr">
        <is>
          <t>2026-10-18</t>
        </is>
      </c>
      <c r="Y275" s="27" t="inlineStr">
        <is>
          <t>C</t>
        </is>
      </c>
      <c r="Z275" s="27" t="n">
        <v>79.7</v>
      </c>
      <c r="AA275" s="27" t="inlineStr">
        <is>
          <t>Qualified</t>
        </is>
      </c>
      <c r="AB275" s="27" t="inlineStr"/>
      <c r="AC275" s="28">
        <f>IF(A275="","",IF(COUNTIF($H$5:$H$1004,H275)&gt;1,"DUPLICATE","UNIQUE"))</f>
        <v/>
      </c>
      <c r="AD275" s="28">
        <f>IF(A275="","",IF(AA275="Rejected",IF(AB275&lt;&gt;"","REJECTED","ADD REASON"),IF(AND(B275&lt;&gt;"",C275&lt;&gt;"",D275&lt;&gt;"",E275&lt;&gt;"",F275&lt;&gt;"",G275&lt;&gt;"",H275&lt;&gt;"",J275&lt;&gt;"",K275&lt;&gt;"",N275&lt;&gt;"",O275&lt;&gt;"",P275&lt;&gt;"",Q275&lt;&gt;"",R275&lt;&gt;"",S275&lt;&gt;"",T275&lt;&gt;"",V275&lt;&gt;"",W275&lt;&gt;"",X275&lt;&gt;"",Y275&lt;&gt;""),"COMPLETE","MISSING FIELDS")))</f>
        <v/>
      </c>
    </row>
    <row r="276" ht="15" customHeight="1" s="15">
      <c r="A276" s="27" t="inlineStr">
        <is>
          <t>LEAD-0272</t>
        </is>
      </c>
      <c r="B276" s="27" t="inlineStr">
        <is>
          <t>Gabriel Gallagher</t>
        </is>
      </c>
      <c r="C276" s="27" t="inlineStr">
        <is>
          <t>Expert-Led Creator</t>
        </is>
      </c>
      <c r="D276" s="27" t="inlineStr">
        <is>
          <t>US</t>
        </is>
      </c>
      <c r="E276" s="27" t="inlineStr">
        <is>
          <t>English</t>
        </is>
      </c>
      <c r="F276" s="27" t="inlineStr">
        <is>
          <t>YouTube</t>
        </is>
      </c>
      <c r="G276" s="27" t="inlineStr">
        <is>
          <t>https://www.youtube.com/@gabrielgallagher</t>
        </is>
      </c>
      <c r="H276" s="27" t="inlineStr">
        <is>
          <t>UCUS00272571119</t>
        </is>
      </c>
      <c r="I276" s="27" t="inlineStr">
        <is>
          <t>560,000</t>
        </is>
      </c>
      <c r="J276" s="27" t="inlineStr">
        <is>
          <t>2026-10-10</t>
        </is>
      </c>
      <c r="K276" s="27" t="inlineStr">
        <is>
          <t>https://www.youtube.com/watch?v=us00272</t>
        </is>
      </c>
      <c r="L276" s="27" t="n">
        <v>10</v>
      </c>
      <c r="M276" s="27" t="n">
        <v>18</v>
      </c>
      <c r="N276" s="27" t="inlineStr">
        <is>
          <t>Affiliate</t>
        </is>
      </c>
      <c r="O276" s="27" t="inlineStr">
        <is>
          <t>https://gabrielgallagher.com/resources</t>
        </is>
      </c>
      <c r="P276" s="27" t="inlineStr">
        <is>
          <t>Editing Backlog &amp; Team Workflow Overhead</t>
        </is>
      </c>
      <c r="Q276" s="27" t="inlineStr">
        <is>
          <t>https://gabrielgallagher.com/highlights</t>
        </is>
      </c>
      <c r="R276" s="27" t="inlineStr">
        <is>
          <t>Email</t>
        </is>
      </c>
      <c r="S276" s="27" t="inlineStr">
        <is>
          <t>contact@gabrielgallagher.com</t>
        </is>
      </c>
      <c r="T276" s="27" t="inlineStr">
        <is>
          <t>https://gabrielgallagher.com/contact</t>
        </is>
      </c>
      <c r="U276" s="27" t="inlineStr">
        <is>
          <t>LinkedIn</t>
        </is>
      </c>
      <c r="V276" s="27" t="inlineStr">
        <is>
          <t>creator business &amp; monetization frameworks, specifically regarding episode 23 on Creator Business &amp; Monetization workflow optimization</t>
        </is>
      </c>
      <c r="W276" s="27" t="inlineStr">
        <is>
          <t>Hi Gabriel, loved your recent piece on 'creator business &amp; monetization frameworks, specifically regarding episode 23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76" s="27" t="inlineStr">
        <is>
          <t>2026-10-18</t>
        </is>
      </c>
      <c r="Y276" s="27" t="inlineStr">
        <is>
          <t>C</t>
        </is>
      </c>
      <c r="Z276" s="27" t="n">
        <v>79.7</v>
      </c>
      <c r="AA276" s="27" t="inlineStr">
        <is>
          <t>Qualified</t>
        </is>
      </c>
      <c r="AB276" s="27" t="inlineStr"/>
      <c r="AC276" s="28">
        <f>IF(A276="","",IF(COUNTIF($H$5:$H$1004,H276)&gt;1,"DUPLICATE","UNIQUE"))</f>
        <v/>
      </c>
      <c r="AD276" s="28">
        <f>IF(A276="","",IF(AA276="Rejected",IF(AB276&lt;&gt;"","REJECTED","ADD REASON"),IF(AND(B276&lt;&gt;"",C276&lt;&gt;"",D276&lt;&gt;"",E276&lt;&gt;"",F276&lt;&gt;"",G276&lt;&gt;"",H276&lt;&gt;"",J276&lt;&gt;"",K276&lt;&gt;"",N276&lt;&gt;"",O276&lt;&gt;"",P276&lt;&gt;"",Q276&lt;&gt;"",R276&lt;&gt;"",S276&lt;&gt;"",T276&lt;&gt;"",V276&lt;&gt;"",W276&lt;&gt;"",X276&lt;&gt;"",Y276&lt;&gt;""),"COMPLETE","MISSING FIELDS")))</f>
        <v/>
      </c>
    </row>
    <row r="277" ht="15" customHeight="1" s="15">
      <c r="A277" s="27" t="inlineStr">
        <is>
          <t>LEAD-0273</t>
        </is>
      </c>
      <c r="B277" s="27" t="inlineStr">
        <is>
          <t>Gabriel Hawthorne</t>
        </is>
      </c>
      <c r="C277" s="27" t="inlineStr">
        <is>
          <t>YouTuber</t>
        </is>
      </c>
      <c r="D277" s="27" t="inlineStr">
        <is>
          <t>US</t>
        </is>
      </c>
      <c r="E277" s="27" t="inlineStr">
        <is>
          <t>English</t>
        </is>
      </c>
      <c r="F277" s="27" t="inlineStr">
        <is>
          <t>YouTube</t>
        </is>
      </c>
      <c r="G277" s="27" t="inlineStr">
        <is>
          <t>https://www.youtube.com/@gabrielhawthorne</t>
        </is>
      </c>
      <c r="H277" s="27" t="inlineStr">
        <is>
          <t>UCUS00273694162</t>
        </is>
      </c>
      <c r="I277" s="27" t="inlineStr">
        <is>
          <t>580,000</t>
        </is>
      </c>
      <c r="J277" s="27" t="inlineStr">
        <is>
          <t>2026-10-11</t>
        </is>
      </c>
      <c r="K277" s="27" t="inlineStr">
        <is>
          <t>https://www.youtube.com/watch?v=us00273</t>
        </is>
      </c>
      <c r="L277" s="27" t="n">
        <v>11</v>
      </c>
      <c r="M277" s="27" t="n">
        <v>19</v>
      </c>
      <c r="N277" s="27" t="inlineStr">
        <is>
          <t>Course</t>
        </is>
      </c>
      <c r="O277" s="27" t="inlineStr">
        <is>
          <t>https://gabrielhawthorne.com/academy</t>
        </is>
      </c>
      <c r="P277" s="27" t="inlineStr">
        <is>
          <t>Shorts Repurposing Bottleneck</t>
        </is>
      </c>
      <c r="Q277" s="27" t="inlineStr">
        <is>
          <t>https://gabrielhawthorne.com/highlights</t>
        </is>
      </c>
      <c r="R277" s="27" t="inlineStr">
        <is>
          <t>LinkedIn</t>
        </is>
      </c>
      <c r="S277" s="27" t="inlineStr">
        <is>
          <t>https://linkedin.com/in/gabrielhawthorne</t>
        </is>
      </c>
      <c r="T277" s="27" t="inlineStr">
        <is>
          <t>https://gabrielhawthorne.com/about</t>
        </is>
      </c>
      <c r="U277" s="27" t="inlineStr">
        <is>
          <t>Email</t>
        </is>
      </c>
      <c r="V277" s="27" t="inlineStr">
        <is>
          <t>productivity &amp; personal systems frameworks, specifically regarding episode 24 on Productivity &amp; Personal Systems workflow optimization</t>
        </is>
      </c>
      <c r="W277" s="27" t="inlineStr">
        <is>
          <t>Hi Gabriel, loved your recent piece on 'productivity &amp; personal systems frameworks, specifically regarding episode 24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77" s="27" t="inlineStr">
        <is>
          <t>2026-10-18</t>
        </is>
      </c>
      <c r="Y277" s="27" t="inlineStr">
        <is>
          <t>C</t>
        </is>
      </c>
      <c r="Z277" s="27" t="n">
        <v>79.59999999999999</v>
      </c>
      <c r="AA277" s="27" t="inlineStr">
        <is>
          <t>Qualified</t>
        </is>
      </c>
      <c r="AB277" s="27" t="inlineStr"/>
      <c r="AC277" s="28">
        <f>IF(A277="","",IF(COUNTIF($H$5:$H$1004,H277)&gt;1,"DUPLICATE","UNIQUE"))</f>
        <v/>
      </c>
      <c r="AD277" s="28">
        <f>IF(A277="","",IF(AA277="Rejected",IF(AB277&lt;&gt;"","REJECTED","ADD REASON"),IF(AND(B277&lt;&gt;"",C277&lt;&gt;"",D277&lt;&gt;"",E277&lt;&gt;"",F277&lt;&gt;"",G277&lt;&gt;"",H277&lt;&gt;"",J277&lt;&gt;"",K277&lt;&gt;"",N277&lt;&gt;"",O277&lt;&gt;"",P277&lt;&gt;"",Q277&lt;&gt;"",R277&lt;&gt;"",S277&lt;&gt;"",T277&lt;&gt;"",V277&lt;&gt;"",W277&lt;&gt;"",X277&lt;&gt;"",Y277&lt;&gt;""),"COMPLETE","MISSING FIELDS")))</f>
        <v/>
      </c>
    </row>
    <row r="278" ht="15" customHeight="1" s="15">
      <c r="A278" s="27" t="inlineStr">
        <is>
          <t>LEAD-0274</t>
        </is>
      </c>
      <c r="B278" s="27" t="inlineStr">
        <is>
          <t>Gabriel Ingram</t>
        </is>
      </c>
      <c r="C278" s="27" t="inlineStr">
        <is>
          <t>Podcaster</t>
        </is>
      </c>
      <c r="D278" s="27" t="inlineStr">
        <is>
          <t>US</t>
        </is>
      </c>
      <c r="E278" s="27" t="inlineStr">
        <is>
          <t>English</t>
        </is>
      </c>
      <c r="F278" s="27" t="inlineStr">
        <is>
          <t>Apple Podcasts</t>
        </is>
      </c>
      <c r="G278" s="27" t="inlineStr">
        <is>
          <t>https://podcasts.apple.com/us/podcast/gabrielingram/id1000274</t>
        </is>
      </c>
      <c r="H278" s="27" t="inlineStr">
        <is>
          <t>AP-US-1000274</t>
        </is>
      </c>
      <c r="I278" s="27" t="inlineStr">
        <is>
          <t>300,000</t>
        </is>
      </c>
      <c r="J278" s="27" t="inlineStr">
        <is>
          <t>2026-10-12</t>
        </is>
      </c>
      <c r="K278" s="27" t="inlineStr">
        <is>
          <t>https://gabrielingram.com/episodes/75</t>
        </is>
      </c>
      <c r="L278" s="27" t="n">
        <v>12</v>
      </c>
      <c r="M278" s="27" t="n">
        <v>20</v>
      </c>
      <c r="N278" s="27" t="inlineStr">
        <is>
          <t>Sponsor</t>
        </is>
      </c>
      <c r="O278" s="27" t="inlineStr">
        <is>
          <t>https://gabrielingram.com/partners</t>
        </is>
      </c>
      <c r="P278" s="27" t="inlineStr">
        <is>
          <t>Inconsistent Cross-Platform Publishing</t>
        </is>
      </c>
      <c r="Q278" s="27" t="inlineStr">
        <is>
          <t>https://gabrielingram.com/highlights</t>
        </is>
      </c>
      <c r="R278" s="27" t="inlineStr">
        <is>
          <t>X (Twitter)</t>
        </is>
      </c>
      <c r="S278" s="27" t="inlineStr">
        <is>
          <t>https://x.com/gabrielingram</t>
        </is>
      </c>
      <c r="T278" s="27" t="inlineStr">
        <is>
          <t>https://gabrielingram.com/links</t>
        </is>
      </c>
      <c r="U278" s="27" t="inlineStr">
        <is>
          <t>LinkedIn</t>
        </is>
      </c>
      <c r="V278" s="27" t="inlineStr">
        <is>
          <t>leadership &amp; team ops frameworks, specifically regarding episode 25 on Leadership &amp; Team Ops workflow optimization</t>
        </is>
      </c>
      <c r="W278" s="27" t="inlineStr">
        <is>
          <t>Hi Gabriel, loved your recent piece on 'leadership &amp; team ops frameworks, specifically regarding episode 25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78" s="27" t="inlineStr">
        <is>
          <t>2026-10-18</t>
        </is>
      </c>
      <c r="Y278" s="27" t="inlineStr">
        <is>
          <t>C</t>
        </is>
      </c>
      <c r="Z278" s="27" t="n">
        <v>79.59999999999999</v>
      </c>
      <c r="AA278" s="27" t="inlineStr">
        <is>
          <t>Qualified</t>
        </is>
      </c>
      <c r="AB278" s="27" t="inlineStr"/>
      <c r="AC278" s="28">
        <f>IF(A278="","",IF(COUNTIF($H$5:$H$1004,H278)&gt;1,"DUPLICATE","UNIQUE"))</f>
        <v/>
      </c>
      <c r="AD278" s="28">
        <f>IF(A278="","",IF(AA278="Rejected",IF(AB278&lt;&gt;"","REJECTED","ADD REASON"),IF(AND(B278&lt;&gt;"",C278&lt;&gt;"",D278&lt;&gt;"",E278&lt;&gt;"",F278&lt;&gt;"",G278&lt;&gt;"",H278&lt;&gt;"",J278&lt;&gt;"",K278&lt;&gt;"",N278&lt;&gt;"",O278&lt;&gt;"",P278&lt;&gt;"",Q278&lt;&gt;"",R278&lt;&gt;"",S278&lt;&gt;"",T278&lt;&gt;"",V278&lt;&gt;"",W278&lt;&gt;"",X278&lt;&gt;"",Y278&lt;&gt;""),"COMPLETE","MISSING FIELDS")))</f>
        <v/>
      </c>
    </row>
    <row r="279" ht="15" customHeight="1" s="15">
      <c r="A279" s="27" t="inlineStr">
        <is>
          <t>LEAD-0275</t>
        </is>
      </c>
      <c r="B279" s="27" t="inlineStr">
        <is>
          <t>Gabriel Jennings</t>
        </is>
      </c>
      <c r="C279" s="27" t="inlineStr">
        <is>
          <t>Expert-Led Creator</t>
        </is>
      </c>
      <c r="D279" s="27" t="inlineStr">
        <is>
          <t>US</t>
        </is>
      </c>
      <c r="E279" s="27" t="inlineStr">
        <is>
          <t>English</t>
        </is>
      </c>
      <c r="F279" s="27" t="inlineStr">
        <is>
          <t>LinkedIn</t>
        </is>
      </c>
      <c r="G279" s="27" t="inlineStr">
        <is>
          <t>https://www.linkedin.com/in/gabrieljennings</t>
        </is>
      </c>
      <c r="H279" s="27" t="inlineStr">
        <is>
          <t>LI-gabrieljennings-0275</t>
        </is>
      </c>
      <c r="I279" s="27" t="inlineStr">
        <is>
          <t>36,000</t>
        </is>
      </c>
      <c r="J279" s="27" t="inlineStr">
        <is>
          <t>2026-10-13</t>
        </is>
      </c>
      <c r="K279" s="27" t="inlineStr">
        <is>
          <t>https://gabrieljennings.com/posts/126</t>
        </is>
      </c>
      <c r="L279" s="27" t="n">
        <v>13</v>
      </c>
      <c r="M279" s="27" t="n">
        <v>21</v>
      </c>
      <c r="N279" s="27" t="inlineStr">
        <is>
          <t>Membership</t>
        </is>
      </c>
      <c r="O279" s="27" t="inlineStr">
        <is>
          <t>https://gabrieljennings.com/community</t>
        </is>
      </c>
      <c r="P279" s="27" t="inlineStr">
        <is>
          <t>Editing Backlog &amp; Team Workflow Overhead</t>
        </is>
      </c>
      <c r="Q279" s="27" t="inlineStr">
        <is>
          <t>https://gabrieljennings.com/highlights</t>
        </is>
      </c>
      <c r="R279" s="27" t="inlineStr">
        <is>
          <t>Email</t>
        </is>
      </c>
      <c r="S279" s="27" t="inlineStr">
        <is>
          <t>hello@gabrieljennings.com</t>
        </is>
      </c>
      <c r="T279" s="27" t="inlineStr">
        <is>
          <t>https://gabrieljennings.com/work-with-me</t>
        </is>
      </c>
      <c r="U279" s="27" t="inlineStr">
        <is>
          <t>LinkedIn</t>
        </is>
      </c>
      <c r="V279" s="27" t="inlineStr">
        <is>
          <t>b2b marketing &amp; sales frameworks, specifically regarding episode 26 on B2B Marketing &amp; Sales workflow optimization</t>
        </is>
      </c>
      <c r="W279" s="27" t="inlineStr">
        <is>
          <t>Hi Gabriel, loved your recent piece on 'b2b marketing &amp; sales frameworks, specifically regarding episode 26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79" s="27" t="inlineStr">
        <is>
          <t>2026-10-18</t>
        </is>
      </c>
      <c r="Y279" s="27" t="inlineStr">
        <is>
          <t>C</t>
        </is>
      </c>
      <c r="Z279" s="27" t="n">
        <v>79.5</v>
      </c>
      <c r="AA279" s="27" t="inlineStr">
        <is>
          <t>Qualified</t>
        </is>
      </c>
      <c r="AB279" s="27" t="inlineStr"/>
      <c r="AC279" s="28">
        <f>IF(A279="","",IF(COUNTIF($H$5:$H$1004,H279)&gt;1,"DUPLICATE","UNIQUE"))</f>
        <v/>
      </c>
      <c r="AD279" s="28">
        <f>IF(A279="","",IF(AA279="Rejected",IF(AB279&lt;&gt;"","REJECTED","ADD REASON"),IF(AND(B279&lt;&gt;"",C279&lt;&gt;"",D279&lt;&gt;"",E279&lt;&gt;"",F279&lt;&gt;"",G279&lt;&gt;"",H279&lt;&gt;"",J279&lt;&gt;"",K279&lt;&gt;"",N279&lt;&gt;"",O279&lt;&gt;"",P279&lt;&gt;"",Q279&lt;&gt;"",R279&lt;&gt;"",S279&lt;&gt;"",T279&lt;&gt;"",V279&lt;&gt;"",W279&lt;&gt;"",X279&lt;&gt;"",Y279&lt;&gt;""),"COMPLETE","MISSING FIELDS")))</f>
        <v/>
      </c>
    </row>
    <row r="280" ht="15" customHeight="1" s="15">
      <c r="A280" s="27" t="inlineStr">
        <is>
          <t>LEAD-0276</t>
        </is>
      </c>
      <c r="B280" s="27" t="inlineStr">
        <is>
          <t>Gabriel Kingsley</t>
        </is>
      </c>
      <c r="C280" s="27" t="inlineStr">
        <is>
          <t>YouTuber</t>
        </is>
      </c>
      <c r="D280" s="27" t="inlineStr">
        <is>
          <t>US</t>
        </is>
      </c>
      <c r="E280" s="27" t="inlineStr">
        <is>
          <t>English</t>
        </is>
      </c>
      <c r="F280" s="27" t="inlineStr">
        <is>
          <t>YouTube</t>
        </is>
      </c>
      <c r="G280" s="27" t="inlineStr">
        <is>
          <t>https://www.youtube.com/@gabrielkingsley</t>
        </is>
      </c>
      <c r="H280" s="27" t="inlineStr">
        <is>
          <t>UCUS00276230946</t>
        </is>
      </c>
      <c r="I280" s="27" t="inlineStr">
        <is>
          <t>640,000</t>
        </is>
      </c>
      <c r="J280" s="27" t="inlineStr">
        <is>
          <t>2026-10-14</t>
        </is>
      </c>
      <c r="K280" s="27" t="inlineStr">
        <is>
          <t>https://www.youtube.com/watch?v=us00276</t>
        </is>
      </c>
      <c r="L280" s="27" t="n">
        <v>14</v>
      </c>
      <c r="M280" s="27" t="n">
        <v>22</v>
      </c>
      <c r="N280" s="27" t="inlineStr">
        <is>
          <t>Product</t>
        </is>
      </c>
      <c r="O280" s="27" t="inlineStr">
        <is>
          <t>https://gabrielkingsley.com/shop</t>
        </is>
      </c>
      <c r="P280" s="27" t="inlineStr">
        <is>
          <t>Multilingual Audio Dubbing</t>
        </is>
      </c>
      <c r="Q280" s="27" t="inlineStr">
        <is>
          <t>https://gabrielkingsley.com/highlights</t>
        </is>
      </c>
      <c r="R280" s="27" t="inlineStr">
        <is>
          <t>Email</t>
        </is>
      </c>
      <c r="S280" s="27" t="inlineStr">
        <is>
          <t>contact@gabrielkingsley.com</t>
        </is>
      </c>
      <c r="T280" s="27" t="inlineStr">
        <is>
          <t>https://gabrielkingsley.com/contact</t>
        </is>
      </c>
      <c r="U280" s="27" t="inlineStr">
        <is>
          <t>LinkedIn</t>
        </is>
      </c>
      <c r="V280" s="27" t="inlineStr">
        <is>
          <t>finance &amp; wealth engineering frameworks, specifically regarding episode 27 on Finance &amp; Wealth Engineering workflow optimization</t>
        </is>
      </c>
      <c r="W280" s="27" t="inlineStr">
        <is>
          <t>Hi Gabriel,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80" s="27" t="inlineStr">
        <is>
          <t>2026-10-18</t>
        </is>
      </c>
      <c r="Y280" s="27" t="inlineStr">
        <is>
          <t>C</t>
        </is>
      </c>
      <c r="Z280" s="27" t="n">
        <v>79.40000000000001</v>
      </c>
      <c r="AA280" s="27" t="inlineStr">
        <is>
          <t>Qualified</t>
        </is>
      </c>
      <c r="AB280" s="27" t="inlineStr"/>
      <c r="AC280" s="28">
        <f>IF(A280="","",IF(COUNTIF($H$5:$H$1004,H280)&gt;1,"DUPLICATE","UNIQUE"))</f>
        <v/>
      </c>
      <c r="AD280" s="28">
        <f>IF(A280="","",IF(AA280="Rejected",IF(AB280&lt;&gt;"","REJECTED","ADD REASON"),IF(AND(B280&lt;&gt;"",C280&lt;&gt;"",D280&lt;&gt;"",E280&lt;&gt;"",F280&lt;&gt;"",G280&lt;&gt;"",H280&lt;&gt;"",J280&lt;&gt;"",K280&lt;&gt;"",N280&lt;&gt;"",O280&lt;&gt;"",P280&lt;&gt;"",Q280&lt;&gt;"",R280&lt;&gt;"",S280&lt;&gt;"",T280&lt;&gt;"",V280&lt;&gt;"",W280&lt;&gt;"",X280&lt;&gt;"",Y280&lt;&gt;""),"COMPLETE","MISSING FIELDS")))</f>
        <v/>
      </c>
    </row>
    <row r="281" ht="15" customHeight="1" s="15">
      <c r="A281" s="27" t="inlineStr">
        <is>
          <t>LEAD-0277</t>
        </is>
      </c>
      <c r="B281" s="27" t="inlineStr">
        <is>
          <t>Gabriel Lockwood</t>
        </is>
      </c>
      <c r="C281" s="27" t="inlineStr">
        <is>
          <t>Podcaster</t>
        </is>
      </c>
      <c r="D281" s="27" t="inlineStr">
        <is>
          <t>US</t>
        </is>
      </c>
      <c r="E281" s="27" t="inlineStr">
        <is>
          <t>English</t>
        </is>
      </c>
      <c r="F281" s="27" t="inlineStr">
        <is>
          <t>Apple Podcasts</t>
        </is>
      </c>
      <c r="G281" s="27" t="inlineStr">
        <is>
          <t>https://podcasts.apple.com/us/podcast/gabriellockwood/id1000277</t>
        </is>
      </c>
      <c r="H281" s="27" t="inlineStr">
        <is>
          <t>AP-US-1000277</t>
        </is>
      </c>
      <c r="I281" s="27" t="inlineStr">
        <is>
          <t>36,000</t>
        </is>
      </c>
      <c r="J281" s="27" t="inlineStr">
        <is>
          <t>2026-10-15</t>
        </is>
      </c>
      <c r="K281" s="27" t="inlineStr">
        <is>
          <t>https://gabriellockwood.com/episodes/78</t>
        </is>
      </c>
      <c r="L281" s="27" t="n">
        <v>15</v>
      </c>
      <c r="M281" s="27" t="n">
        <v>23</v>
      </c>
      <c r="N281" s="27" t="inlineStr">
        <is>
          <t>Consulting</t>
        </is>
      </c>
      <c r="O281" s="27" t="inlineStr">
        <is>
          <t>https://gabriellockwood.com/advisory</t>
        </is>
      </c>
      <c r="P281" s="27" t="inlineStr">
        <is>
          <t>Multilingual Audio Dubbing</t>
        </is>
      </c>
      <c r="Q281" s="27" t="inlineStr">
        <is>
          <t>https://gabriellockwood.com/highlights</t>
        </is>
      </c>
      <c r="R281" s="27" t="inlineStr">
        <is>
          <t>LinkedIn</t>
        </is>
      </c>
      <c r="S281" s="27" t="inlineStr">
        <is>
          <t>https://linkedin.com/in/gabriellockwood</t>
        </is>
      </c>
      <c r="T281" s="27" t="inlineStr">
        <is>
          <t>https://gabriellockwood.com/about</t>
        </is>
      </c>
      <c r="U281" s="27" t="inlineStr">
        <is>
          <t>Email</t>
        </is>
      </c>
      <c r="V281" s="27" t="inlineStr">
        <is>
          <t>health &amp; longevity science frameworks, specifically regarding episode 28 on Health &amp; Longevity Science workflow optimization</t>
        </is>
      </c>
      <c r="W281" s="27" t="inlineStr">
        <is>
          <t>Hi Gabriel,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81" s="27" t="inlineStr">
        <is>
          <t>2026-10-18</t>
        </is>
      </c>
      <c r="Y281" s="27" t="inlineStr">
        <is>
          <t>C</t>
        </is>
      </c>
      <c r="Z281" s="27" t="n">
        <v>79.40000000000001</v>
      </c>
      <c r="AA281" s="27" t="inlineStr">
        <is>
          <t>Qualified</t>
        </is>
      </c>
      <c r="AB281" s="27" t="inlineStr"/>
      <c r="AC281" s="28">
        <f>IF(A281="","",IF(COUNTIF($H$5:$H$1004,H281)&gt;1,"DUPLICATE","UNIQUE"))</f>
        <v/>
      </c>
      <c r="AD281" s="28">
        <f>IF(A281="","",IF(AA281="Rejected",IF(AB281&lt;&gt;"","REJECTED","ADD REASON"),IF(AND(B281&lt;&gt;"",C281&lt;&gt;"",D281&lt;&gt;"",E281&lt;&gt;"",F281&lt;&gt;"",G281&lt;&gt;"",H281&lt;&gt;"",J281&lt;&gt;"",K281&lt;&gt;"",N281&lt;&gt;"",O281&lt;&gt;"",P281&lt;&gt;"",Q281&lt;&gt;"",R281&lt;&gt;"",S281&lt;&gt;"",T281&lt;&gt;"",V281&lt;&gt;"",W281&lt;&gt;"",X281&lt;&gt;"",Y281&lt;&gt;""),"COMPLETE","MISSING FIELDS")))</f>
        <v/>
      </c>
    </row>
    <row r="282" ht="15" customHeight="1" s="15">
      <c r="A282" s="27" t="inlineStr">
        <is>
          <t>LEAD-0278</t>
        </is>
      </c>
      <c r="B282" s="27" t="inlineStr">
        <is>
          <t>Gabriel Montague</t>
        </is>
      </c>
      <c r="C282" s="27" t="inlineStr">
        <is>
          <t>YouTuber</t>
        </is>
      </c>
      <c r="D282" s="27" t="inlineStr">
        <is>
          <t>US</t>
        </is>
      </c>
      <c r="E282" s="27" t="inlineStr">
        <is>
          <t>English</t>
        </is>
      </c>
      <c r="F282" s="27" t="inlineStr">
        <is>
          <t>YouTube</t>
        </is>
      </c>
      <c r="G282" s="27" t="inlineStr">
        <is>
          <t>https://www.youtube.com/@gabrielmontague</t>
        </is>
      </c>
      <c r="H282" s="27" t="inlineStr">
        <is>
          <t>UCUS00278666222</t>
        </is>
      </c>
      <c r="I282" s="27" t="inlineStr">
        <is>
          <t>680,000</t>
        </is>
      </c>
      <c r="J282" s="27" t="inlineStr">
        <is>
          <t>2026-10-16</t>
        </is>
      </c>
      <c r="K282" s="27" t="inlineStr">
        <is>
          <t>https://www.youtube.com/watch?v=us00278</t>
        </is>
      </c>
      <c r="L282" s="27" t="n">
        <v>16</v>
      </c>
      <c r="M282" s="27" t="n">
        <v>24</v>
      </c>
      <c r="N282" s="27" t="inlineStr">
        <is>
          <t>Newsletter Subscription</t>
        </is>
      </c>
      <c r="O282" s="27" t="inlineStr">
        <is>
          <t>https://gabrielmontague.com/subscribe</t>
        </is>
      </c>
      <c r="P282" s="27" t="inlineStr">
        <is>
          <t>Missing Video Captions &amp; Retention Clips</t>
        </is>
      </c>
      <c r="Q282" s="27" t="inlineStr">
        <is>
          <t>https://gabrielmontague.com/highlights</t>
        </is>
      </c>
      <c r="R282" s="27" t="inlineStr">
        <is>
          <t>X (Twitter)</t>
        </is>
      </c>
      <c r="S282" s="27" t="inlineStr">
        <is>
          <t>https://x.com/gabrielmontague</t>
        </is>
      </c>
      <c r="T282" s="27" t="inlineStr">
        <is>
          <t>https://gabrielmontague.com/links</t>
        </is>
      </c>
      <c r="U282" s="27" t="inlineStr">
        <is>
          <t>LinkedIn</t>
        </is>
      </c>
      <c r="V282" s="27" t="inlineStr">
        <is>
          <t>education &amp; applied coding frameworks, specifically regarding episode 29 on Education &amp; Applied Coding workflow optimization</t>
        </is>
      </c>
      <c r="W282" s="27" t="inlineStr">
        <is>
          <t>Hi Gabriel,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82" s="27" t="inlineStr">
        <is>
          <t>2026-10-18</t>
        </is>
      </c>
      <c r="Y282" s="27" t="inlineStr">
        <is>
          <t>C</t>
        </is>
      </c>
      <c r="Z282" s="27" t="n">
        <v>79.3</v>
      </c>
      <c r="AA282" s="27" t="inlineStr">
        <is>
          <t>Qualified</t>
        </is>
      </c>
      <c r="AB282" s="27" t="inlineStr"/>
      <c r="AC282" s="28">
        <f>IF(A282="","",IF(COUNTIF($H$5:$H$1004,H282)&gt;1,"DUPLICATE","UNIQUE"))</f>
        <v/>
      </c>
      <c r="AD282" s="28">
        <f>IF(A282="","",IF(AA282="Rejected",IF(AB282&lt;&gt;"","REJECTED","ADD REASON"),IF(AND(B282&lt;&gt;"",C282&lt;&gt;"",D282&lt;&gt;"",E282&lt;&gt;"",F282&lt;&gt;"",G282&lt;&gt;"",H282&lt;&gt;"",J282&lt;&gt;"",K282&lt;&gt;"",N282&lt;&gt;"",O282&lt;&gt;"",P282&lt;&gt;"",Q282&lt;&gt;"",R282&lt;&gt;"",S282&lt;&gt;"",T282&lt;&gt;"",V282&lt;&gt;"",W282&lt;&gt;"",X282&lt;&gt;"",Y282&lt;&gt;""),"COMPLETE","MISSING FIELDS")))</f>
        <v/>
      </c>
    </row>
    <row r="283" ht="15" customHeight="1" s="15">
      <c r="A283" s="27" t="inlineStr">
        <is>
          <t>LEAD-0279</t>
        </is>
      </c>
      <c r="B283" s="27" t="inlineStr">
        <is>
          <t>Gabriel Northwood</t>
        </is>
      </c>
      <c r="C283" s="27" t="inlineStr">
        <is>
          <t>Podcaster</t>
        </is>
      </c>
      <c r="D283" s="27" t="inlineStr">
        <is>
          <t>US</t>
        </is>
      </c>
      <c r="E283" s="27" t="inlineStr">
        <is>
          <t>English</t>
        </is>
      </c>
      <c r="F283" s="27" t="inlineStr">
        <is>
          <t>Apple Podcasts</t>
        </is>
      </c>
      <c r="G283" s="27" t="inlineStr">
        <is>
          <t>https://podcasts.apple.com/us/podcast/gabrielnorthwood/id1000279</t>
        </is>
      </c>
      <c r="H283" s="27" t="inlineStr">
        <is>
          <t>AP-US-1000279</t>
        </is>
      </c>
      <c r="I283" s="27" t="inlineStr">
        <is>
          <t>60,000</t>
        </is>
      </c>
      <c r="J283" s="27" t="inlineStr">
        <is>
          <t>2026-10-17</t>
        </is>
      </c>
      <c r="K283" s="27" t="inlineStr">
        <is>
          <t>https://gabrielnorthwood.com/episodes/80</t>
        </is>
      </c>
      <c r="L283" s="27" t="n">
        <v>17</v>
      </c>
      <c r="M283" s="27" t="n">
        <v>25</v>
      </c>
      <c r="N283" s="27" t="inlineStr">
        <is>
          <t>Affiliate</t>
        </is>
      </c>
      <c r="O283" s="27" t="inlineStr">
        <is>
          <t>https://gabrielnorthwood.com/resources</t>
        </is>
      </c>
      <c r="P283" s="27" t="inlineStr">
        <is>
          <t>Shorts Repurposing Bottleneck</t>
        </is>
      </c>
      <c r="Q283" s="27" t="inlineStr">
        <is>
          <t>https://gabrielnorthwood.com/highlights</t>
        </is>
      </c>
      <c r="R283" s="27" t="inlineStr">
        <is>
          <t>Email</t>
        </is>
      </c>
      <c r="S283" s="27" t="inlineStr">
        <is>
          <t>hello@gabrielnorthwood.com</t>
        </is>
      </c>
      <c r="T283" s="27" t="inlineStr">
        <is>
          <t>https://gabrielnorthwood.com/work-with-me</t>
        </is>
      </c>
      <c r="U283" s="27" t="inlineStr">
        <is>
          <t>LinkedIn</t>
        </is>
      </c>
      <c r="V283" s="27" t="inlineStr">
        <is>
          <t>e-commerce &amp; digital brands frameworks, specifically regarding episode 30 on E-Commerce &amp; Digital Brands workflow optimization</t>
        </is>
      </c>
      <c r="W283" s="27" t="inlineStr">
        <is>
          <t>Hi Gabriel,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83" s="27" t="inlineStr">
        <is>
          <t>2026-10-18</t>
        </is>
      </c>
      <c r="Y283" s="27" t="inlineStr">
        <is>
          <t>C</t>
        </is>
      </c>
      <c r="Z283" s="27" t="n">
        <v>79.3</v>
      </c>
      <c r="AA283" s="27" t="inlineStr">
        <is>
          <t>Qualified</t>
        </is>
      </c>
      <c r="AB283" s="27" t="inlineStr"/>
      <c r="AC283" s="28">
        <f>IF(A283="","",IF(COUNTIF($H$5:$H$1004,H283)&gt;1,"DUPLICATE","UNIQUE"))</f>
        <v/>
      </c>
      <c r="AD283" s="28">
        <f>IF(A283="","",IF(AA283="Rejected",IF(AB283&lt;&gt;"","REJECTED","ADD REASON"),IF(AND(B283&lt;&gt;"",C283&lt;&gt;"",D283&lt;&gt;"",E283&lt;&gt;"",F283&lt;&gt;"",G283&lt;&gt;"",H283&lt;&gt;"",J283&lt;&gt;"",K283&lt;&gt;"",N283&lt;&gt;"",O283&lt;&gt;"",P283&lt;&gt;"",Q283&lt;&gt;"",R283&lt;&gt;"",S283&lt;&gt;"",T283&lt;&gt;"",V283&lt;&gt;"",W283&lt;&gt;"",X283&lt;&gt;"",Y283&lt;&gt;""),"COMPLETE","MISSING FIELDS")))</f>
        <v/>
      </c>
    </row>
    <row r="284" ht="15" customHeight="1" s="15">
      <c r="A284" s="27" t="inlineStr">
        <is>
          <t>LEAD-0280</t>
        </is>
      </c>
      <c r="B284" s="27" t="inlineStr">
        <is>
          <t>Gabriel Oakley</t>
        </is>
      </c>
      <c r="C284" s="27" t="inlineStr">
        <is>
          <t>YouTuber</t>
        </is>
      </c>
      <c r="D284" s="27" t="inlineStr">
        <is>
          <t>US</t>
        </is>
      </c>
      <c r="E284" s="27" t="inlineStr">
        <is>
          <t>English</t>
        </is>
      </c>
      <c r="F284" s="27" t="inlineStr">
        <is>
          <t>YouTube</t>
        </is>
      </c>
      <c r="G284" s="27" t="inlineStr">
        <is>
          <t>https://www.youtube.com/@gabrieloakley</t>
        </is>
      </c>
      <c r="H284" s="27" t="inlineStr">
        <is>
          <t>UCUS00280093525</t>
        </is>
      </c>
      <c r="I284" s="27" t="inlineStr">
        <is>
          <t>20,000</t>
        </is>
      </c>
      <c r="J284" s="27" t="inlineStr">
        <is>
          <t>2026-10-10</t>
        </is>
      </c>
      <c r="K284" s="27" t="inlineStr">
        <is>
          <t>https://www.youtube.com/watch?v=us00280</t>
        </is>
      </c>
      <c r="L284" s="27" t="n">
        <v>8</v>
      </c>
      <c r="M284" s="27" t="n">
        <v>26</v>
      </c>
      <c r="N284" s="27" t="inlineStr">
        <is>
          <t>Course</t>
        </is>
      </c>
      <c r="O284" s="27" t="inlineStr">
        <is>
          <t>https://gabrieloakley.com/academy</t>
        </is>
      </c>
      <c r="P284" s="27" t="inlineStr">
        <is>
          <t>Shorts Repurposing Bottleneck</t>
        </is>
      </c>
      <c r="Q284" s="27" t="inlineStr">
        <is>
          <t>https://gabrieloakley.com/highlights</t>
        </is>
      </c>
      <c r="R284" s="27" t="inlineStr">
        <is>
          <t>Email</t>
        </is>
      </c>
      <c r="S284" s="27" t="inlineStr">
        <is>
          <t>contact@gabrieloakley.com</t>
        </is>
      </c>
      <c r="T284" s="27" t="inlineStr">
        <is>
          <t>https://gabrieloakley.com/contact</t>
        </is>
      </c>
      <c r="U284" s="27" t="inlineStr">
        <is>
          <t>LinkedIn</t>
        </is>
      </c>
      <c r="V284" s="27" t="inlineStr">
        <is>
          <t>tech &amp; ai frameworks, specifically regarding episode 31 on Tech &amp; AI workflow optimization</t>
        </is>
      </c>
      <c r="W284" s="27" t="inlineStr">
        <is>
          <t>Hi Gabriel,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84" s="27" t="inlineStr">
        <is>
          <t>2026-10-18</t>
        </is>
      </c>
      <c r="Y284" s="27" t="inlineStr">
        <is>
          <t>C</t>
        </is>
      </c>
      <c r="Z284" s="27" t="n">
        <v>79.2</v>
      </c>
      <c r="AA284" s="27" t="inlineStr">
        <is>
          <t>Qualified</t>
        </is>
      </c>
      <c r="AB284" s="27" t="inlineStr"/>
      <c r="AC284" s="28">
        <f>IF(A284="","",IF(COUNTIF($H$5:$H$1004,H284)&gt;1,"DUPLICATE","UNIQUE"))</f>
        <v/>
      </c>
      <c r="AD284" s="28">
        <f>IF(A284="","",IF(AA284="Rejected",IF(AB284&lt;&gt;"","REJECTED","ADD REASON"),IF(AND(B284&lt;&gt;"",C284&lt;&gt;"",D284&lt;&gt;"",E284&lt;&gt;"",F284&lt;&gt;"",G284&lt;&gt;"",H284&lt;&gt;"",J284&lt;&gt;"",K284&lt;&gt;"",N284&lt;&gt;"",O284&lt;&gt;"",P284&lt;&gt;"",Q284&lt;&gt;"",R284&lt;&gt;"",S284&lt;&gt;"",T284&lt;&gt;"",V284&lt;&gt;"",W284&lt;&gt;"",X284&lt;&gt;"",Y284&lt;&gt;""),"COMPLETE","MISSING FIELDS")))</f>
        <v/>
      </c>
    </row>
    <row r="285" ht="15" customHeight="1" s="15">
      <c r="A285" s="27" t="inlineStr">
        <is>
          <t>LEAD-0281</t>
        </is>
      </c>
      <c r="B285" s="27" t="inlineStr">
        <is>
          <t>Gabriel Pemberton</t>
        </is>
      </c>
      <c r="C285" s="27" t="inlineStr">
        <is>
          <t>Podcaster</t>
        </is>
      </c>
      <c r="D285" s="27" t="inlineStr">
        <is>
          <t>US</t>
        </is>
      </c>
      <c r="E285" s="27" t="inlineStr">
        <is>
          <t>English</t>
        </is>
      </c>
      <c r="F285" s="27" t="inlineStr">
        <is>
          <t>Apple Podcasts</t>
        </is>
      </c>
      <c r="G285" s="27" t="inlineStr">
        <is>
          <t>https://podcasts.apple.com/us/podcast/gabrielpemberton/id1000281</t>
        </is>
      </c>
      <c r="H285" s="27" t="inlineStr">
        <is>
          <t>AP-US-1000281</t>
        </is>
      </c>
      <c r="I285" s="27" t="inlineStr">
        <is>
          <t>84,000</t>
        </is>
      </c>
      <c r="J285" s="27" t="inlineStr">
        <is>
          <t>2026-10-11</t>
        </is>
      </c>
      <c r="K285" s="27" t="inlineStr">
        <is>
          <t>https://gabrielpemberton.com/episodes/82</t>
        </is>
      </c>
      <c r="L285" s="27" t="n">
        <v>9</v>
      </c>
      <c r="M285" s="27" t="n">
        <v>27</v>
      </c>
      <c r="N285" s="27" t="inlineStr">
        <is>
          <t>Sponsor</t>
        </is>
      </c>
      <c r="O285" s="27" t="inlineStr">
        <is>
          <t>https://gabrielpemberton.com/partners</t>
        </is>
      </c>
      <c r="P285" s="27" t="inlineStr">
        <is>
          <t>Missing Video Captions &amp; Retention Clips</t>
        </is>
      </c>
      <c r="Q285" s="27" t="inlineStr">
        <is>
          <t>https://gabrielpemberton.com/highlights</t>
        </is>
      </c>
      <c r="R285" s="27" t="inlineStr">
        <is>
          <t>LinkedIn</t>
        </is>
      </c>
      <c r="S285" s="27" t="inlineStr">
        <is>
          <t>https://linkedin.com/in/gabrielpemberton</t>
        </is>
      </c>
      <c r="T285" s="27" t="inlineStr">
        <is>
          <t>https://gabrielpemberton.com/about</t>
        </is>
      </c>
      <c r="U285" s="27" t="inlineStr">
        <is>
          <t>Email</t>
        </is>
      </c>
      <c r="V285" s="27" t="inlineStr">
        <is>
          <t>saas &amp; product growth frameworks, specifically regarding episode 32 on SaaS &amp; Product Growth workflow optimization</t>
        </is>
      </c>
      <c r="W285" s="27" t="inlineStr">
        <is>
          <t>Hi Gabriel,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85" s="27" t="inlineStr">
        <is>
          <t>2026-10-18</t>
        </is>
      </c>
      <c r="Y285" s="27" t="inlineStr">
        <is>
          <t>C</t>
        </is>
      </c>
      <c r="Z285" s="27" t="n">
        <v>79.09999999999999</v>
      </c>
      <c r="AA285" s="27" t="inlineStr">
        <is>
          <t>Qualified</t>
        </is>
      </c>
      <c r="AB285" s="27" t="inlineStr"/>
      <c r="AC285" s="28">
        <f>IF(A285="","",IF(COUNTIF($H$5:$H$1004,H285)&gt;1,"DUPLICATE","UNIQUE"))</f>
        <v/>
      </c>
      <c r="AD285" s="28">
        <f>IF(A285="","",IF(AA285="Rejected",IF(AB285&lt;&gt;"","REJECTED","ADD REASON"),IF(AND(B285&lt;&gt;"",C285&lt;&gt;"",D285&lt;&gt;"",E285&lt;&gt;"",F285&lt;&gt;"",G285&lt;&gt;"",H285&lt;&gt;"",J285&lt;&gt;"",K285&lt;&gt;"",N285&lt;&gt;"",O285&lt;&gt;"",P285&lt;&gt;"",Q285&lt;&gt;"",R285&lt;&gt;"",S285&lt;&gt;"",T285&lt;&gt;"",V285&lt;&gt;"",W285&lt;&gt;"",X285&lt;&gt;"",Y285&lt;&gt;""),"COMPLETE","MISSING FIELDS")))</f>
        <v/>
      </c>
    </row>
    <row r="286" ht="15" customHeight="1" s="15">
      <c r="A286" s="27" t="inlineStr">
        <is>
          <t>LEAD-0282</t>
        </is>
      </c>
      <c r="B286" s="27" t="inlineStr">
        <is>
          <t>Gabriel Quatermain</t>
        </is>
      </c>
      <c r="C286" s="27" t="inlineStr">
        <is>
          <t>Expert-Led Creator</t>
        </is>
      </c>
      <c r="D286" s="27" t="inlineStr">
        <is>
          <t>US</t>
        </is>
      </c>
      <c r="E286" s="27" t="inlineStr">
        <is>
          <t>English</t>
        </is>
      </c>
      <c r="F286" s="27" t="inlineStr">
        <is>
          <t>YouTube</t>
        </is>
      </c>
      <c r="G286" s="27" t="inlineStr">
        <is>
          <t>https://www.youtube.com/@gabrielquatermain</t>
        </is>
      </c>
      <c r="H286" s="27" t="inlineStr">
        <is>
          <t>UCUS00282489631</t>
        </is>
      </c>
      <c r="I286" s="27" t="inlineStr">
        <is>
          <t>60,000</t>
        </is>
      </c>
      <c r="J286" s="27" t="inlineStr">
        <is>
          <t>2026-10-12</t>
        </is>
      </c>
      <c r="K286" s="27" t="inlineStr">
        <is>
          <t>https://www.youtube.com/watch?v=us00282</t>
        </is>
      </c>
      <c r="L286" s="27" t="n">
        <v>10</v>
      </c>
      <c r="M286" s="27" t="n">
        <v>28</v>
      </c>
      <c r="N286" s="27" t="inlineStr">
        <is>
          <t>Membership</t>
        </is>
      </c>
      <c r="O286" s="27" t="inlineStr">
        <is>
          <t>https://gabrielquatermain.com/community</t>
        </is>
      </c>
      <c r="P286" s="27" t="inlineStr">
        <is>
          <t>Editing Backlog &amp; Team Workflow Overhead</t>
        </is>
      </c>
      <c r="Q286" s="27" t="inlineStr">
        <is>
          <t>https://gabrielquatermain.com/highlights</t>
        </is>
      </c>
      <c r="R286" s="27" t="inlineStr">
        <is>
          <t>X (Twitter)</t>
        </is>
      </c>
      <c r="S286" s="27" t="inlineStr">
        <is>
          <t>https://x.com/gabrielquatermain</t>
        </is>
      </c>
      <c r="T286" s="27" t="inlineStr">
        <is>
          <t>https://gabrielquatermain.com/links</t>
        </is>
      </c>
      <c r="U286" s="27" t="inlineStr">
        <is>
          <t>LinkedIn</t>
        </is>
      </c>
      <c r="V286" s="27" t="inlineStr">
        <is>
          <t>creator business &amp; monetization frameworks, specifically regarding episode 33 on Creator Business &amp; Monetization workflow optimization</t>
        </is>
      </c>
      <c r="W286" s="27" t="inlineStr">
        <is>
          <t>Hi Gabriel,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86" s="27" t="inlineStr">
        <is>
          <t>2026-10-18</t>
        </is>
      </c>
      <c r="Y286" s="27" t="inlineStr">
        <is>
          <t>C</t>
        </is>
      </c>
      <c r="Z286" s="27" t="n">
        <v>79.09999999999999</v>
      </c>
      <c r="AA286" s="27" t="inlineStr">
        <is>
          <t>Qualified</t>
        </is>
      </c>
      <c r="AB286" s="27" t="inlineStr"/>
      <c r="AC286" s="28">
        <f>IF(A286="","",IF(COUNTIF($H$5:$H$1004,H286)&gt;1,"DUPLICATE","UNIQUE"))</f>
        <v/>
      </c>
      <c r="AD286" s="28">
        <f>IF(A286="","",IF(AA286="Rejected",IF(AB286&lt;&gt;"","REJECTED","ADD REASON"),IF(AND(B286&lt;&gt;"",C286&lt;&gt;"",D286&lt;&gt;"",E286&lt;&gt;"",F286&lt;&gt;"",G286&lt;&gt;"",H286&lt;&gt;"",J286&lt;&gt;"",K286&lt;&gt;"",N286&lt;&gt;"",O286&lt;&gt;"",P286&lt;&gt;"",Q286&lt;&gt;"",R286&lt;&gt;"",S286&lt;&gt;"",T286&lt;&gt;"",V286&lt;&gt;"",W286&lt;&gt;"",X286&lt;&gt;"",Y286&lt;&gt;""),"COMPLETE","MISSING FIELDS")))</f>
        <v/>
      </c>
    </row>
    <row r="287" ht="15" customHeight="1" s="15">
      <c r="A287" s="27" t="inlineStr">
        <is>
          <t>LEAD-0283</t>
        </is>
      </c>
      <c r="B287" s="27" t="inlineStr">
        <is>
          <t>Gabriel Radcliffe</t>
        </is>
      </c>
      <c r="C287" s="27" t="inlineStr">
        <is>
          <t>YouTuber</t>
        </is>
      </c>
      <c r="D287" s="27" t="inlineStr">
        <is>
          <t>US</t>
        </is>
      </c>
      <c r="E287" s="27" t="inlineStr">
        <is>
          <t>English</t>
        </is>
      </c>
      <c r="F287" s="27" t="inlineStr">
        <is>
          <t>YouTube</t>
        </is>
      </c>
      <c r="G287" s="27" t="inlineStr">
        <is>
          <t>https://www.youtube.com/@gabrielradcliffe</t>
        </is>
      </c>
      <c r="H287" s="27" t="inlineStr">
        <is>
          <t>UCUS00283314442</t>
        </is>
      </c>
      <c r="I287" s="27" t="inlineStr">
        <is>
          <t>80,000</t>
        </is>
      </c>
      <c r="J287" s="27" t="inlineStr">
        <is>
          <t>2026-10-13</t>
        </is>
      </c>
      <c r="K287" s="27" t="inlineStr">
        <is>
          <t>https://www.youtube.com/watch?v=us00283</t>
        </is>
      </c>
      <c r="L287" s="27" t="n">
        <v>11</v>
      </c>
      <c r="M287" s="27" t="n">
        <v>29</v>
      </c>
      <c r="N287" s="27" t="inlineStr">
        <is>
          <t>Product</t>
        </is>
      </c>
      <c r="O287" s="27" t="inlineStr">
        <is>
          <t>https://gabrielradcliffe.com/shop</t>
        </is>
      </c>
      <c r="P287" s="27" t="inlineStr">
        <is>
          <t>Shorts Repurposing Bottleneck</t>
        </is>
      </c>
      <c r="Q287" s="27" t="inlineStr">
        <is>
          <t>https://gabrielradcliffe.com/highlights</t>
        </is>
      </c>
      <c r="R287" s="27" t="inlineStr">
        <is>
          <t>Email</t>
        </is>
      </c>
      <c r="S287" s="27" t="inlineStr">
        <is>
          <t>hello@gabrielradcliffe.com</t>
        </is>
      </c>
      <c r="T287" s="27" t="inlineStr">
        <is>
          <t>https://gabrielradcliffe.com/work-with-me</t>
        </is>
      </c>
      <c r="U287" s="27" t="inlineStr">
        <is>
          <t>LinkedIn</t>
        </is>
      </c>
      <c r="V287" s="27" t="inlineStr">
        <is>
          <t>productivity &amp; personal systems frameworks, specifically regarding episode 34 on Productivity &amp; Personal Systems workflow optimization</t>
        </is>
      </c>
      <c r="W287" s="27" t="inlineStr">
        <is>
          <t>Hi Gabriel,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87" s="27" t="inlineStr">
        <is>
          <t>2026-10-18</t>
        </is>
      </c>
      <c r="Y287" s="27" t="inlineStr">
        <is>
          <t>C</t>
        </is>
      </c>
      <c r="Z287" s="27" t="n">
        <v>79</v>
      </c>
      <c r="AA287" s="27" t="inlineStr">
        <is>
          <t>Qualified</t>
        </is>
      </c>
      <c r="AB287" s="27" t="inlineStr"/>
      <c r="AC287" s="28">
        <f>IF(A287="","",IF(COUNTIF($H$5:$H$1004,H287)&gt;1,"DUPLICATE","UNIQUE"))</f>
        <v/>
      </c>
      <c r="AD287" s="28">
        <f>IF(A287="","",IF(AA287="Rejected",IF(AB287&lt;&gt;"","REJECTED","ADD REASON"),IF(AND(B287&lt;&gt;"",C287&lt;&gt;"",D287&lt;&gt;"",E287&lt;&gt;"",F287&lt;&gt;"",G287&lt;&gt;"",H287&lt;&gt;"",J287&lt;&gt;"",K287&lt;&gt;"",N287&lt;&gt;"",O287&lt;&gt;"",P287&lt;&gt;"",Q287&lt;&gt;"",R287&lt;&gt;"",S287&lt;&gt;"",T287&lt;&gt;"",V287&lt;&gt;"",W287&lt;&gt;"",X287&lt;&gt;"",Y287&lt;&gt;""),"COMPLETE","MISSING FIELDS")))</f>
        <v/>
      </c>
    </row>
    <row r="288" ht="15" customHeight="1" s="15">
      <c r="A288" s="27" t="inlineStr">
        <is>
          <t>LEAD-0284</t>
        </is>
      </c>
      <c r="B288" s="27" t="inlineStr">
        <is>
          <t>Gabriel Stanhope</t>
        </is>
      </c>
      <c r="C288" s="27" t="inlineStr">
        <is>
          <t>Podcaster</t>
        </is>
      </c>
      <c r="D288" s="27" t="inlineStr">
        <is>
          <t>US</t>
        </is>
      </c>
      <c r="E288" s="27" t="inlineStr">
        <is>
          <t>English</t>
        </is>
      </c>
      <c r="F288" s="27" t="inlineStr">
        <is>
          <t>Apple Podcasts</t>
        </is>
      </c>
      <c r="G288" s="27" t="inlineStr">
        <is>
          <t>https://podcasts.apple.com/us/podcast/gabrielstanhope/id1000284</t>
        </is>
      </c>
      <c r="H288" s="27" t="inlineStr">
        <is>
          <t>AP-US-1000284</t>
        </is>
      </c>
      <c r="I288" s="27" t="inlineStr">
        <is>
          <t>120,000</t>
        </is>
      </c>
      <c r="J288" s="27" t="inlineStr">
        <is>
          <t>2026-10-14</t>
        </is>
      </c>
      <c r="K288" s="27" t="inlineStr">
        <is>
          <t>https://gabrielstanhope.com/episodes/85</t>
        </is>
      </c>
      <c r="L288" s="27" t="n">
        <v>12</v>
      </c>
      <c r="M288" s="27" t="n">
        <v>30</v>
      </c>
      <c r="N288" s="27" t="inlineStr">
        <is>
          <t>Consulting</t>
        </is>
      </c>
      <c r="O288" s="27" t="inlineStr">
        <is>
          <t>https://gabrielstanhope.com/advisory</t>
        </is>
      </c>
      <c r="P288" s="27" t="inlineStr">
        <is>
          <t>Inconsistent Cross-Platform Publishing</t>
        </is>
      </c>
      <c r="Q288" s="27" t="inlineStr">
        <is>
          <t>https://gabrielstanhope.com/highlights</t>
        </is>
      </c>
      <c r="R288" s="27" t="inlineStr">
        <is>
          <t>Email</t>
        </is>
      </c>
      <c r="S288" s="27" t="inlineStr">
        <is>
          <t>contact@gabrielstanhope.com</t>
        </is>
      </c>
      <c r="T288" s="27" t="inlineStr">
        <is>
          <t>https://gabrielstanhope.com/contact</t>
        </is>
      </c>
      <c r="U288" s="27" t="inlineStr">
        <is>
          <t>LinkedIn</t>
        </is>
      </c>
      <c r="V288" s="27" t="inlineStr">
        <is>
          <t>leadership &amp; team ops frameworks, specifically regarding episode 35 on Leadership &amp; Team Ops workflow optimization</t>
        </is>
      </c>
      <c r="W288" s="27" t="inlineStr">
        <is>
          <t>Hi Gabriel,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88" s="27" t="inlineStr">
        <is>
          <t>2026-10-18</t>
        </is>
      </c>
      <c r="Y288" s="27" t="inlineStr">
        <is>
          <t>C</t>
        </is>
      </c>
      <c r="Z288" s="27" t="n">
        <v>79</v>
      </c>
      <c r="AA288" s="27" t="inlineStr">
        <is>
          <t>Qualified</t>
        </is>
      </c>
      <c r="AB288" s="27" t="inlineStr"/>
      <c r="AC288" s="28">
        <f>IF(A288="","",IF(COUNTIF($H$5:$H$1004,H288)&gt;1,"DUPLICATE","UNIQUE"))</f>
        <v/>
      </c>
      <c r="AD288" s="28">
        <f>IF(A288="","",IF(AA288="Rejected",IF(AB288&lt;&gt;"","REJECTED","ADD REASON"),IF(AND(B288&lt;&gt;"",C288&lt;&gt;"",D288&lt;&gt;"",E288&lt;&gt;"",F288&lt;&gt;"",G288&lt;&gt;"",H288&lt;&gt;"",J288&lt;&gt;"",K288&lt;&gt;"",N288&lt;&gt;"",O288&lt;&gt;"",P288&lt;&gt;"",Q288&lt;&gt;"",R288&lt;&gt;"",S288&lt;&gt;"",T288&lt;&gt;"",V288&lt;&gt;"",W288&lt;&gt;"",X288&lt;&gt;"",Y288&lt;&gt;""),"COMPLETE","MISSING FIELDS")))</f>
        <v/>
      </c>
    </row>
    <row r="289" ht="15" customHeight="1" s="15">
      <c r="A289" s="27" t="inlineStr">
        <is>
          <t>LEAD-0285</t>
        </is>
      </c>
      <c r="B289" s="27" t="inlineStr">
        <is>
          <t>Gabriel Thackery</t>
        </is>
      </c>
      <c r="C289" s="27" t="inlineStr">
        <is>
          <t>Expert-Led Creator</t>
        </is>
      </c>
      <c r="D289" s="27" t="inlineStr">
        <is>
          <t>US</t>
        </is>
      </c>
      <c r="E289" s="27" t="inlineStr">
        <is>
          <t>English</t>
        </is>
      </c>
      <c r="F289" s="27" t="inlineStr">
        <is>
          <t>LinkedIn</t>
        </is>
      </c>
      <c r="G289" s="27" t="inlineStr">
        <is>
          <t>https://www.linkedin.com/in/gabrielthackery</t>
        </is>
      </c>
      <c r="H289" s="27" t="inlineStr">
        <is>
          <t>LI-gabrielthackery-0285</t>
        </is>
      </c>
      <c r="I289" s="27" t="inlineStr">
        <is>
          <t>96,000</t>
        </is>
      </c>
      <c r="J289" s="27" t="inlineStr">
        <is>
          <t>2026-10-15</t>
        </is>
      </c>
      <c r="K289" s="27" t="inlineStr">
        <is>
          <t>https://gabrielthackery.com/posts/136</t>
        </is>
      </c>
      <c r="L289" s="27" t="n">
        <v>13</v>
      </c>
      <c r="M289" s="27" t="n">
        <v>31</v>
      </c>
      <c r="N289" s="27" t="inlineStr">
        <is>
          <t>Newsletter Subscription</t>
        </is>
      </c>
      <c r="O289" s="27" t="inlineStr">
        <is>
          <t>https://gabrielthackery.com/subscribe</t>
        </is>
      </c>
      <c r="P289" s="27" t="inlineStr">
        <is>
          <t>Editing Backlog &amp; Team Workflow Overhead</t>
        </is>
      </c>
      <c r="Q289" s="27" t="inlineStr">
        <is>
          <t>https://gabrielthackery.com/highlights</t>
        </is>
      </c>
      <c r="R289" s="27" t="inlineStr">
        <is>
          <t>LinkedIn</t>
        </is>
      </c>
      <c r="S289" s="27" t="inlineStr">
        <is>
          <t>https://linkedin.com/in/gabrielthackery</t>
        </is>
      </c>
      <c r="T289" s="27" t="inlineStr">
        <is>
          <t>https://gabrielthackery.com/about</t>
        </is>
      </c>
      <c r="U289" s="27" t="inlineStr">
        <is>
          <t>Email</t>
        </is>
      </c>
      <c r="V289" s="27" t="inlineStr">
        <is>
          <t>b2b marketing &amp; sales frameworks, specifically regarding episode 36 on B2B Marketing &amp; Sales workflow optimization</t>
        </is>
      </c>
      <c r="W289" s="27" t="inlineStr">
        <is>
          <t>Hi Gabriel,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89" s="27" t="inlineStr">
        <is>
          <t>2026-10-18</t>
        </is>
      </c>
      <c r="Y289" s="27" t="inlineStr">
        <is>
          <t>C</t>
        </is>
      </c>
      <c r="Z289" s="27" t="n">
        <v>78.90000000000001</v>
      </c>
      <c r="AA289" s="27" t="inlineStr">
        <is>
          <t>Qualified</t>
        </is>
      </c>
      <c r="AB289" s="27" t="inlineStr"/>
      <c r="AC289" s="28">
        <f>IF(A289="","",IF(COUNTIF($H$5:$H$1004,H289)&gt;1,"DUPLICATE","UNIQUE"))</f>
        <v/>
      </c>
      <c r="AD289" s="28">
        <f>IF(A289="","",IF(AA289="Rejected",IF(AB289&lt;&gt;"","REJECTED","ADD REASON"),IF(AND(B289&lt;&gt;"",C289&lt;&gt;"",D289&lt;&gt;"",E289&lt;&gt;"",F289&lt;&gt;"",G289&lt;&gt;"",H289&lt;&gt;"",J289&lt;&gt;"",K289&lt;&gt;"",N289&lt;&gt;"",O289&lt;&gt;"",P289&lt;&gt;"",Q289&lt;&gt;"",R289&lt;&gt;"",S289&lt;&gt;"",T289&lt;&gt;"",V289&lt;&gt;"",W289&lt;&gt;"",X289&lt;&gt;"",Y289&lt;&gt;""),"COMPLETE","MISSING FIELDS")))</f>
        <v/>
      </c>
    </row>
    <row r="290" ht="15" customHeight="1" s="15">
      <c r="A290" s="27" t="inlineStr">
        <is>
          <t>LEAD-0286</t>
        </is>
      </c>
      <c r="B290" s="27" t="inlineStr">
        <is>
          <t>Gabriel Underwood</t>
        </is>
      </c>
      <c r="C290" s="27" t="inlineStr">
        <is>
          <t>YouTuber</t>
        </is>
      </c>
      <c r="D290" s="27" t="inlineStr">
        <is>
          <t>US</t>
        </is>
      </c>
      <c r="E290" s="27" t="inlineStr">
        <is>
          <t>English</t>
        </is>
      </c>
      <c r="F290" s="27" t="inlineStr">
        <is>
          <t>YouTube</t>
        </is>
      </c>
      <c r="G290" s="27" t="inlineStr">
        <is>
          <t>https://www.youtube.com/@gabrielunderwood</t>
        </is>
      </c>
      <c r="H290" s="27" t="inlineStr">
        <is>
          <t>UCUS00286725648</t>
        </is>
      </c>
      <c r="I290" s="27" t="inlineStr">
        <is>
          <t>140,000</t>
        </is>
      </c>
      <c r="J290" s="27" t="inlineStr">
        <is>
          <t>2026-10-16</t>
        </is>
      </c>
      <c r="K290" s="27" t="inlineStr">
        <is>
          <t>https://www.youtube.com/watch?v=us00286</t>
        </is>
      </c>
      <c r="L290" s="27" t="n">
        <v>14</v>
      </c>
      <c r="M290" s="27" t="n">
        <v>32</v>
      </c>
      <c r="N290" s="27" t="inlineStr">
        <is>
          <t>Affiliate</t>
        </is>
      </c>
      <c r="O290" s="27" t="inlineStr">
        <is>
          <t>https://gabrielunderwood.com/resources</t>
        </is>
      </c>
      <c r="P290" s="27" t="inlineStr">
        <is>
          <t>Multilingual Audio Dubbing</t>
        </is>
      </c>
      <c r="Q290" s="27" t="inlineStr">
        <is>
          <t>https://gabrielunderwood.com/highlights</t>
        </is>
      </c>
      <c r="R290" s="27" t="inlineStr">
        <is>
          <t>X (Twitter)</t>
        </is>
      </c>
      <c r="S290" s="27" t="inlineStr">
        <is>
          <t>https://x.com/gabrielunderwood</t>
        </is>
      </c>
      <c r="T290" s="27" t="inlineStr">
        <is>
          <t>https://gabrielunderwood.com/links</t>
        </is>
      </c>
      <c r="U290" s="27" t="inlineStr">
        <is>
          <t>LinkedIn</t>
        </is>
      </c>
      <c r="V290" s="27" t="inlineStr">
        <is>
          <t>finance &amp; wealth engineering frameworks, specifically regarding episode 37 on Finance &amp; Wealth Engineering workflow optimization</t>
        </is>
      </c>
      <c r="W290" s="27" t="inlineStr">
        <is>
          <t>Hi Gabriel,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90" s="27" t="inlineStr">
        <is>
          <t>2026-10-18</t>
        </is>
      </c>
      <c r="Y290" s="27" t="inlineStr">
        <is>
          <t>C</t>
        </is>
      </c>
      <c r="Z290" s="27" t="n">
        <v>78.8</v>
      </c>
      <c r="AA290" s="27" t="inlineStr">
        <is>
          <t>Qualified</t>
        </is>
      </c>
      <c r="AB290" s="27" t="inlineStr"/>
      <c r="AC290" s="28">
        <f>IF(A290="","",IF(COUNTIF($H$5:$H$1004,H290)&gt;1,"DUPLICATE","UNIQUE"))</f>
        <v/>
      </c>
      <c r="AD290" s="28">
        <f>IF(A290="","",IF(AA290="Rejected",IF(AB290&lt;&gt;"","REJECTED","ADD REASON"),IF(AND(B290&lt;&gt;"",C290&lt;&gt;"",D290&lt;&gt;"",E290&lt;&gt;"",F290&lt;&gt;"",G290&lt;&gt;"",H290&lt;&gt;"",J290&lt;&gt;"",K290&lt;&gt;"",N290&lt;&gt;"",O290&lt;&gt;"",P290&lt;&gt;"",Q290&lt;&gt;"",R290&lt;&gt;"",S290&lt;&gt;"",T290&lt;&gt;"",V290&lt;&gt;"",W290&lt;&gt;"",X290&lt;&gt;"",Y290&lt;&gt;""),"COMPLETE","MISSING FIELDS")))</f>
        <v/>
      </c>
    </row>
    <row r="291" ht="15" customHeight="1" s="15">
      <c r="A291" s="27" t="inlineStr">
        <is>
          <t>LEAD-0287</t>
        </is>
      </c>
      <c r="B291" s="27" t="inlineStr">
        <is>
          <t>Gabriel Vanguard</t>
        </is>
      </c>
      <c r="C291" s="27" t="inlineStr">
        <is>
          <t>Podcaster</t>
        </is>
      </c>
      <c r="D291" s="27" t="inlineStr">
        <is>
          <t>US</t>
        </is>
      </c>
      <c r="E291" s="27" t="inlineStr">
        <is>
          <t>English</t>
        </is>
      </c>
      <c r="F291" s="27" t="inlineStr">
        <is>
          <t>Apple Podcasts</t>
        </is>
      </c>
      <c r="G291" s="27" t="inlineStr">
        <is>
          <t>https://podcasts.apple.com/us/podcast/gabrielvanguard/id1000287</t>
        </is>
      </c>
      <c r="H291" s="27" t="inlineStr">
        <is>
          <t>AP-US-1000287</t>
        </is>
      </c>
      <c r="I291" s="27" t="inlineStr">
        <is>
          <t>156,000</t>
        </is>
      </c>
      <c r="J291" s="27" t="inlineStr">
        <is>
          <t>2026-10-17</t>
        </is>
      </c>
      <c r="K291" s="27" t="inlineStr">
        <is>
          <t>https://gabrielvanguard.com/episodes/88</t>
        </is>
      </c>
      <c r="L291" s="27" t="n">
        <v>15</v>
      </c>
      <c r="M291" s="27" t="n">
        <v>33</v>
      </c>
      <c r="N291" s="27" t="inlineStr">
        <is>
          <t>Course</t>
        </is>
      </c>
      <c r="O291" s="27" t="inlineStr">
        <is>
          <t>https://gabrielvanguard.com/academy</t>
        </is>
      </c>
      <c r="P291" s="27" t="inlineStr">
        <is>
          <t>Multilingual Audio Dubbing</t>
        </is>
      </c>
      <c r="Q291" s="27" t="inlineStr">
        <is>
          <t>https://gabrielvanguard.com/highlights</t>
        </is>
      </c>
      <c r="R291" s="27" t="inlineStr">
        <is>
          <t>Email</t>
        </is>
      </c>
      <c r="S291" s="27" t="inlineStr">
        <is>
          <t>hello@gabrielvanguard.com</t>
        </is>
      </c>
      <c r="T291" s="27" t="inlineStr">
        <is>
          <t>https://gabrielvanguard.com/work-with-me</t>
        </is>
      </c>
      <c r="U291" s="27" t="inlineStr">
        <is>
          <t>LinkedIn</t>
        </is>
      </c>
      <c r="V291" s="27" t="inlineStr">
        <is>
          <t>health &amp; longevity science frameworks, specifically regarding episode 38 on Health &amp; Longevity Science workflow optimization</t>
        </is>
      </c>
      <c r="W291" s="27" t="inlineStr">
        <is>
          <t>Hi Gabriel,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91" s="27" t="inlineStr">
        <is>
          <t>2026-10-18</t>
        </is>
      </c>
      <c r="Y291" s="27" t="inlineStr">
        <is>
          <t>C</t>
        </is>
      </c>
      <c r="Z291" s="27" t="n">
        <v>78.8</v>
      </c>
      <c r="AA291" s="27" t="inlineStr">
        <is>
          <t>Qualified</t>
        </is>
      </c>
      <c r="AB291" s="27" t="inlineStr"/>
      <c r="AC291" s="28">
        <f>IF(A291="","",IF(COUNTIF($H$5:$H$1004,H291)&gt;1,"DUPLICATE","UNIQUE"))</f>
        <v/>
      </c>
      <c r="AD291" s="28">
        <f>IF(A291="","",IF(AA291="Rejected",IF(AB291&lt;&gt;"","REJECTED","ADD REASON"),IF(AND(B291&lt;&gt;"",C291&lt;&gt;"",D291&lt;&gt;"",E291&lt;&gt;"",F291&lt;&gt;"",G291&lt;&gt;"",H291&lt;&gt;"",J291&lt;&gt;"",K291&lt;&gt;"",N291&lt;&gt;"",O291&lt;&gt;"",P291&lt;&gt;"",Q291&lt;&gt;"",R291&lt;&gt;"",S291&lt;&gt;"",T291&lt;&gt;"",V291&lt;&gt;"",W291&lt;&gt;"",X291&lt;&gt;"",Y291&lt;&gt;""),"COMPLETE","MISSING FIELDS")))</f>
        <v/>
      </c>
    </row>
    <row r="292" ht="15" customHeight="1" s="15">
      <c r="A292" s="27" t="inlineStr">
        <is>
          <t>LEAD-0288</t>
        </is>
      </c>
      <c r="B292" s="27" t="inlineStr">
        <is>
          <t>Gabriel Waverly</t>
        </is>
      </c>
      <c r="C292" s="27" t="inlineStr">
        <is>
          <t>YouTuber</t>
        </is>
      </c>
      <c r="D292" s="27" t="inlineStr">
        <is>
          <t>US</t>
        </is>
      </c>
      <c r="E292" s="27" t="inlineStr">
        <is>
          <t>English</t>
        </is>
      </c>
      <c r="F292" s="27" t="inlineStr">
        <is>
          <t>YouTube</t>
        </is>
      </c>
      <c r="G292" s="27" t="inlineStr">
        <is>
          <t>https://www.youtube.com/@gabrielwaverly</t>
        </is>
      </c>
      <c r="H292" s="27" t="inlineStr">
        <is>
          <t>UCUS00288354421</t>
        </is>
      </c>
      <c r="I292" s="27" t="inlineStr">
        <is>
          <t>180,000</t>
        </is>
      </c>
      <c r="J292" s="27" t="inlineStr">
        <is>
          <t>2026-10-10</t>
        </is>
      </c>
      <c r="K292" s="27" t="inlineStr">
        <is>
          <t>https://www.youtube.com/watch?v=us00288</t>
        </is>
      </c>
      <c r="L292" s="27" t="n">
        <v>16</v>
      </c>
      <c r="M292" s="27" t="n">
        <v>16</v>
      </c>
      <c r="N292" s="27" t="inlineStr">
        <is>
          <t>Sponsor</t>
        </is>
      </c>
      <c r="O292" s="27" t="inlineStr">
        <is>
          <t>https://gabrielwaverly.com/partners</t>
        </is>
      </c>
      <c r="P292" s="27" t="inlineStr">
        <is>
          <t>Missing Video Captions &amp; Retention Clips</t>
        </is>
      </c>
      <c r="Q292" s="27" t="inlineStr">
        <is>
          <t>https://gabrielwaverly.com/highlights</t>
        </is>
      </c>
      <c r="R292" s="27" t="inlineStr">
        <is>
          <t>Email</t>
        </is>
      </c>
      <c r="S292" s="27" t="inlineStr">
        <is>
          <t>contact@gabrielwaverly.com</t>
        </is>
      </c>
      <c r="T292" s="27" t="inlineStr">
        <is>
          <t>https://gabrielwaverly.com/contact</t>
        </is>
      </c>
      <c r="U292" s="27" t="inlineStr">
        <is>
          <t>LinkedIn</t>
        </is>
      </c>
      <c r="V292" s="27" t="inlineStr">
        <is>
          <t>education &amp; applied coding frameworks, specifically regarding episode 39 on Education &amp; Applied Coding workflow optimization</t>
        </is>
      </c>
      <c r="W292" s="27" t="inlineStr">
        <is>
          <t>Hi Gabriel,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92" s="27" t="inlineStr">
        <is>
          <t>2026-10-18</t>
        </is>
      </c>
      <c r="Y292" s="27" t="inlineStr">
        <is>
          <t>C</t>
        </is>
      </c>
      <c r="Z292" s="27" t="n">
        <v>78.7</v>
      </c>
      <c r="AA292" s="27" t="inlineStr">
        <is>
          <t>Qualified</t>
        </is>
      </c>
      <c r="AB292" s="27" t="inlineStr"/>
      <c r="AC292" s="28">
        <f>IF(A292="","",IF(COUNTIF($H$5:$H$1004,H292)&gt;1,"DUPLICATE","UNIQUE"))</f>
        <v/>
      </c>
      <c r="AD292" s="28">
        <f>IF(A292="","",IF(AA292="Rejected",IF(AB292&lt;&gt;"","REJECTED","ADD REASON"),IF(AND(B292&lt;&gt;"",C292&lt;&gt;"",D292&lt;&gt;"",E292&lt;&gt;"",F292&lt;&gt;"",G292&lt;&gt;"",H292&lt;&gt;"",J292&lt;&gt;"",K292&lt;&gt;"",N292&lt;&gt;"",O292&lt;&gt;"",P292&lt;&gt;"",Q292&lt;&gt;"",R292&lt;&gt;"",S292&lt;&gt;"",T292&lt;&gt;"",V292&lt;&gt;"",W292&lt;&gt;"",X292&lt;&gt;"",Y292&lt;&gt;""),"COMPLETE","MISSING FIELDS")))</f>
        <v/>
      </c>
    </row>
    <row r="293" ht="15" customHeight="1" s="15">
      <c r="A293" s="27" t="inlineStr">
        <is>
          <t>LEAD-0289</t>
        </is>
      </c>
      <c r="B293" s="27" t="inlineStr">
        <is>
          <t>Gabriel Yardley</t>
        </is>
      </c>
      <c r="C293" s="27" t="inlineStr">
        <is>
          <t>Podcaster</t>
        </is>
      </c>
      <c r="D293" s="27" t="inlineStr">
        <is>
          <t>US</t>
        </is>
      </c>
      <c r="E293" s="27" t="inlineStr">
        <is>
          <t>English</t>
        </is>
      </c>
      <c r="F293" s="27" t="inlineStr">
        <is>
          <t>Apple Podcasts</t>
        </is>
      </c>
      <c r="G293" s="27" t="inlineStr">
        <is>
          <t>https://podcasts.apple.com/us/podcast/gabrielyardley/id1000289</t>
        </is>
      </c>
      <c r="H293" s="27" t="inlineStr">
        <is>
          <t>AP-US-1000289</t>
        </is>
      </c>
      <c r="I293" s="27" t="inlineStr">
        <is>
          <t>180,000</t>
        </is>
      </c>
      <c r="J293" s="27" t="inlineStr">
        <is>
          <t>2026-10-11</t>
        </is>
      </c>
      <c r="K293" s="27" t="inlineStr">
        <is>
          <t>https://gabrielyardley.com/episodes/90</t>
        </is>
      </c>
      <c r="L293" s="27" t="n">
        <v>17</v>
      </c>
      <c r="M293" s="27" t="n">
        <v>17</v>
      </c>
      <c r="N293" s="27" t="inlineStr">
        <is>
          <t>Membership</t>
        </is>
      </c>
      <c r="O293" s="27" t="inlineStr">
        <is>
          <t>https://gabrielyardley.com/community</t>
        </is>
      </c>
      <c r="P293" s="27" t="inlineStr">
        <is>
          <t>Shorts Repurposing Bottleneck</t>
        </is>
      </c>
      <c r="Q293" s="27" t="inlineStr">
        <is>
          <t>https://gabrielyardley.com/highlights</t>
        </is>
      </c>
      <c r="R293" s="27" t="inlineStr">
        <is>
          <t>LinkedIn</t>
        </is>
      </c>
      <c r="S293" s="27" t="inlineStr">
        <is>
          <t>https://linkedin.com/in/gabrielyardley</t>
        </is>
      </c>
      <c r="T293" s="27" t="inlineStr">
        <is>
          <t>https://gabrielyardley.com/about</t>
        </is>
      </c>
      <c r="U293" s="27" t="inlineStr">
        <is>
          <t>Email</t>
        </is>
      </c>
      <c r="V293" s="27" t="inlineStr">
        <is>
          <t>e-commerce &amp; digital brands frameworks, specifically regarding episode 40 on E-Commerce &amp; Digital Brands workflow optimization</t>
        </is>
      </c>
      <c r="W293" s="27" t="inlineStr">
        <is>
          <t>Hi Gabriel,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93" s="27" t="inlineStr">
        <is>
          <t>2026-10-18</t>
        </is>
      </c>
      <c r="Y293" s="27" t="inlineStr">
        <is>
          <t>C</t>
        </is>
      </c>
      <c r="Z293" s="27" t="n">
        <v>78.7</v>
      </c>
      <c r="AA293" s="27" t="inlineStr">
        <is>
          <t>Qualified</t>
        </is>
      </c>
      <c r="AB293" s="27" t="inlineStr"/>
      <c r="AC293" s="28">
        <f>IF(A293="","",IF(COUNTIF($H$5:$H$1004,H293)&gt;1,"DUPLICATE","UNIQUE"))</f>
        <v/>
      </c>
      <c r="AD293" s="28">
        <f>IF(A293="","",IF(AA293="Rejected",IF(AB293&lt;&gt;"","REJECTED","ADD REASON"),IF(AND(B293&lt;&gt;"",C293&lt;&gt;"",D293&lt;&gt;"",E293&lt;&gt;"",F293&lt;&gt;"",G293&lt;&gt;"",H293&lt;&gt;"",J293&lt;&gt;"",K293&lt;&gt;"",N293&lt;&gt;"",O293&lt;&gt;"",P293&lt;&gt;"",Q293&lt;&gt;"",R293&lt;&gt;"",S293&lt;&gt;"",T293&lt;&gt;"",V293&lt;&gt;"",W293&lt;&gt;"",X293&lt;&gt;"",Y293&lt;&gt;""),"COMPLETE","MISSING FIELDS")))</f>
        <v/>
      </c>
    </row>
    <row r="294" ht="15" customHeight="1" s="15">
      <c r="A294" s="27" t="inlineStr">
        <is>
          <t>LEAD-0290</t>
        </is>
      </c>
      <c r="B294" s="27" t="inlineStr">
        <is>
          <t>Gabriel Zimmerman</t>
        </is>
      </c>
      <c r="C294" s="27" t="inlineStr">
        <is>
          <t>YouTuber</t>
        </is>
      </c>
      <c r="D294" s="27" t="inlineStr">
        <is>
          <t>US</t>
        </is>
      </c>
      <c r="E294" s="27" t="inlineStr">
        <is>
          <t>English</t>
        </is>
      </c>
      <c r="F294" s="27" t="inlineStr">
        <is>
          <t>YouTube</t>
        </is>
      </c>
      <c r="G294" s="27" t="inlineStr">
        <is>
          <t>https://www.youtube.com/@gabrielzimmerman</t>
        </is>
      </c>
      <c r="H294" s="27" t="inlineStr">
        <is>
          <t>UCUS00290661833</t>
        </is>
      </c>
      <c r="I294" s="27" t="inlineStr">
        <is>
          <t>220,000</t>
        </is>
      </c>
      <c r="J294" s="27" t="inlineStr">
        <is>
          <t>2026-10-12</t>
        </is>
      </c>
      <c r="K294" s="27" t="inlineStr">
        <is>
          <t>https://www.youtube.com/watch?v=us00290</t>
        </is>
      </c>
      <c r="L294" s="27" t="n">
        <v>8</v>
      </c>
      <c r="M294" s="27" t="n">
        <v>18</v>
      </c>
      <c r="N294" s="27" t="inlineStr">
        <is>
          <t>Product</t>
        </is>
      </c>
      <c r="O294" s="27" t="inlineStr">
        <is>
          <t>https://gabrielzimmerman.com/shop</t>
        </is>
      </c>
      <c r="P294" s="27" t="inlineStr">
        <is>
          <t>Shorts Repurposing Bottleneck</t>
        </is>
      </c>
      <c r="Q294" s="27" t="inlineStr">
        <is>
          <t>https://gabrielzimmerman.com/highlights</t>
        </is>
      </c>
      <c r="R294" s="27" t="inlineStr">
        <is>
          <t>X (Twitter)</t>
        </is>
      </c>
      <c r="S294" s="27" t="inlineStr">
        <is>
          <t>https://x.com/gabrielzimmerman</t>
        </is>
      </c>
      <c r="T294" s="27" t="inlineStr">
        <is>
          <t>https://gabrielzimmerman.com/links</t>
        </is>
      </c>
      <c r="U294" s="27" t="inlineStr">
        <is>
          <t>LinkedIn</t>
        </is>
      </c>
      <c r="V294" s="27" t="inlineStr">
        <is>
          <t>tech &amp; ai frameworks, specifically regarding episode 41 on Tech &amp; AI workflow optimization</t>
        </is>
      </c>
      <c r="W294" s="27" t="inlineStr">
        <is>
          <t>Hi Gabriel,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94" s="27" t="inlineStr">
        <is>
          <t>2026-10-18</t>
        </is>
      </c>
      <c r="Y294" s="27" t="inlineStr">
        <is>
          <t>C</t>
        </is>
      </c>
      <c r="Z294" s="27" t="n">
        <v>78.59999999999999</v>
      </c>
      <c r="AA294" s="27" t="inlineStr">
        <is>
          <t>Qualified</t>
        </is>
      </c>
      <c r="AB294" s="27" t="inlineStr"/>
      <c r="AC294" s="28">
        <f>IF(A294="","",IF(COUNTIF($H$5:$H$1004,H294)&gt;1,"DUPLICATE","UNIQUE"))</f>
        <v/>
      </c>
      <c r="AD294" s="28">
        <f>IF(A294="","",IF(AA294="Rejected",IF(AB294&lt;&gt;"","REJECTED","ADD REASON"),IF(AND(B294&lt;&gt;"",C294&lt;&gt;"",D294&lt;&gt;"",E294&lt;&gt;"",F294&lt;&gt;"",G294&lt;&gt;"",H294&lt;&gt;"",J294&lt;&gt;"",K294&lt;&gt;"",N294&lt;&gt;"",O294&lt;&gt;"",P294&lt;&gt;"",Q294&lt;&gt;"",R294&lt;&gt;"",S294&lt;&gt;"",T294&lt;&gt;"",V294&lt;&gt;"",W294&lt;&gt;"",X294&lt;&gt;"",Y294&lt;&gt;""),"COMPLETE","MISSING FIELDS")))</f>
        <v/>
      </c>
    </row>
    <row r="295" ht="15" customHeight="1" s="15">
      <c r="A295" s="27" t="inlineStr">
        <is>
          <t>LEAD-0291</t>
        </is>
      </c>
      <c r="B295" s="27" t="inlineStr">
        <is>
          <t>Gabriel Sterling</t>
        </is>
      </c>
      <c r="C295" s="27" t="inlineStr">
        <is>
          <t>Podcaster</t>
        </is>
      </c>
      <c r="D295" s="27" t="inlineStr">
        <is>
          <t>US</t>
        </is>
      </c>
      <c r="E295" s="27" t="inlineStr">
        <is>
          <t>English</t>
        </is>
      </c>
      <c r="F295" s="27" t="inlineStr">
        <is>
          <t>Apple Podcasts</t>
        </is>
      </c>
      <c r="G295" s="27" t="inlineStr">
        <is>
          <t>https://podcasts.apple.com/us/podcast/gabrielsterling/id1000291</t>
        </is>
      </c>
      <c r="H295" s="27" t="inlineStr">
        <is>
          <t>AP-US-1000291</t>
        </is>
      </c>
      <c r="I295" s="27" t="inlineStr">
        <is>
          <t>204,000</t>
        </is>
      </c>
      <c r="J295" s="27" t="inlineStr">
        <is>
          <t>2026-10-13</t>
        </is>
      </c>
      <c r="K295" s="27" t="inlineStr">
        <is>
          <t>https://gabrielsterling.com/episodes/92</t>
        </is>
      </c>
      <c r="L295" s="27" t="n">
        <v>9</v>
      </c>
      <c r="M295" s="27" t="n">
        <v>19</v>
      </c>
      <c r="N295" s="27" t="inlineStr">
        <is>
          <t>Consulting</t>
        </is>
      </c>
      <c r="O295" s="27" t="inlineStr">
        <is>
          <t>https://gabrielsterling.com/advisory</t>
        </is>
      </c>
      <c r="P295" s="27" t="inlineStr">
        <is>
          <t>Missing Video Captions &amp; Retention Clips</t>
        </is>
      </c>
      <c r="Q295" s="27" t="inlineStr">
        <is>
          <t>https://gabrielsterling.com/highlights</t>
        </is>
      </c>
      <c r="R295" s="27" t="inlineStr">
        <is>
          <t>Email</t>
        </is>
      </c>
      <c r="S295" s="27" t="inlineStr">
        <is>
          <t>hello@gabrielsterling.com</t>
        </is>
      </c>
      <c r="T295" s="27" t="inlineStr">
        <is>
          <t>https://gabrielsterling.com/work-with-me</t>
        </is>
      </c>
      <c r="U295" s="27" t="inlineStr">
        <is>
          <t>LinkedIn</t>
        </is>
      </c>
      <c r="V295" s="27" t="inlineStr">
        <is>
          <t>saas &amp; product growth frameworks, specifically regarding episode 42 on SaaS &amp; Product Growth workflow optimization</t>
        </is>
      </c>
      <c r="W295" s="27" t="inlineStr">
        <is>
          <t>Hi Gabriel,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95" s="27" t="inlineStr">
        <is>
          <t>2026-10-18</t>
        </is>
      </c>
      <c r="Y295" s="27" t="inlineStr">
        <is>
          <t>C</t>
        </is>
      </c>
      <c r="Z295" s="27" t="n">
        <v>78.5</v>
      </c>
      <c r="AA295" s="27" t="inlineStr">
        <is>
          <t>Qualified</t>
        </is>
      </c>
      <c r="AB295" s="27" t="inlineStr"/>
      <c r="AC295" s="28">
        <f>IF(A295="","",IF(COUNTIF($H$5:$H$1004,H295)&gt;1,"DUPLICATE","UNIQUE"))</f>
        <v/>
      </c>
      <c r="AD295" s="28">
        <f>IF(A295="","",IF(AA295="Rejected",IF(AB295&lt;&gt;"","REJECTED","ADD REASON"),IF(AND(B295&lt;&gt;"",C295&lt;&gt;"",D295&lt;&gt;"",E295&lt;&gt;"",F295&lt;&gt;"",G295&lt;&gt;"",H295&lt;&gt;"",J295&lt;&gt;"",K295&lt;&gt;"",N295&lt;&gt;"",O295&lt;&gt;"",P295&lt;&gt;"",Q295&lt;&gt;"",R295&lt;&gt;"",S295&lt;&gt;"",T295&lt;&gt;"",V295&lt;&gt;"",W295&lt;&gt;"",X295&lt;&gt;"",Y295&lt;&gt;""),"COMPLETE","MISSING FIELDS")))</f>
        <v/>
      </c>
    </row>
    <row r="296" ht="15" customHeight="1" s="15">
      <c r="A296" s="27" t="inlineStr">
        <is>
          <t>LEAD-0292</t>
        </is>
      </c>
      <c r="B296" s="27" t="inlineStr">
        <is>
          <t>Gabriel Cross</t>
        </is>
      </c>
      <c r="C296" s="27" t="inlineStr">
        <is>
          <t>Expert-Led Creator</t>
        </is>
      </c>
      <c r="D296" s="27" t="inlineStr">
        <is>
          <t>US</t>
        </is>
      </c>
      <c r="E296" s="27" t="inlineStr">
        <is>
          <t>English</t>
        </is>
      </c>
      <c r="F296" s="27" t="inlineStr">
        <is>
          <t>YouTube</t>
        </is>
      </c>
      <c r="G296" s="27" t="inlineStr">
        <is>
          <t>https://www.youtube.com/@gabrielcross</t>
        </is>
      </c>
      <c r="H296" s="27" t="inlineStr">
        <is>
          <t>UCUS00292567079</t>
        </is>
      </c>
      <c r="I296" s="27" t="inlineStr">
        <is>
          <t>260,000</t>
        </is>
      </c>
      <c r="J296" s="27" t="inlineStr">
        <is>
          <t>2026-10-14</t>
        </is>
      </c>
      <c r="K296" s="27" t="inlineStr">
        <is>
          <t>https://www.youtube.com/watch?v=us00292</t>
        </is>
      </c>
      <c r="L296" s="27" t="n">
        <v>10</v>
      </c>
      <c r="M296" s="27" t="n">
        <v>20</v>
      </c>
      <c r="N296" s="27" t="inlineStr">
        <is>
          <t>Newsletter Subscription</t>
        </is>
      </c>
      <c r="O296" s="27" t="inlineStr">
        <is>
          <t>https://gabrielcross.com/subscribe</t>
        </is>
      </c>
      <c r="P296" s="27" t="inlineStr">
        <is>
          <t>Editing Backlog &amp; Team Workflow Overhead</t>
        </is>
      </c>
      <c r="Q296" s="27" t="inlineStr">
        <is>
          <t>https://gabrielcross.com/highlights</t>
        </is>
      </c>
      <c r="R296" s="27" t="inlineStr">
        <is>
          <t>Email</t>
        </is>
      </c>
      <c r="S296" s="27" t="inlineStr">
        <is>
          <t>contact@gabrielcross.com</t>
        </is>
      </c>
      <c r="T296" s="27" t="inlineStr">
        <is>
          <t>https://gabrielcross.com/contact</t>
        </is>
      </c>
      <c r="U296" s="27" t="inlineStr">
        <is>
          <t>LinkedIn</t>
        </is>
      </c>
      <c r="V296" s="27" t="inlineStr">
        <is>
          <t>creator business &amp; monetization frameworks, specifically regarding episode 43 on Creator Business &amp; Monetization workflow optimization</t>
        </is>
      </c>
      <c r="W296" s="27" t="inlineStr">
        <is>
          <t>Hi Gabriel,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96" s="27" t="inlineStr">
        <is>
          <t>2026-10-18</t>
        </is>
      </c>
      <c r="Y296" s="27" t="inlineStr">
        <is>
          <t>C</t>
        </is>
      </c>
      <c r="Z296" s="27" t="n">
        <v>78.5</v>
      </c>
      <c r="AA296" s="27" t="inlineStr">
        <is>
          <t>Qualified</t>
        </is>
      </c>
      <c r="AB296" s="27" t="inlineStr"/>
      <c r="AC296" s="28">
        <f>IF(A296="","",IF(COUNTIF($H$5:$H$1004,H296)&gt;1,"DUPLICATE","UNIQUE"))</f>
        <v/>
      </c>
      <c r="AD296" s="28">
        <f>IF(A296="","",IF(AA296="Rejected",IF(AB296&lt;&gt;"","REJECTED","ADD REASON"),IF(AND(B296&lt;&gt;"",C296&lt;&gt;"",D296&lt;&gt;"",E296&lt;&gt;"",F296&lt;&gt;"",G296&lt;&gt;"",H296&lt;&gt;"",J296&lt;&gt;"",K296&lt;&gt;"",N296&lt;&gt;"",O296&lt;&gt;"",P296&lt;&gt;"",Q296&lt;&gt;"",R296&lt;&gt;"",S296&lt;&gt;"",T296&lt;&gt;"",V296&lt;&gt;"",W296&lt;&gt;"",X296&lt;&gt;"",Y296&lt;&gt;""),"COMPLETE","MISSING FIELDS")))</f>
        <v/>
      </c>
    </row>
    <row r="297" ht="15" customHeight="1" s="15">
      <c r="A297" s="27" t="inlineStr">
        <is>
          <t>LEAD-0293</t>
        </is>
      </c>
      <c r="B297" s="27" t="inlineStr">
        <is>
          <t>Gabriel Vance</t>
        </is>
      </c>
      <c r="C297" s="27" t="inlineStr">
        <is>
          <t>YouTuber</t>
        </is>
      </c>
      <c r="D297" s="27" t="inlineStr">
        <is>
          <t>US</t>
        </is>
      </c>
      <c r="E297" s="27" t="inlineStr">
        <is>
          <t>English</t>
        </is>
      </c>
      <c r="F297" s="27" t="inlineStr">
        <is>
          <t>YouTube</t>
        </is>
      </c>
      <c r="G297" s="27" t="inlineStr">
        <is>
          <t>https://www.youtube.com/@gabrielvance</t>
        </is>
      </c>
      <c r="H297" s="27" t="inlineStr">
        <is>
          <t>UCUS00293560074</t>
        </is>
      </c>
      <c r="I297" s="27" t="inlineStr">
        <is>
          <t>280,000</t>
        </is>
      </c>
      <c r="J297" s="27" t="inlineStr">
        <is>
          <t>2026-10-15</t>
        </is>
      </c>
      <c r="K297" s="27" t="inlineStr">
        <is>
          <t>https://www.youtube.com/watch?v=us00293</t>
        </is>
      </c>
      <c r="L297" s="27" t="n">
        <v>11</v>
      </c>
      <c r="M297" s="27" t="n">
        <v>21</v>
      </c>
      <c r="N297" s="27" t="inlineStr">
        <is>
          <t>Affiliate</t>
        </is>
      </c>
      <c r="O297" s="27" t="inlineStr">
        <is>
          <t>https://gabrielvance.com/resources</t>
        </is>
      </c>
      <c r="P297" s="27" t="inlineStr">
        <is>
          <t>Shorts Repurposing Bottleneck</t>
        </is>
      </c>
      <c r="Q297" s="27" t="inlineStr">
        <is>
          <t>https://gabrielvance.com/highlights</t>
        </is>
      </c>
      <c r="R297" s="27" t="inlineStr">
        <is>
          <t>LinkedIn</t>
        </is>
      </c>
      <c r="S297" s="27" t="inlineStr">
        <is>
          <t>https://linkedin.com/in/gabrielvance</t>
        </is>
      </c>
      <c r="T297" s="27" t="inlineStr">
        <is>
          <t>https://gabrielvance.com/about</t>
        </is>
      </c>
      <c r="U297" s="27" t="inlineStr">
        <is>
          <t>Email</t>
        </is>
      </c>
      <c r="V297" s="27" t="inlineStr">
        <is>
          <t>productivity &amp; personal systems frameworks, specifically regarding episode 44 on Productivity &amp; Personal Systems workflow optimization</t>
        </is>
      </c>
      <c r="W297" s="27" t="inlineStr">
        <is>
          <t>Hi Gabriel,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97" s="27" t="inlineStr">
        <is>
          <t>2026-10-18</t>
        </is>
      </c>
      <c r="Y297" s="27" t="inlineStr">
        <is>
          <t>C</t>
        </is>
      </c>
      <c r="Z297" s="27" t="n">
        <v>78.40000000000001</v>
      </c>
      <c r="AA297" s="27" t="inlineStr">
        <is>
          <t>Qualified</t>
        </is>
      </c>
      <c r="AB297" s="27" t="inlineStr"/>
      <c r="AC297" s="28">
        <f>IF(A297="","",IF(COUNTIF($H$5:$H$1004,H297)&gt;1,"DUPLICATE","UNIQUE"))</f>
        <v/>
      </c>
      <c r="AD297" s="28">
        <f>IF(A297="","",IF(AA297="Rejected",IF(AB297&lt;&gt;"","REJECTED","ADD REASON"),IF(AND(B297&lt;&gt;"",C297&lt;&gt;"",D297&lt;&gt;"",E297&lt;&gt;"",F297&lt;&gt;"",G297&lt;&gt;"",H297&lt;&gt;"",J297&lt;&gt;"",K297&lt;&gt;"",N297&lt;&gt;"",O297&lt;&gt;"",P297&lt;&gt;"",Q297&lt;&gt;"",R297&lt;&gt;"",S297&lt;&gt;"",T297&lt;&gt;"",V297&lt;&gt;"",W297&lt;&gt;"",X297&lt;&gt;"",Y297&lt;&gt;""),"COMPLETE","MISSING FIELDS")))</f>
        <v/>
      </c>
    </row>
    <row r="298" ht="15" customHeight="1" s="15">
      <c r="A298" s="27" t="inlineStr">
        <is>
          <t>LEAD-0294</t>
        </is>
      </c>
      <c r="B298" s="27" t="inlineStr">
        <is>
          <t>Gabriel Mercer</t>
        </is>
      </c>
      <c r="C298" s="27" t="inlineStr">
        <is>
          <t>Podcaster</t>
        </is>
      </c>
      <c r="D298" s="27" t="inlineStr">
        <is>
          <t>US</t>
        </is>
      </c>
      <c r="E298" s="27" t="inlineStr">
        <is>
          <t>English</t>
        </is>
      </c>
      <c r="F298" s="27" t="inlineStr">
        <is>
          <t>Apple Podcasts</t>
        </is>
      </c>
      <c r="G298" s="27" t="inlineStr">
        <is>
          <t>https://podcasts.apple.com/us/podcast/gabrielmercer/id1000294</t>
        </is>
      </c>
      <c r="H298" s="27" t="inlineStr">
        <is>
          <t>AP-US-1000294</t>
        </is>
      </c>
      <c r="I298" s="27" t="inlineStr">
        <is>
          <t>240,000</t>
        </is>
      </c>
      <c r="J298" s="27" t="inlineStr">
        <is>
          <t>2026-10-16</t>
        </is>
      </c>
      <c r="K298" s="27" t="inlineStr">
        <is>
          <t>https://gabrielmercer.com/episodes/95</t>
        </is>
      </c>
      <c r="L298" s="27" t="n">
        <v>12</v>
      </c>
      <c r="M298" s="27" t="n">
        <v>22</v>
      </c>
      <c r="N298" s="27" t="inlineStr">
        <is>
          <t>Course</t>
        </is>
      </c>
      <c r="O298" s="27" t="inlineStr">
        <is>
          <t>https://gabrielmercer.com/academy</t>
        </is>
      </c>
      <c r="P298" s="27" t="inlineStr">
        <is>
          <t>Inconsistent Cross-Platform Publishing</t>
        </is>
      </c>
      <c r="Q298" s="27" t="inlineStr">
        <is>
          <t>https://gabrielmercer.com/highlights</t>
        </is>
      </c>
      <c r="R298" s="27" t="inlineStr">
        <is>
          <t>X (Twitter)</t>
        </is>
      </c>
      <c r="S298" s="27" t="inlineStr">
        <is>
          <t>https://x.com/gabrielmercer</t>
        </is>
      </c>
      <c r="T298" s="27" t="inlineStr">
        <is>
          <t>https://gabrielmercer.com/links</t>
        </is>
      </c>
      <c r="U298" s="27" t="inlineStr">
        <is>
          <t>LinkedIn</t>
        </is>
      </c>
      <c r="V298" s="27" t="inlineStr">
        <is>
          <t>leadership &amp; team ops frameworks, specifically regarding episode 45 on Leadership &amp; Team Ops workflow optimization</t>
        </is>
      </c>
      <c r="W298" s="27" t="inlineStr">
        <is>
          <t>Hi Gabriel,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98" s="27" t="inlineStr">
        <is>
          <t>2026-10-18</t>
        </is>
      </c>
      <c r="Y298" s="27" t="inlineStr">
        <is>
          <t>C</t>
        </is>
      </c>
      <c r="Z298" s="27" t="n">
        <v>78.40000000000001</v>
      </c>
      <c r="AA298" s="27" t="inlineStr">
        <is>
          <t>Qualified</t>
        </is>
      </c>
      <c r="AB298" s="27" t="inlineStr"/>
      <c r="AC298" s="28">
        <f>IF(A298="","",IF(COUNTIF($H$5:$H$1004,H298)&gt;1,"DUPLICATE","UNIQUE"))</f>
        <v/>
      </c>
      <c r="AD298" s="28">
        <f>IF(A298="","",IF(AA298="Rejected",IF(AB298&lt;&gt;"","REJECTED","ADD REASON"),IF(AND(B298&lt;&gt;"",C298&lt;&gt;"",D298&lt;&gt;"",E298&lt;&gt;"",F298&lt;&gt;"",G298&lt;&gt;"",H298&lt;&gt;"",J298&lt;&gt;"",K298&lt;&gt;"",N298&lt;&gt;"",O298&lt;&gt;"",P298&lt;&gt;"",Q298&lt;&gt;"",R298&lt;&gt;"",S298&lt;&gt;"",T298&lt;&gt;"",V298&lt;&gt;"",W298&lt;&gt;"",X298&lt;&gt;"",Y298&lt;&gt;""),"COMPLETE","MISSING FIELDS")))</f>
        <v/>
      </c>
    </row>
    <row r="299" ht="15" customHeight="1" s="15">
      <c r="A299" s="27" t="inlineStr">
        <is>
          <t>LEAD-0295</t>
        </is>
      </c>
      <c r="B299" s="27" t="inlineStr">
        <is>
          <t>Gabriel Sinclair</t>
        </is>
      </c>
      <c r="C299" s="27" t="inlineStr">
        <is>
          <t>Expert-Led Creator</t>
        </is>
      </c>
      <c r="D299" s="27" t="inlineStr">
        <is>
          <t>US</t>
        </is>
      </c>
      <c r="E299" s="27" t="inlineStr">
        <is>
          <t>English</t>
        </is>
      </c>
      <c r="F299" s="27" t="inlineStr">
        <is>
          <t>LinkedIn</t>
        </is>
      </c>
      <c r="G299" s="27" t="inlineStr">
        <is>
          <t>https://www.linkedin.com/in/gabrielsinclair</t>
        </is>
      </c>
      <c r="H299" s="27" t="inlineStr">
        <is>
          <t>LI-gabrielsinclair-0295</t>
        </is>
      </c>
      <c r="I299" s="27" t="inlineStr">
        <is>
          <t>156,000</t>
        </is>
      </c>
      <c r="J299" s="27" t="inlineStr">
        <is>
          <t>2026-10-17</t>
        </is>
      </c>
      <c r="K299" s="27" t="inlineStr">
        <is>
          <t>https://gabrielsinclair.com/posts/146</t>
        </is>
      </c>
      <c r="L299" s="27" t="n">
        <v>13</v>
      </c>
      <c r="M299" s="27" t="n">
        <v>23</v>
      </c>
      <c r="N299" s="27" t="inlineStr">
        <is>
          <t>Sponsor</t>
        </is>
      </c>
      <c r="O299" s="27" t="inlineStr">
        <is>
          <t>https://gabrielsinclair.com/partners</t>
        </is>
      </c>
      <c r="P299" s="27" t="inlineStr">
        <is>
          <t>Editing Backlog &amp; Team Workflow Overhead</t>
        </is>
      </c>
      <c r="Q299" s="27" t="inlineStr">
        <is>
          <t>https://gabrielsinclair.com/highlights</t>
        </is>
      </c>
      <c r="R299" s="27" t="inlineStr">
        <is>
          <t>Email</t>
        </is>
      </c>
      <c r="S299" s="27" t="inlineStr">
        <is>
          <t>hello@gabrielsinclair.com</t>
        </is>
      </c>
      <c r="T299" s="27" t="inlineStr">
        <is>
          <t>https://gabrielsinclair.com/work-with-me</t>
        </is>
      </c>
      <c r="U299" s="27" t="inlineStr">
        <is>
          <t>LinkedIn</t>
        </is>
      </c>
      <c r="V299" s="27" t="inlineStr">
        <is>
          <t>b2b marketing &amp; sales frameworks, specifically regarding episode 46 on B2B Marketing &amp; Sales workflow optimization</t>
        </is>
      </c>
      <c r="W299" s="27" t="inlineStr">
        <is>
          <t>Hi Gabriel,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299" s="27" t="inlineStr">
        <is>
          <t>2026-10-18</t>
        </is>
      </c>
      <c r="Y299" s="27" t="inlineStr">
        <is>
          <t>C</t>
        </is>
      </c>
      <c r="Z299" s="27" t="n">
        <v>78.3</v>
      </c>
      <c r="AA299" s="27" t="inlineStr">
        <is>
          <t>Qualified</t>
        </is>
      </c>
      <c r="AB299" s="27" t="inlineStr"/>
      <c r="AC299" s="28">
        <f>IF(A299="","",IF(COUNTIF($H$5:$H$1004,H299)&gt;1,"DUPLICATE","UNIQUE"))</f>
        <v/>
      </c>
      <c r="AD299" s="28">
        <f>IF(A299="","",IF(AA299="Rejected",IF(AB299&lt;&gt;"","REJECTED","ADD REASON"),IF(AND(B299&lt;&gt;"",C299&lt;&gt;"",D299&lt;&gt;"",E299&lt;&gt;"",F299&lt;&gt;"",G299&lt;&gt;"",H299&lt;&gt;"",J299&lt;&gt;"",K299&lt;&gt;"",N299&lt;&gt;"",O299&lt;&gt;"",P299&lt;&gt;"",Q299&lt;&gt;"",R299&lt;&gt;"",S299&lt;&gt;"",T299&lt;&gt;"",V299&lt;&gt;"",W299&lt;&gt;"",X299&lt;&gt;"",Y299&lt;&gt;""),"COMPLETE","MISSING FIELDS")))</f>
        <v/>
      </c>
    </row>
    <row r="300" ht="15" customHeight="1" s="15">
      <c r="A300" s="27" t="inlineStr">
        <is>
          <t>LEAD-0296</t>
        </is>
      </c>
      <c r="B300" s="27" t="inlineStr">
        <is>
          <t>Gabriel Carrington</t>
        </is>
      </c>
      <c r="C300" s="27" t="inlineStr">
        <is>
          <t>YouTuber</t>
        </is>
      </c>
      <c r="D300" s="27" t="inlineStr">
        <is>
          <t>US</t>
        </is>
      </c>
      <c r="E300" s="27" t="inlineStr">
        <is>
          <t>English</t>
        </is>
      </c>
      <c r="F300" s="27" t="inlineStr">
        <is>
          <t>YouTube</t>
        </is>
      </c>
      <c r="G300" s="27" t="inlineStr">
        <is>
          <t>https://www.youtube.com/@gabrielcarrington</t>
        </is>
      </c>
      <c r="H300" s="27" t="inlineStr">
        <is>
          <t>UCUS00296143884</t>
        </is>
      </c>
      <c r="I300" s="27" t="inlineStr">
        <is>
          <t>340,000</t>
        </is>
      </c>
      <c r="J300" s="27" t="inlineStr">
        <is>
          <t>2026-10-10</t>
        </is>
      </c>
      <c r="K300" s="27" t="inlineStr">
        <is>
          <t>https://www.youtube.com/watch?v=us00296</t>
        </is>
      </c>
      <c r="L300" s="27" t="n">
        <v>14</v>
      </c>
      <c r="M300" s="27" t="n">
        <v>24</v>
      </c>
      <c r="N300" s="27" t="inlineStr">
        <is>
          <t>Membership</t>
        </is>
      </c>
      <c r="O300" s="27" t="inlineStr">
        <is>
          <t>https://gabrielcarrington.com/community</t>
        </is>
      </c>
      <c r="P300" s="27" t="inlineStr">
        <is>
          <t>Multilingual Audio Dubbing</t>
        </is>
      </c>
      <c r="Q300" s="27" t="inlineStr">
        <is>
          <t>https://gabrielcarrington.com/highlights</t>
        </is>
      </c>
      <c r="R300" s="27" t="inlineStr">
        <is>
          <t>Email</t>
        </is>
      </c>
      <c r="S300" s="27" t="inlineStr">
        <is>
          <t>contact@gabrielcarrington.com</t>
        </is>
      </c>
      <c r="T300" s="27" t="inlineStr">
        <is>
          <t>https://gabrielcarrington.com/contact</t>
        </is>
      </c>
      <c r="U300" s="27" t="inlineStr">
        <is>
          <t>LinkedIn</t>
        </is>
      </c>
      <c r="V300" s="27" t="inlineStr">
        <is>
          <t>finance &amp; wealth engineering frameworks, specifically regarding episode 47 on Finance &amp; Wealth Engineering workflow optimization</t>
        </is>
      </c>
      <c r="W300" s="27" t="inlineStr">
        <is>
          <t>Hi Gabriel,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00" s="27" t="inlineStr">
        <is>
          <t>2026-10-18</t>
        </is>
      </c>
      <c r="Y300" s="27" t="inlineStr">
        <is>
          <t>C</t>
        </is>
      </c>
      <c r="Z300" s="27" t="n">
        <v>78.2</v>
      </c>
      <c r="AA300" s="27" t="inlineStr">
        <is>
          <t>Qualified</t>
        </is>
      </c>
      <c r="AB300" s="27" t="inlineStr"/>
      <c r="AC300" s="28">
        <f>IF(A300="","",IF(COUNTIF($H$5:$H$1004,H300)&gt;1,"DUPLICATE","UNIQUE"))</f>
        <v/>
      </c>
      <c r="AD300" s="28">
        <f>IF(A300="","",IF(AA300="Rejected",IF(AB300&lt;&gt;"","REJECTED","ADD REASON"),IF(AND(B300&lt;&gt;"",C300&lt;&gt;"",D300&lt;&gt;"",E300&lt;&gt;"",F300&lt;&gt;"",G300&lt;&gt;"",H300&lt;&gt;"",J300&lt;&gt;"",K300&lt;&gt;"",N300&lt;&gt;"",O300&lt;&gt;"",P300&lt;&gt;"",Q300&lt;&gt;"",R300&lt;&gt;"",S300&lt;&gt;"",T300&lt;&gt;"",V300&lt;&gt;"",W300&lt;&gt;"",X300&lt;&gt;"",Y300&lt;&gt;""),"COMPLETE","MISSING FIELDS")))</f>
        <v/>
      </c>
    </row>
    <row r="301" ht="15" customHeight="1" s="15">
      <c r="A301" s="27" t="inlineStr">
        <is>
          <t>LEAD-0297</t>
        </is>
      </c>
      <c r="B301" s="27" t="inlineStr">
        <is>
          <t>Gabriel Prescott</t>
        </is>
      </c>
      <c r="C301" s="27" t="inlineStr">
        <is>
          <t>Podcaster</t>
        </is>
      </c>
      <c r="D301" s="27" t="inlineStr">
        <is>
          <t>US</t>
        </is>
      </c>
      <c r="E301" s="27" t="inlineStr">
        <is>
          <t>English</t>
        </is>
      </c>
      <c r="F301" s="27" t="inlineStr">
        <is>
          <t>Apple Podcasts</t>
        </is>
      </c>
      <c r="G301" s="27" t="inlineStr">
        <is>
          <t>https://podcasts.apple.com/us/podcast/gabrielprescott/id1000297</t>
        </is>
      </c>
      <c r="H301" s="27" t="inlineStr">
        <is>
          <t>AP-US-1000297</t>
        </is>
      </c>
      <c r="I301" s="27" t="inlineStr">
        <is>
          <t>276,000</t>
        </is>
      </c>
      <c r="J301" s="27" t="inlineStr">
        <is>
          <t>2026-10-11</t>
        </is>
      </c>
      <c r="K301" s="27" t="inlineStr">
        <is>
          <t>https://gabrielprescott.com/episodes/98</t>
        </is>
      </c>
      <c r="L301" s="27" t="n">
        <v>15</v>
      </c>
      <c r="M301" s="27" t="n">
        <v>25</v>
      </c>
      <c r="N301" s="27" t="inlineStr">
        <is>
          <t>Product</t>
        </is>
      </c>
      <c r="O301" s="27" t="inlineStr">
        <is>
          <t>https://gabrielprescott.com/shop</t>
        </is>
      </c>
      <c r="P301" s="27" t="inlineStr">
        <is>
          <t>Multilingual Audio Dubbing</t>
        </is>
      </c>
      <c r="Q301" s="27" t="inlineStr">
        <is>
          <t>https://gabrielprescott.com/highlights</t>
        </is>
      </c>
      <c r="R301" s="27" t="inlineStr">
        <is>
          <t>LinkedIn</t>
        </is>
      </c>
      <c r="S301" s="27" t="inlineStr">
        <is>
          <t>https://linkedin.com/in/gabrielprescott</t>
        </is>
      </c>
      <c r="T301" s="27" t="inlineStr">
        <is>
          <t>https://gabrielprescott.com/about</t>
        </is>
      </c>
      <c r="U301" s="27" t="inlineStr">
        <is>
          <t>Email</t>
        </is>
      </c>
      <c r="V301" s="27" t="inlineStr">
        <is>
          <t>health &amp; longevity science frameworks, specifically regarding episode 48 on Health &amp; Longevity Science workflow optimization</t>
        </is>
      </c>
      <c r="W301" s="27" t="inlineStr">
        <is>
          <t>Hi Gabriel,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01" s="27" t="inlineStr">
        <is>
          <t>2026-10-18</t>
        </is>
      </c>
      <c r="Y301" s="27" t="inlineStr">
        <is>
          <t>C</t>
        </is>
      </c>
      <c r="Z301" s="27" t="n">
        <v>78.2</v>
      </c>
      <c r="AA301" s="27" t="inlineStr">
        <is>
          <t>Qualified</t>
        </is>
      </c>
      <c r="AB301" s="27" t="inlineStr"/>
      <c r="AC301" s="28">
        <f>IF(A301="","",IF(COUNTIF($H$5:$H$1004,H301)&gt;1,"DUPLICATE","UNIQUE"))</f>
        <v/>
      </c>
      <c r="AD301" s="28">
        <f>IF(A301="","",IF(AA301="Rejected",IF(AB301&lt;&gt;"","REJECTED","ADD REASON"),IF(AND(B301&lt;&gt;"",C301&lt;&gt;"",D301&lt;&gt;"",E301&lt;&gt;"",F301&lt;&gt;"",G301&lt;&gt;"",H301&lt;&gt;"",J301&lt;&gt;"",K301&lt;&gt;"",N301&lt;&gt;"",O301&lt;&gt;"",P301&lt;&gt;"",Q301&lt;&gt;"",R301&lt;&gt;"",S301&lt;&gt;"",T301&lt;&gt;"",V301&lt;&gt;"",W301&lt;&gt;"",X301&lt;&gt;"",Y301&lt;&gt;""),"COMPLETE","MISSING FIELDS")))</f>
        <v/>
      </c>
    </row>
    <row r="302" ht="15" customHeight="1" s="15">
      <c r="A302" s="27" t="inlineStr">
        <is>
          <t>LEAD-0298</t>
        </is>
      </c>
      <c r="B302" s="27" t="inlineStr">
        <is>
          <t>Gabriel Winslow</t>
        </is>
      </c>
      <c r="C302" s="27" t="inlineStr">
        <is>
          <t>YouTuber</t>
        </is>
      </c>
      <c r="D302" s="27" t="inlineStr">
        <is>
          <t>US</t>
        </is>
      </c>
      <c r="E302" s="27" t="inlineStr">
        <is>
          <t>English</t>
        </is>
      </c>
      <c r="F302" s="27" t="inlineStr">
        <is>
          <t>YouTube</t>
        </is>
      </c>
      <c r="G302" s="27" t="inlineStr">
        <is>
          <t>https://www.youtube.com/@gabrielwinslow</t>
        </is>
      </c>
      <c r="H302" s="27" t="inlineStr">
        <is>
          <t>UCUS00298659609</t>
        </is>
      </c>
      <c r="I302" s="27" t="inlineStr">
        <is>
          <t>380,000</t>
        </is>
      </c>
      <c r="J302" s="27" t="inlineStr">
        <is>
          <t>2026-10-12</t>
        </is>
      </c>
      <c r="K302" s="27" t="inlineStr">
        <is>
          <t>https://www.youtube.com/watch?v=us00298</t>
        </is>
      </c>
      <c r="L302" s="27" t="n">
        <v>16</v>
      </c>
      <c r="M302" s="27" t="n">
        <v>26</v>
      </c>
      <c r="N302" s="27" t="inlineStr">
        <is>
          <t>Consulting</t>
        </is>
      </c>
      <c r="O302" s="27" t="inlineStr">
        <is>
          <t>https://gabrielwinslow.com/advisory</t>
        </is>
      </c>
      <c r="P302" s="27" t="inlineStr">
        <is>
          <t>Missing Video Captions &amp; Retention Clips</t>
        </is>
      </c>
      <c r="Q302" s="27" t="inlineStr">
        <is>
          <t>https://gabrielwinslow.com/highlights</t>
        </is>
      </c>
      <c r="R302" s="27" t="inlineStr">
        <is>
          <t>X (Twitter)</t>
        </is>
      </c>
      <c r="S302" s="27" t="inlineStr">
        <is>
          <t>https://x.com/gabrielwinslow</t>
        </is>
      </c>
      <c r="T302" s="27" t="inlineStr">
        <is>
          <t>https://gabrielwinslow.com/links</t>
        </is>
      </c>
      <c r="U302" s="27" t="inlineStr">
        <is>
          <t>LinkedIn</t>
        </is>
      </c>
      <c r="V302" s="27" t="inlineStr">
        <is>
          <t>education &amp; applied coding frameworks, specifically regarding episode 49 on Education &amp; Applied Coding workflow optimization</t>
        </is>
      </c>
      <c r="W302" s="27" t="inlineStr">
        <is>
          <t>Hi Gabriel,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02" s="27" t="inlineStr">
        <is>
          <t>2026-10-18</t>
        </is>
      </c>
      <c r="Y302" s="27" t="inlineStr">
        <is>
          <t>C</t>
        </is>
      </c>
      <c r="Z302" s="27" t="n">
        <v>78.09999999999999</v>
      </c>
      <c r="AA302" s="27" t="inlineStr">
        <is>
          <t>Qualified</t>
        </is>
      </c>
      <c r="AB302" s="27" t="inlineStr"/>
      <c r="AC302" s="28">
        <f>IF(A302="","",IF(COUNTIF($H$5:$H$1004,H302)&gt;1,"DUPLICATE","UNIQUE"))</f>
        <v/>
      </c>
      <c r="AD302" s="28">
        <f>IF(A302="","",IF(AA302="Rejected",IF(AB302&lt;&gt;"","REJECTED","ADD REASON"),IF(AND(B302&lt;&gt;"",C302&lt;&gt;"",D302&lt;&gt;"",E302&lt;&gt;"",F302&lt;&gt;"",G302&lt;&gt;"",H302&lt;&gt;"",J302&lt;&gt;"",K302&lt;&gt;"",N302&lt;&gt;"",O302&lt;&gt;"",P302&lt;&gt;"",Q302&lt;&gt;"",R302&lt;&gt;"",S302&lt;&gt;"",T302&lt;&gt;"",V302&lt;&gt;"",W302&lt;&gt;"",X302&lt;&gt;"",Y302&lt;&gt;""),"COMPLETE","MISSING FIELDS")))</f>
        <v/>
      </c>
    </row>
    <row r="303" ht="15" customHeight="1" s="15">
      <c r="A303" s="27" t="inlineStr">
        <is>
          <t>LEAD-0299</t>
        </is>
      </c>
      <c r="B303" s="27" t="inlineStr">
        <is>
          <t>Gabriel Bradford</t>
        </is>
      </c>
      <c r="C303" s="27" t="inlineStr">
        <is>
          <t>Podcaster</t>
        </is>
      </c>
      <c r="D303" s="27" t="inlineStr">
        <is>
          <t>US</t>
        </is>
      </c>
      <c r="E303" s="27" t="inlineStr">
        <is>
          <t>English</t>
        </is>
      </c>
      <c r="F303" s="27" t="inlineStr">
        <is>
          <t>Apple Podcasts</t>
        </is>
      </c>
      <c r="G303" s="27" t="inlineStr">
        <is>
          <t>https://podcasts.apple.com/us/podcast/gabrielbradford/id1000299</t>
        </is>
      </c>
      <c r="H303" s="27" t="inlineStr">
        <is>
          <t>AP-US-1000299</t>
        </is>
      </c>
      <c r="I303" s="27" t="inlineStr">
        <is>
          <t>300,000</t>
        </is>
      </c>
      <c r="J303" s="27" t="inlineStr">
        <is>
          <t>2026-10-13</t>
        </is>
      </c>
      <c r="K303" s="27" t="inlineStr">
        <is>
          <t>https://gabrielbradford.com/episodes/100</t>
        </is>
      </c>
      <c r="L303" s="27" t="n">
        <v>17</v>
      </c>
      <c r="M303" s="27" t="n">
        <v>27</v>
      </c>
      <c r="N303" s="27" t="inlineStr">
        <is>
          <t>Newsletter Subscription</t>
        </is>
      </c>
      <c r="O303" s="27" t="inlineStr">
        <is>
          <t>https://gabrielbradford.com/subscribe</t>
        </is>
      </c>
      <c r="P303" s="27" t="inlineStr">
        <is>
          <t>Shorts Repurposing Bottleneck</t>
        </is>
      </c>
      <c r="Q303" s="27" t="inlineStr">
        <is>
          <t>https://gabrielbradford.com/highlights</t>
        </is>
      </c>
      <c r="R303" s="27" t="inlineStr">
        <is>
          <t>Email</t>
        </is>
      </c>
      <c r="S303" s="27" t="inlineStr">
        <is>
          <t>hello@gabrielbradford.com</t>
        </is>
      </c>
      <c r="T303" s="27" t="inlineStr">
        <is>
          <t>https://gabrielbradford.com/work-with-me</t>
        </is>
      </c>
      <c r="U303" s="27" t="inlineStr">
        <is>
          <t>LinkedIn</t>
        </is>
      </c>
      <c r="V303" s="27" t="inlineStr">
        <is>
          <t>e-commerce &amp; digital brands frameworks, specifically regarding episode 50 on E-Commerce &amp; Digital Brands workflow optimization</t>
        </is>
      </c>
      <c r="W303" s="27" t="inlineStr">
        <is>
          <t>Hi Gabriel,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03" s="27" t="inlineStr">
        <is>
          <t>2026-10-18</t>
        </is>
      </c>
      <c r="Y303" s="27" t="inlineStr">
        <is>
          <t>C</t>
        </is>
      </c>
      <c r="Z303" s="27" t="n">
        <v>78.09999999999999</v>
      </c>
      <c r="AA303" s="27" t="inlineStr">
        <is>
          <t>Qualified</t>
        </is>
      </c>
      <c r="AB303" s="27" t="inlineStr"/>
      <c r="AC303" s="28">
        <f>IF(A303="","",IF(COUNTIF($H$5:$H$1004,H303)&gt;1,"DUPLICATE","UNIQUE"))</f>
        <v/>
      </c>
      <c r="AD303" s="28">
        <f>IF(A303="","",IF(AA303="Rejected",IF(AB303&lt;&gt;"","REJECTED","ADD REASON"),IF(AND(B303&lt;&gt;"",C303&lt;&gt;"",D303&lt;&gt;"",E303&lt;&gt;"",F303&lt;&gt;"",G303&lt;&gt;"",H303&lt;&gt;"",J303&lt;&gt;"",K303&lt;&gt;"",N303&lt;&gt;"",O303&lt;&gt;"",P303&lt;&gt;"",Q303&lt;&gt;"",R303&lt;&gt;"",S303&lt;&gt;"",T303&lt;&gt;"",V303&lt;&gt;"",W303&lt;&gt;"",X303&lt;&gt;"",Y303&lt;&gt;""),"COMPLETE","MISSING FIELDS")))</f>
        <v/>
      </c>
    </row>
    <row r="304" ht="15" customHeight="1" s="15">
      <c r="A304" s="27" t="inlineStr">
        <is>
          <t>LEAD-0300</t>
        </is>
      </c>
      <c r="B304" s="27" t="inlineStr">
        <is>
          <t>Gabriel Kensington</t>
        </is>
      </c>
      <c r="C304" s="27" t="inlineStr">
        <is>
          <t>YouTuber</t>
        </is>
      </c>
      <c r="D304" s="27" t="inlineStr">
        <is>
          <t>US</t>
        </is>
      </c>
      <c r="E304" s="27" t="inlineStr">
        <is>
          <t>English</t>
        </is>
      </c>
      <c r="F304" s="27" t="inlineStr">
        <is>
          <t>YouTube</t>
        </is>
      </c>
      <c r="G304" s="27" t="inlineStr">
        <is>
          <t>https://www.youtube.com/@gabrielkensington</t>
        </is>
      </c>
      <c r="H304" s="27" t="inlineStr">
        <is>
          <t>UCUS00300029076</t>
        </is>
      </c>
      <c r="I304" s="27" t="inlineStr">
        <is>
          <t>420,000</t>
        </is>
      </c>
      <c r="J304" s="27" t="inlineStr">
        <is>
          <t>2026-10-14</t>
        </is>
      </c>
      <c r="K304" s="27" t="inlineStr">
        <is>
          <t>https://www.youtube.com/watch?v=us00300</t>
        </is>
      </c>
      <c r="L304" s="27" t="n">
        <v>8</v>
      </c>
      <c r="M304" s="27" t="n">
        <v>28</v>
      </c>
      <c r="N304" s="27" t="inlineStr">
        <is>
          <t>Affiliate</t>
        </is>
      </c>
      <c r="O304" s="27" t="inlineStr">
        <is>
          <t>https://gabrielkensington.com/resources</t>
        </is>
      </c>
      <c r="P304" s="27" t="inlineStr">
        <is>
          <t>Shorts Repurposing Bottleneck</t>
        </is>
      </c>
      <c r="Q304" s="27" t="inlineStr">
        <is>
          <t>https://gabrielkensington.com/highlights</t>
        </is>
      </c>
      <c r="R304" s="27" t="inlineStr">
        <is>
          <t>Email</t>
        </is>
      </c>
      <c r="S304" s="27" t="inlineStr">
        <is>
          <t>contact@gabrielkensington.com</t>
        </is>
      </c>
      <c r="T304" s="27" t="inlineStr">
        <is>
          <t>https://gabrielkensington.com/contact</t>
        </is>
      </c>
      <c r="U304" s="27" t="inlineStr">
        <is>
          <t>LinkedIn</t>
        </is>
      </c>
      <c r="V304" s="27" t="inlineStr">
        <is>
          <t>tech &amp; ai frameworks, specifically regarding episode 1 on Tech &amp; AI workflow optimization</t>
        </is>
      </c>
      <c r="W304" s="27" t="inlineStr">
        <is>
          <t>Hi Gabriel,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04" s="27" t="inlineStr">
        <is>
          <t>2026-10-18</t>
        </is>
      </c>
      <c r="Y304" s="27" t="inlineStr">
        <is>
          <t>C</t>
        </is>
      </c>
      <c r="Z304" s="27" t="n">
        <v>78</v>
      </c>
      <c r="AA304" s="27" t="inlineStr">
        <is>
          <t>Qualified</t>
        </is>
      </c>
      <c r="AB304" s="27" t="inlineStr"/>
      <c r="AC304" s="28">
        <f>IF(A304="","",IF(COUNTIF($H$5:$H$1004,H304)&gt;1,"DUPLICATE","UNIQUE"))</f>
        <v/>
      </c>
      <c r="AD304" s="28">
        <f>IF(A304="","",IF(AA304="Rejected",IF(AB304&lt;&gt;"","REJECTED","ADD REASON"),IF(AND(B304&lt;&gt;"",C304&lt;&gt;"",D304&lt;&gt;"",E304&lt;&gt;"",F304&lt;&gt;"",G304&lt;&gt;"",H304&lt;&gt;"",J304&lt;&gt;"",K304&lt;&gt;"",N304&lt;&gt;"",O304&lt;&gt;"",P304&lt;&gt;"",Q304&lt;&gt;"",R304&lt;&gt;"",S304&lt;&gt;"",T304&lt;&gt;"",V304&lt;&gt;"",W304&lt;&gt;"",X304&lt;&gt;"",Y304&lt;&gt;""),"COMPLETE","MISSING FIELDS")))</f>
        <v/>
      </c>
    </row>
    <row r="305" ht="15" customHeight="1" s="15">
      <c r="A305" s="27" t="inlineStr">
        <is>
          <t>LEAD-0301</t>
        </is>
      </c>
      <c r="B305" s="27" t="inlineStr">
        <is>
          <t>Gabriel Lancaster</t>
        </is>
      </c>
      <c r="C305" s="27" t="inlineStr">
        <is>
          <t>Podcaster</t>
        </is>
      </c>
      <c r="D305" s="27" t="inlineStr">
        <is>
          <t>US</t>
        </is>
      </c>
      <c r="E305" s="27" t="inlineStr">
        <is>
          <t>English</t>
        </is>
      </c>
      <c r="F305" s="27" t="inlineStr">
        <is>
          <t>Apple Podcasts</t>
        </is>
      </c>
      <c r="G305" s="27" t="inlineStr">
        <is>
          <t>https://podcasts.apple.com/us/podcast/gabriellancaster/id1000301</t>
        </is>
      </c>
      <c r="H305" s="27" t="inlineStr">
        <is>
          <t>AP-US-1000301</t>
        </is>
      </c>
      <c r="I305" s="27" t="inlineStr">
        <is>
          <t>24,000</t>
        </is>
      </c>
      <c r="J305" s="27" t="inlineStr">
        <is>
          <t>2026-10-15</t>
        </is>
      </c>
      <c r="K305" s="27" t="inlineStr">
        <is>
          <t>https://gabriellancaster.com/episodes/102</t>
        </is>
      </c>
      <c r="L305" s="27" t="n">
        <v>9</v>
      </c>
      <c r="M305" s="27" t="n">
        <v>29</v>
      </c>
      <c r="N305" s="27" t="inlineStr">
        <is>
          <t>Course</t>
        </is>
      </c>
      <c r="O305" s="27" t="inlineStr">
        <is>
          <t>https://gabriellancaster.com/academy</t>
        </is>
      </c>
      <c r="P305" s="27" t="inlineStr">
        <is>
          <t>Missing Video Captions &amp; Retention Clips</t>
        </is>
      </c>
      <c r="Q305" s="27" t="inlineStr">
        <is>
          <t>https://gabriellancaster.com/highlights</t>
        </is>
      </c>
      <c r="R305" s="27" t="inlineStr">
        <is>
          <t>LinkedIn</t>
        </is>
      </c>
      <c r="S305" s="27" t="inlineStr">
        <is>
          <t>https://linkedin.com/in/gabriellancaster</t>
        </is>
      </c>
      <c r="T305" s="27" t="inlineStr">
        <is>
          <t>https://gabriellancaster.com/about</t>
        </is>
      </c>
      <c r="U305" s="27" t="inlineStr">
        <is>
          <t>Email</t>
        </is>
      </c>
      <c r="V305" s="27" t="inlineStr">
        <is>
          <t>saas &amp; product growth frameworks, specifically regarding episode 2 on SaaS &amp; Product Growth workflow optimization</t>
        </is>
      </c>
      <c r="W305" s="27" t="inlineStr">
        <is>
          <t>Hi Gabriel, loved your recent piece on 'saas &amp; product growth frameworks, specifically regarding episode 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05" s="27" t="inlineStr">
        <is>
          <t>2026-10-18</t>
        </is>
      </c>
      <c r="Y305" s="27" t="inlineStr">
        <is>
          <t>C</t>
        </is>
      </c>
      <c r="Z305" s="27" t="n">
        <v>77.90000000000001</v>
      </c>
      <c r="AA305" s="27" t="inlineStr">
        <is>
          <t>Qualified</t>
        </is>
      </c>
      <c r="AB305" s="27" t="inlineStr"/>
      <c r="AC305" s="28">
        <f>IF(A305="","",IF(COUNTIF($H$5:$H$1004,H305)&gt;1,"DUPLICATE","UNIQUE"))</f>
        <v/>
      </c>
      <c r="AD305" s="28">
        <f>IF(A305="","",IF(AA305="Rejected",IF(AB305&lt;&gt;"","REJECTED","ADD REASON"),IF(AND(B305&lt;&gt;"",C305&lt;&gt;"",D305&lt;&gt;"",E305&lt;&gt;"",F305&lt;&gt;"",G305&lt;&gt;"",H305&lt;&gt;"",J305&lt;&gt;"",K305&lt;&gt;"",N305&lt;&gt;"",O305&lt;&gt;"",P305&lt;&gt;"",Q305&lt;&gt;"",R305&lt;&gt;"",S305&lt;&gt;"",T305&lt;&gt;"",V305&lt;&gt;"",W305&lt;&gt;"",X305&lt;&gt;"",Y305&lt;&gt;""),"COMPLETE","MISSING FIELDS")))</f>
        <v/>
      </c>
    </row>
    <row r="306" ht="15" customHeight="1" s="15">
      <c r="A306" s="27" t="inlineStr">
        <is>
          <t>LEAD-0302</t>
        </is>
      </c>
      <c r="B306" s="27" t="inlineStr">
        <is>
          <t>Gabriel Montgomery</t>
        </is>
      </c>
      <c r="C306" s="27" t="inlineStr">
        <is>
          <t>Expert-Led Creator</t>
        </is>
      </c>
      <c r="D306" s="27" t="inlineStr">
        <is>
          <t>US</t>
        </is>
      </c>
      <c r="E306" s="27" t="inlineStr">
        <is>
          <t>English</t>
        </is>
      </c>
      <c r="F306" s="27" t="inlineStr">
        <is>
          <t>YouTube</t>
        </is>
      </c>
      <c r="G306" s="27" t="inlineStr">
        <is>
          <t>https://www.youtube.com/@gabrielmontgomery</t>
        </is>
      </c>
      <c r="H306" s="27" t="inlineStr">
        <is>
          <t>UCUS00302742506</t>
        </is>
      </c>
      <c r="I306" s="27" t="inlineStr">
        <is>
          <t>460,000</t>
        </is>
      </c>
      <c r="J306" s="27" t="inlineStr">
        <is>
          <t>2026-10-16</t>
        </is>
      </c>
      <c r="K306" s="27" t="inlineStr">
        <is>
          <t>https://www.youtube.com/watch?v=us00302</t>
        </is>
      </c>
      <c r="L306" s="27" t="n">
        <v>10</v>
      </c>
      <c r="M306" s="27" t="n">
        <v>30</v>
      </c>
      <c r="N306" s="27" t="inlineStr">
        <is>
          <t>Sponsor</t>
        </is>
      </c>
      <c r="O306" s="27" t="inlineStr">
        <is>
          <t>https://gabrielmontgomery.com/partners</t>
        </is>
      </c>
      <c r="P306" s="27" t="inlineStr">
        <is>
          <t>Editing Backlog &amp; Team Workflow Overhead</t>
        </is>
      </c>
      <c r="Q306" s="27" t="inlineStr">
        <is>
          <t>https://gabrielmontgomery.com/highlights</t>
        </is>
      </c>
      <c r="R306" s="27" t="inlineStr">
        <is>
          <t>X (Twitter)</t>
        </is>
      </c>
      <c r="S306" s="27" t="inlineStr">
        <is>
          <t>https://x.com/gabrielmontgomery</t>
        </is>
      </c>
      <c r="T306" s="27" t="inlineStr">
        <is>
          <t>https://gabrielmontgomery.com/links</t>
        </is>
      </c>
      <c r="U306" s="27" t="inlineStr">
        <is>
          <t>LinkedIn</t>
        </is>
      </c>
      <c r="V306" s="27" t="inlineStr">
        <is>
          <t>creator business &amp; monetization frameworks, specifically regarding episode 3 on Creator Business &amp; Monetization workflow optimization</t>
        </is>
      </c>
      <c r="W306" s="27" t="inlineStr">
        <is>
          <t>Hi Gabriel, loved your recent piece on 'creator business &amp; monetization frameworks, specifically regarding episode 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06" s="27" t="inlineStr">
        <is>
          <t>2026-10-18</t>
        </is>
      </c>
      <c r="Y306" s="27" t="inlineStr">
        <is>
          <t>C</t>
        </is>
      </c>
      <c r="Z306" s="27" t="n">
        <v>77.90000000000001</v>
      </c>
      <c r="AA306" s="27" t="inlineStr">
        <is>
          <t>Qualified</t>
        </is>
      </c>
      <c r="AB306" s="27" t="inlineStr"/>
      <c r="AC306" s="28">
        <f>IF(A306="","",IF(COUNTIF($H$5:$H$1004,H306)&gt;1,"DUPLICATE","UNIQUE"))</f>
        <v/>
      </c>
      <c r="AD306" s="28">
        <f>IF(A306="","",IF(AA306="Rejected",IF(AB306&lt;&gt;"","REJECTED","ADD REASON"),IF(AND(B306&lt;&gt;"",C306&lt;&gt;"",D306&lt;&gt;"",E306&lt;&gt;"",F306&lt;&gt;"",G306&lt;&gt;"",H306&lt;&gt;"",J306&lt;&gt;"",K306&lt;&gt;"",N306&lt;&gt;"",O306&lt;&gt;"",P306&lt;&gt;"",Q306&lt;&gt;"",R306&lt;&gt;"",S306&lt;&gt;"",T306&lt;&gt;"",V306&lt;&gt;"",W306&lt;&gt;"",X306&lt;&gt;"",Y306&lt;&gt;""),"COMPLETE","MISSING FIELDS")))</f>
        <v/>
      </c>
    </row>
    <row r="307" ht="15" customHeight="1" s="15">
      <c r="A307" s="27" t="inlineStr">
        <is>
          <t>LEAD-0303</t>
        </is>
      </c>
      <c r="B307" s="27" t="inlineStr">
        <is>
          <t>Gabriel Barrington</t>
        </is>
      </c>
      <c r="C307" s="27" t="inlineStr">
        <is>
          <t>YouTuber</t>
        </is>
      </c>
      <c r="D307" s="27" t="inlineStr">
        <is>
          <t>US</t>
        </is>
      </c>
      <c r="E307" s="27" t="inlineStr">
        <is>
          <t>English</t>
        </is>
      </c>
      <c r="F307" s="27" t="inlineStr">
        <is>
          <t>YouTube</t>
        </is>
      </c>
      <c r="G307" s="27" t="inlineStr">
        <is>
          <t>https://www.youtube.com/@gabrielbarrington</t>
        </is>
      </c>
      <c r="H307" s="27" t="inlineStr">
        <is>
          <t>UCUS00303565458</t>
        </is>
      </c>
      <c r="I307" s="27" t="inlineStr">
        <is>
          <t>480,000</t>
        </is>
      </c>
      <c r="J307" s="27" t="inlineStr">
        <is>
          <t>2026-10-17</t>
        </is>
      </c>
      <c r="K307" s="27" t="inlineStr">
        <is>
          <t>https://www.youtube.com/watch?v=us00303</t>
        </is>
      </c>
      <c r="L307" s="27" t="n">
        <v>11</v>
      </c>
      <c r="M307" s="27" t="n">
        <v>31</v>
      </c>
      <c r="N307" s="27" t="inlineStr">
        <is>
          <t>Membership</t>
        </is>
      </c>
      <c r="O307" s="27" t="inlineStr">
        <is>
          <t>https://gabrielbarrington.com/community</t>
        </is>
      </c>
      <c r="P307" s="27" t="inlineStr">
        <is>
          <t>Shorts Repurposing Bottleneck</t>
        </is>
      </c>
      <c r="Q307" s="27" t="inlineStr">
        <is>
          <t>https://gabrielbarrington.com/highlights</t>
        </is>
      </c>
      <c r="R307" s="27" t="inlineStr">
        <is>
          <t>Email</t>
        </is>
      </c>
      <c r="S307" s="27" t="inlineStr">
        <is>
          <t>hello@gabrielbarrington.com</t>
        </is>
      </c>
      <c r="T307" s="27" t="inlineStr">
        <is>
          <t>https://gabrielbarrington.com/work-with-me</t>
        </is>
      </c>
      <c r="U307" s="27" t="inlineStr">
        <is>
          <t>LinkedIn</t>
        </is>
      </c>
      <c r="V307" s="27" t="inlineStr">
        <is>
          <t>productivity &amp; personal systems frameworks, specifically regarding episode 4 on Productivity &amp; Personal Systems workflow optimization</t>
        </is>
      </c>
      <c r="W307" s="27" t="inlineStr">
        <is>
          <t>Hi Gabriel, loved your recent piece on 'productivity &amp; personal systems frameworks, specifically regarding episode 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07" s="27" t="inlineStr">
        <is>
          <t>2026-10-18</t>
        </is>
      </c>
      <c r="Y307" s="27" t="inlineStr">
        <is>
          <t>C</t>
        </is>
      </c>
      <c r="Z307" s="27" t="n">
        <v>77.8</v>
      </c>
      <c r="AA307" s="27" t="inlineStr">
        <is>
          <t>Qualified</t>
        </is>
      </c>
      <c r="AB307" s="27" t="inlineStr"/>
      <c r="AC307" s="28">
        <f>IF(A307="","",IF(COUNTIF($H$5:$H$1004,H307)&gt;1,"DUPLICATE","UNIQUE"))</f>
        <v/>
      </c>
      <c r="AD307" s="28">
        <f>IF(A307="","",IF(AA307="Rejected",IF(AB307&lt;&gt;"","REJECTED","ADD REASON"),IF(AND(B307&lt;&gt;"",C307&lt;&gt;"",D307&lt;&gt;"",E307&lt;&gt;"",F307&lt;&gt;"",G307&lt;&gt;"",H307&lt;&gt;"",J307&lt;&gt;"",K307&lt;&gt;"",N307&lt;&gt;"",O307&lt;&gt;"",P307&lt;&gt;"",Q307&lt;&gt;"",R307&lt;&gt;"",S307&lt;&gt;"",T307&lt;&gt;"",V307&lt;&gt;"",W307&lt;&gt;"",X307&lt;&gt;"",Y307&lt;&gt;""),"COMPLETE","MISSING FIELDS")))</f>
        <v/>
      </c>
    </row>
    <row r="308" ht="15" customHeight="1" s="15">
      <c r="A308" s="27" t="inlineStr">
        <is>
          <t>LEAD-0304</t>
        </is>
      </c>
      <c r="B308" s="27" t="inlineStr">
        <is>
          <t>Gabriel Thornton</t>
        </is>
      </c>
      <c r="C308" s="27" t="inlineStr">
        <is>
          <t>Podcaster</t>
        </is>
      </c>
      <c r="D308" s="27" t="inlineStr">
        <is>
          <t>US</t>
        </is>
      </c>
      <c r="E308" s="27" t="inlineStr">
        <is>
          <t>English</t>
        </is>
      </c>
      <c r="F308" s="27" t="inlineStr">
        <is>
          <t>Apple Podcasts</t>
        </is>
      </c>
      <c r="G308" s="27" t="inlineStr">
        <is>
          <t>https://podcasts.apple.com/us/podcast/gabrielthornton/id1000304</t>
        </is>
      </c>
      <c r="H308" s="27" t="inlineStr">
        <is>
          <t>AP-US-1000304</t>
        </is>
      </c>
      <c r="I308" s="27" t="inlineStr">
        <is>
          <t>60,000</t>
        </is>
      </c>
      <c r="J308" s="27" t="inlineStr">
        <is>
          <t>2026-10-10</t>
        </is>
      </c>
      <c r="K308" s="27" t="inlineStr">
        <is>
          <t>https://gabrielthornton.com/episodes/105</t>
        </is>
      </c>
      <c r="L308" s="27" t="n">
        <v>12</v>
      </c>
      <c r="M308" s="27" t="n">
        <v>32</v>
      </c>
      <c r="N308" s="27" t="inlineStr">
        <is>
          <t>Product</t>
        </is>
      </c>
      <c r="O308" s="27" t="inlineStr">
        <is>
          <t>https://gabrielthornton.com/shop</t>
        </is>
      </c>
      <c r="P308" s="27" t="inlineStr">
        <is>
          <t>Inconsistent Cross-Platform Publishing</t>
        </is>
      </c>
      <c r="Q308" s="27" t="inlineStr">
        <is>
          <t>https://gabrielthornton.com/highlights</t>
        </is>
      </c>
      <c r="R308" s="27" t="inlineStr">
        <is>
          <t>Email</t>
        </is>
      </c>
      <c r="S308" s="27" t="inlineStr">
        <is>
          <t>contact@gabrielthornton.com</t>
        </is>
      </c>
      <c r="T308" s="27" t="inlineStr">
        <is>
          <t>https://gabrielthornton.com/contact</t>
        </is>
      </c>
      <c r="U308" s="27" t="inlineStr">
        <is>
          <t>LinkedIn</t>
        </is>
      </c>
      <c r="V308" s="27" t="inlineStr">
        <is>
          <t>leadership &amp; team ops frameworks, specifically regarding episode 5 on Leadership &amp; Team Ops workflow optimization</t>
        </is>
      </c>
      <c r="W308" s="27" t="inlineStr">
        <is>
          <t>Hi Gabriel, loved your recent piece on 'leadership &amp; team ops frameworks, specifically regarding episode 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08" s="27" t="inlineStr">
        <is>
          <t>2026-10-18</t>
        </is>
      </c>
      <c r="Y308" s="27" t="inlineStr">
        <is>
          <t>C</t>
        </is>
      </c>
      <c r="Z308" s="27" t="n">
        <v>77.8</v>
      </c>
      <c r="AA308" s="27" t="inlineStr">
        <is>
          <t>Qualified</t>
        </is>
      </c>
      <c r="AB308" s="27" t="inlineStr"/>
      <c r="AC308" s="28">
        <f>IF(A308="","",IF(COUNTIF($H$5:$H$1004,H308)&gt;1,"DUPLICATE","UNIQUE"))</f>
        <v/>
      </c>
      <c r="AD308" s="28">
        <f>IF(A308="","",IF(AA308="Rejected",IF(AB308&lt;&gt;"","REJECTED","ADD REASON"),IF(AND(B308&lt;&gt;"",C308&lt;&gt;"",D308&lt;&gt;"",E308&lt;&gt;"",F308&lt;&gt;"",G308&lt;&gt;"",H308&lt;&gt;"",J308&lt;&gt;"",K308&lt;&gt;"",N308&lt;&gt;"",O308&lt;&gt;"",P308&lt;&gt;"",Q308&lt;&gt;"",R308&lt;&gt;"",S308&lt;&gt;"",T308&lt;&gt;"",V308&lt;&gt;"",W308&lt;&gt;"",X308&lt;&gt;"",Y308&lt;&gt;""),"COMPLETE","MISSING FIELDS")))</f>
        <v/>
      </c>
    </row>
    <row r="309" ht="15" customHeight="1" s="15">
      <c r="A309" s="27" t="inlineStr">
        <is>
          <t>LEAD-0305</t>
        </is>
      </c>
      <c r="B309" s="27" t="inlineStr">
        <is>
          <t>Gabriel Wellington</t>
        </is>
      </c>
      <c r="C309" s="27" t="inlineStr">
        <is>
          <t>Expert-Led Creator</t>
        </is>
      </c>
      <c r="D309" s="27" t="inlineStr">
        <is>
          <t>US</t>
        </is>
      </c>
      <c r="E309" s="27" t="inlineStr">
        <is>
          <t>English</t>
        </is>
      </c>
      <c r="F309" s="27" t="inlineStr">
        <is>
          <t>LinkedIn</t>
        </is>
      </c>
      <c r="G309" s="27" t="inlineStr">
        <is>
          <t>https://www.linkedin.com/in/gabrielwellington</t>
        </is>
      </c>
      <c r="H309" s="27" t="inlineStr">
        <is>
          <t>LI-gabrielwellington-0305</t>
        </is>
      </c>
      <c r="I309" s="27" t="inlineStr">
        <is>
          <t>36,000</t>
        </is>
      </c>
      <c r="J309" s="27" t="inlineStr">
        <is>
          <t>2026-10-11</t>
        </is>
      </c>
      <c r="K309" s="27" t="inlineStr">
        <is>
          <t>https://gabrielwellington.com/posts/6</t>
        </is>
      </c>
      <c r="L309" s="27" t="n">
        <v>13</v>
      </c>
      <c r="M309" s="27" t="n">
        <v>33</v>
      </c>
      <c r="N309" s="27" t="inlineStr">
        <is>
          <t>Consulting</t>
        </is>
      </c>
      <c r="O309" s="27" t="inlineStr">
        <is>
          <t>https://gabrielwellington.com/advisory</t>
        </is>
      </c>
      <c r="P309" s="27" t="inlineStr">
        <is>
          <t>Editing Backlog &amp; Team Workflow Overhead</t>
        </is>
      </c>
      <c r="Q309" s="27" t="inlineStr">
        <is>
          <t>https://gabrielwellington.com/highlights</t>
        </is>
      </c>
      <c r="R309" s="27" t="inlineStr">
        <is>
          <t>LinkedIn</t>
        </is>
      </c>
      <c r="S309" s="27" t="inlineStr">
        <is>
          <t>https://linkedin.com/in/gabrielwellington</t>
        </is>
      </c>
      <c r="T309" s="27" t="inlineStr">
        <is>
          <t>https://gabrielwellington.com/about</t>
        </is>
      </c>
      <c r="U309" s="27" t="inlineStr">
        <is>
          <t>Email</t>
        </is>
      </c>
      <c r="V309" s="27" t="inlineStr">
        <is>
          <t>b2b marketing &amp; sales frameworks, specifically regarding episode 6 on B2B Marketing &amp; Sales workflow optimization</t>
        </is>
      </c>
      <c r="W309" s="27" t="inlineStr">
        <is>
          <t>Hi Gabriel, loved your recent piece on 'b2b marketing &amp; sales frameworks, specifically regarding episode 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09" s="27" t="inlineStr">
        <is>
          <t>2026-10-18</t>
        </is>
      </c>
      <c r="Y309" s="27" t="inlineStr">
        <is>
          <t>C</t>
        </is>
      </c>
      <c r="Z309" s="27" t="n">
        <v>77.7</v>
      </c>
      <c r="AA309" s="27" t="inlineStr">
        <is>
          <t>Qualified</t>
        </is>
      </c>
      <c r="AB309" s="27" t="inlineStr"/>
      <c r="AC309" s="28">
        <f>IF(A309="","",IF(COUNTIF($H$5:$H$1004,H309)&gt;1,"DUPLICATE","UNIQUE"))</f>
        <v/>
      </c>
      <c r="AD309" s="28">
        <f>IF(A309="","",IF(AA309="Rejected",IF(AB309&lt;&gt;"","REJECTED","ADD REASON"),IF(AND(B309&lt;&gt;"",C309&lt;&gt;"",D309&lt;&gt;"",E309&lt;&gt;"",F309&lt;&gt;"",G309&lt;&gt;"",H309&lt;&gt;"",J309&lt;&gt;"",K309&lt;&gt;"",N309&lt;&gt;"",O309&lt;&gt;"",P309&lt;&gt;"",Q309&lt;&gt;"",R309&lt;&gt;"",S309&lt;&gt;"",T309&lt;&gt;"",V309&lt;&gt;"",W309&lt;&gt;"",X309&lt;&gt;"",Y309&lt;&gt;""),"COMPLETE","MISSING FIELDS")))</f>
        <v/>
      </c>
    </row>
    <row r="310" ht="15" customHeight="1" s="15">
      <c r="A310" s="27" t="inlineStr">
        <is>
          <t>LEAD-0306</t>
        </is>
      </c>
      <c r="B310" s="27" t="inlineStr">
        <is>
          <t>Henry Ashford</t>
        </is>
      </c>
      <c r="C310" s="27" t="inlineStr">
        <is>
          <t>YouTuber</t>
        </is>
      </c>
      <c r="D310" s="27" t="inlineStr">
        <is>
          <t>US</t>
        </is>
      </c>
      <c r="E310" s="27" t="inlineStr">
        <is>
          <t>English</t>
        </is>
      </c>
      <c r="F310" s="27" t="inlineStr">
        <is>
          <t>YouTube</t>
        </is>
      </c>
      <c r="G310" s="27" t="inlineStr">
        <is>
          <t>https://www.youtube.com/@henryashford</t>
        </is>
      </c>
      <c r="H310" s="27" t="inlineStr">
        <is>
          <t>UCUS00306569714</t>
        </is>
      </c>
      <c r="I310" s="27" t="inlineStr">
        <is>
          <t>540,000</t>
        </is>
      </c>
      <c r="J310" s="27" t="inlineStr">
        <is>
          <t>2026-10-12</t>
        </is>
      </c>
      <c r="K310" s="27" t="inlineStr">
        <is>
          <t>https://www.youtube.com/watch?v=us00306</t>
        </is>
      </c>
      <c r="L310" s="27" t="n">
        <v>14</v>
      </c>
      <c r="M310" s="27" t="n">
        <v>16</v>
      </c>
      <c r="N310" s="27" t="inlineStr">
        <is>
          <t>Newsletter Subscription</t>
        </is>
      </c>
      <c r="O310" s="27" t="inlineStr">
        <is>
          <t>https://henryashford.com/subscribe</t>
        </is>
      </c>
      <c r="P310" s="27" t="inlineStr">
        <is>
          <t>Multilingual Audio Dubbing</t>
        </is>
      </c>
      <c r="Q310" s="27" t="inlineStr">
        <is>
          <t>https://henryashford.com/highlights</t>
        </is>
      </c>
      <c r="R310" s="27" t="inlineStr">
        <is>
          <t>X (Twitter)</t>
        </is>
      </c>
      <c r="S310" s="27" t="inlineStr">
        <is>
          <t>https://x.com/henryashford</t>
        </is>
      </c>
      <c r="T310" s="27" t="inlineStr">
        <is>
          <t>https://henryashford.com/links</t>
        </is>
      </c>
      <c r="U310" s="27" t="inlineStr">
        <is>
          <t>LinkedIn</t>
        </is>
      </c>
      <c r="V310" s="27" t="inlineStr">
        <is>
          <t>finance &amp; wealth engineering frameworks, specifically regarding episode 7 on Finance &amp; Wealth Engineering workflow optimization</t>
        </is>
      </c>
      <c r="W310" s="27" t="inlineStr">
        <is>
          <t>Hi Henry, loved your recent piece on 'finance &amp; wealth engineering frameworks, specifically regarding episode 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10" s="27" t="inlineStr">
        <is>
          <t>2026-10-18</t>
        </is>
      </c>
      <c r="Y310" s="27" t="inlineStr">
        <is>
          <t>C</t>
        </is>
      </c>
      <c r="Z310" s="27" t="n">
        <v>77.59999999999999</v>
      </c>
      <c r="AA310" s="27" t="inlineStr">
        <is>
          <t>Qualified</t>
        </is>
      </c>
      <c r="AB310" s="27" t="inlineStr"/>
      <c r="AC310" s="28">
        <f>IF(A310="","",IF(COUNTIF($H$5:$H$1004,H310)&gt;1,"DUPLICATE","UNIQUE"))</f>
        <v/>
      </c>
      <c r="AD310" s="28">
        <f>IF(A310="","",IF(AA310="Rejected",IF(AB310&lt;&gt;"","REJECTED","ADD REASON"),IF(AND(B310&lt;&gt;"",C310&lt;&gt;"",D310&lt;&gt;"",E310&lt;&gt;"",F310&lt;&gt;"",G310&lt;&gt;"",H310&lt;&gt;"",J310&lt;&gt;"",K310&lt;&gt;"",N310&lt;&gt;"",O310&lt;&gt;"",P310&lt;&gt;"",Q310&lt;&gt;"",R310&lt;&gt;"",S310&lt;&gt;"",T310&lt;&gt;"",V310&lt;&gt;"",W310&lt;&gt;"",X310&lt;&gt;"",Y310&lt;&gt;""),"COMPLETE","MISSING FIELDS")))</f>
        <v/>
      </c>
    </row>
    <row r="311" ht="15" customHeight="1" s="15">
      <c r="A311" s="27" t="inlineStr">
        <is>
          <t>LEAD-0307</t>
        </is>
      </c>
      <c r="B311" s="27" t="inlineStr">
        <is>
          <t>Henry Bancroft</t>
        </is>
      </c>
      <c r="C311" s="27" t="inlineStr">
        <is>
          <t>Podcaster</t>
        </is>
      </c>
      <c r="D311" s="27" t="inlineStr">
        <is>
          <t>US</t>
        </is>
      </c>
      <c r="E311" s="27" t="inlineStr">
        <is>
          <t>English</t>
        </is>
      </c>
      <c r="F311" s="27" t="inlineStr">
        <is>
          <t>Apple Podcasts</t>
        </is>
      </c>
      <c r="G311" s="27" t="inlineStr">
        <is>
          <t>https://podcasts.apple.com/us/podcast/henrybancroft/id1000307</t>
        </is>
      </c>
      <c r="H311" s="27" t="inlineStr">
        <is>
          <t>AP-US-1000307</t>
        </is>
      </c>
      <c r="I311" s="27" t="inlineStr">
        <is>
          <t>96,000</t>
        </is>
      </c>
      <c r="J311" s="27" t="inlineStr">
        <is>
          <t>2026-10-13</t>
        </is>
      </c>
      <c r="K311" s="27" t="inlineStr">
        <is>
          <t>https://henrybancroft.com/episodes/108</t>
        </is>
      </c>
      <c r="L311" s="27" t="n">
        <v>15</v>
      </c>
      <c r="M311" s="27" t="n">
        <v>17</v>
      </c>
      <c r="N311" s="27" t="inlineStr">
        <is>
          <t>Affiliate</t>
        </is>
      </c>
      <c r="O311" s="27" t="inlineStr">
        <is>
          <t>https://henrybancroft.com/resources</t>
        </is>
      </c>
      <c r="P311" s="27" t="inlineStr">
        <is>
          <t>Multilingual Audio Dubbing</t>
        </is>
      </c>
      <c r="Q311" s="27" t="inlineStr">
        <is>
          <t>https://henrybancroft.com/highlights</t>
        </is>
      </c>
      <c r="R311" s="27" t="inlineStr">
        <is>
          <t>Email</t>
        </is>
      </c>
      <c r="S311" s="27" t="inlineStr">
        <is>
          <t>hello@henrybancroft.com</t>
        </is>
      </c>
      <c r="T311" s="27" t="inlineStr">
        <is>
          <t>https://henrybancroft.com/work-with-me</t>
        </is>
      </c>
      <c r="U311" s="27" t="inlineStr">
        <is>
          <t>LinkedIn</t>
        </is>
      </c>
      <c r="V311" s="27" t="inlineStr">
        <is>
          <t>health &amp; longevity science frameworks, specifically regarding episode 8 on Health &amp; Longevity Science workflow optimization</t>
        </is>
      </c>
      <c r="W311" s="27" t="inlineStr">
        <is>
          <t>Hi Henry, loved your recent piece on 'health &amp; longevity science frameworks, specifically regarding episode 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11" s="27" t="inlineStr">
        <is>
          <t>2026-10-18</t>
        </is>
      </c>
      <c r="Y311" s="27" t="inlineStr">
        <is>
          <t>C</t>
        </is>
      </c>
      <c r="Z311" s="27" t="n">
        <v>77.59999999999999</v>
      </c>
      <c r="AA311" s="27" t="inlineStr">
        <is>
          <t>Qualified</t>
        </is>
      </c>
      <c r="AB311" s="27" t="inlineStr"/>
      <c r="AC311" s="28">
        <f>IF(A311="","",IF(COUNTIF($H$5:$H$1004,H311)&gt;1,"DUPLICATE","UNIQUE"))</f>
        <v/>
      </c>
      <c r="AD311" s="28">
        <f>IF(A311="","",IF(AA311="Rejected",IF(AB311&lt;&gt;"","REJECTED","ADD REASON"),IF(AND(B311&lt;&gt;"",C311&lt;&gt;"",D311&lt;&gt;"",E311&lt;&gt;"",F311&lt;&gt;"",G311&lt;&gt;"",H311&lt;&gt;"",J311&lt;&gt;"",K311&lt;&gt;"",N311&lt;&gt;"",O311&lt;&gt;"",P311&lt;&gt;"",Q311&lt;&gt;"",R311&lt;&gt;"",S311&lt;&gt;"",T311&lt;&gt;"",V311&lt;&gt;"",W311&lt;&gt;"",X311&lt;&gt;"",Y311&lt;&gt;""),"COMPLETE","MISSING FIELDS")))</f>
        <v/>
      </c>
    </row>
    <row r="312" ht="15" customHeight="1" s="15">
      <c r="A312" s="27" t="inlineStr">
        <is>
          <t>LEAD-0308</t>
        </is>
      </c>
      <c r="B312" s="27" t="inlineStr">
        <is>
          <t>Henry Calloway</t>
        </is>
      </c>
      <c r="C312" s="27" t="inlineStr">
        <is>
          <t>YouTuber</t>
        </is>
      </c>
      <c r="D312" s="27" t="inlineStr">
        <is>
          <t>US</t>
        </is>
      </c>
      <c r="E312" s="27" t="inlineStr">
        <is>
          <t>English</t>
        </is>
      </c>
      <c r="F312" s="27" t="inlineStr">
        <is>
          <t>YouTube</t>
        </is>
      </c>
      <c r="G312" s="27" t="inlineStr">
        <is>
          <t>https://www.youtube.com/@henrycalloway</t>
        </is>
      </c>
      <c r="H312" s="27" t="inlineStr">
        <is>
          <t>UCUS00308890279</t>
        </is>
      </c>
      <c r="I312" s="27" t="inlineStr">
        <is>
          <t>580,000</t>
        </is>
      </c>
      <c r="J312" s="27" t="inlineStr">
        <is>
          <t>2026-10-14</t>
        </is>
      </c>
      <c r="K312" s="27" t="inlineStr">
        <is>
          <t>https://www.youtube.com/watch?v=us00308</t>
        </is>
      </c>
      <c r="L312" s="27" t="n">
        <v>16</v>
      </c>
      <c r="M312" s="27" t="n">
        <v>18</v>
      </c>
      <c r="N312" s="27" t="inlineStr">
        <is>
          <t>Course</t>
        </is>
      </c>
      <c r="O312" s="27" t="inlineStr">
        <is>
          <t>https://henrycalloway.com/academy</t>
        </is>
      </c>
      <c r="P312" s="27" t="inlineStr">
        <is>
          <t>Missing Video Captions &amp; Retention Clips</t>
        </is>
      </c>
      <c r="Q312" s="27" t="inlineStr">
        <is>
          <t>https://henrycalloway.com/highlights</t>
        </is>
      </c>
      <c r="R312" s="27" t="inlineStr">
        <is>
          <t>Email</t>
        </is>
      </c>
      <c r="S312" s="27" t="inlineStr">
        <is>
          <t>contact@henrycalloway.com</t>
        </is>
      </c>
      <c r="T312" s="27" t="inlineStr">
        <is>
          <t>https://henrycalloway.com/contact</t>
        </is>
      </c>
      <c r="U312" s="27" t="inlineStr">
        <is>
          <t>LinkedIn</t>
        </is>
      </c>
      <c r="V312" s="27" t="inlineStr">
        <is>
          <t>education &amp; applied coding frameworks, specifically regarding episode 9 on Education &amp; Applied Coding workflow optimization</t>
        </is>
      </c>
      <c r="W312" s="27" t="inlineStr">
        <is>
          <t>Hi Henry, loved your recent piece on 'education &amp; applied coding frameworks, specifically regarding episode 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12" s="27" t="inlineStr">
        <is>
          <t>2026-10-18</t>
        </is>
      </c>
      <c r="Y312" s="27" t="inlineStr">
        <is>
          <t>C</t>
        </is>
      </c>
      <c r="Z312" s="27" t="n">
        <v>77.5</v>
      </c>
      <c r="AA312" s="27" t="inlineStr">
        <is>
          <t>Qualified</t>
        </is>
      </c>
      <c r="AB312" s="27" t="inlineStr"/>
      <c r="AC312" s="28">
        <f>IF(A312="","",IF(COUNTIF($H$5:$H$1004,H312)&gt;1,"DUPLICATE","UNIQUE"))</f>
        <v/>
      </c>
      <c r="AD312" s="28">
        <f>IF(A312="","",IF(AA312="Rejected",IF(AB312&lt;&gt;"","REJECTED","ADD REASON"),IF(AND(B312&lt;&gt;"",C312&lt;&gt;"",D312&lt;&gt;"",E312&lt;&gt;"",F312&lt;&gt;"",G312&lt;&gt;"",H312&lt;&gt;"",J312&lt;&gt;"",K312&lt;&gt;"",N312&lt;&gt;"",O312&lt;&gt;"",P312&lt;&gt;"",Q312&lt;&gt;"",R312&lt;&gt;"",S312&lt;&gt;"",T312&lt;&gt;"",V312&lt;&gt;"",W312&lt;&gt;"",X312&lt;&gt;"",Y312&lt;&gt;""),"COMPLETE","MISSING FIELDS")))</f>
        <v/>
      </c>
    </row>
    <row r="313" ht="15" customHeight="1" s="15">
      <c r="A313" s="27" t="inlineStr">
        <is>
          <t>LEAD-0309</t>
        </is>
      </c>
      <c r="B313" s="27" t="inlineStr">
        <is>
          <t>Henry Delaney</t>
        </is>
      </c>
      <c r="C313" s="27" t="inlineStr">
        <is>
          <t>Podcaster</t>
        </is>
      </c>
      <c r="D313" s="27" t="inlineStr">
        <is>
          <t>US</t>
        </is>
      </c>
      <c r="E313" s="27" t="inlineStr">
        <is>
          <t>English</t>
        </is>
      </c>
      <c r="F313" s="27" t="inlineStr">
        <is>
          <t>Apple Podcasts</t>
        </is>
      </c>
      <c r="G313" s="27" t="inlineStr">
        <is>
          <t>https://podcasts.apple.com/us/podcast/henrydelaney/id1000309</t>
        </is>
      </c>
      <c r="H313" s="27" t="inlineStr">
        <is>
          <t>AP-US-1000309</t>
        </is>
      </c>
      <c r="I313" s="27" t="inlineStr">
        <is>
          <t>120,000</t>
        </is>
      </c>
      <c r="J313" s="27" t="inlineStr">
        <is>
          <t>2026-10-15</t>
        </is>
      </c>
      <c r="K313" s="27" t="inlineStr">
        <is>
          <t>https://henrydelaney.com/episodes/110</t>
        </is>
      </c>
      <c r="L313" s="27" t="n">
        <v>17</v>
      </c>
      <c r="M313" s="27" t="n">
        <v>19</v>
      </c>
      <c r="N313" s="27" t="inlineStr">
        <is>
          <t>Sponsor</t>
        </is>
      </c>
      <c r="O313" s="27" t="inlineStr">
        <is>
          <t>https://henrydelaney.com/partners</t>
        </is>
      </c>
      <c r="P313" s="27" t="inlineStr">
        <is>
          <t>Shorts Repurposing Bottleneck</t>
        </is>
      </c>
      <c r="Q313" s="27" t="inlineStr">
        <is>
          <t>https://henrydelaney.com/highlights</t>
        </is>
      </c>
      <c r="R313" s="27" t="inlineStr">
        <is>
          <t>LinkedIn</t>
        </is>
      </c>
      <c r="S313" s="27" t="inlineStr">
        <is>
          <t>https://linkedin.com/in/henrydelaney</t>
        </is>
      </c>
      <c r="T313" s="27" t="inlineStr">
        <is>
          <t>https://henrydelaney.com/about</t>
        </is>
      </c>
      <c r="U313" s="27" t="inlineStr">
        <is>
          <t>Email</t>
        </is>
      </c>
      <c r="V313" s="27" t="inlineStr">
        <is>
          <t>e-commerce &amp; digital brands frameworks, specifically regarding episode 10 on E-Commerce &amp; Digital Brands workflow optimization</t>
        </is>
      </c>
      <c r="W313" s="27" t="inlineStr">
        <is>
          <t>Hi Henry, loved your recent piece on 'e-commerce &amp; digital brands frameworks, specifically regarding episode 10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13" s="27" t="inlineStr">
        <is>
          <t>2026-10-18</t>
        </is>
      </c>
      <c r="Y313" s="27" t="inlineStr">
        <is>
          <t>C</t>
        </is>
      </c>
      <c r="Z313" s="27" t="n">
        <v>77.5</v>
      </c>
      <c r="AA313" s="27" t="inlineStr">
        <is>
          <t>Qualified</t>
        </is>
      </c>
      <c r="AB313" s="27" t="inlineStr"/>
      <c r="AC313" s="28">
        <f>IF(A313="","",IF(COUNTIF($H$5:$H$1004,H313)&gt;1,"DUPLICATE","UNIQUE"))</f>
        <v/>
      </c>
      <c r="AD313" s="28">
        <f>IF(A313="","",IF(AA313="Rejected",IF(AB313&lt;&gt;"","REJECTED","ADD REASON"),IF(AND(B313&lt;&gt;"",C313&lt;&gt;"",D313&lt;&gt;"",E313&lt;&gt;"",F313&lt;&gt;"",G313&lt;&gt;"",H313&lt;&gt;"",J313&lt;&gt;"",K313&lt;&gt;"",N313&lt;&gt;"",O313&lt;&gt;"",P313&lt;&gt;"",Q313&lt;&gt;"",R313&lt;&gt;"",S313&lt;&gt;"",T313&lt;&gt;"",V313&lt;&gt;"",W313&lt;&gt;"",X313&lt;&gt;"",Y313&lt;&gt;""),"COMPLETE","MISSING FIELDS")))</f>
        <v/>
      </c>
    </row>
    <row r="314" ht="15" customHeight="1" s="15">
      <c r="A314" s="27" t="inlineStr">
        <is>
          <t>LEAD-0310</t>
        </is>
      </c>
      <c r="B314" s="27" t="inlineStr">
        <is>
          <t>Henry Eastwood</t>
        </is>
      </c>
      <c r="C314" s="27" t="inlineStr">
        <is>
          <t>YouTuber</t>
        </is>
      </c>
      <c r="D314" s="27" t="inlineStr">
        <is>
          <t>US</t>
        </is>
      </c>
      <c r="E314" s="27" t="inlineStr">
        <is>
          <t>English</t>
        </is>
      </c>
      <c r="F314" s="27" t="inlineStr">
        <is>
          <t>YouTube</t>
        </is>
      </c>
      <c r="G314" s="27" t="inlineStr">
        <is>
          <t>https://www.youtube.com/@henryeastwood</t>
        </is>
      </c>
      <c r="H314" s="27" t="inlineStr">
        <is>
          <t>UCUS00310184711</t>
        </is>
      </c>
      <c r="I314" s="27" t="inlineStr">
        <is>
          <t>620,000</t>
        </is>
      </c>
      <c r="J314" s="27" t="inlineStr">
        <is>
          <t>2026-10-16</t>
        </is>
      </c>
      <c r="K314" s="27" t="inlineStr">
        <is>
          <t>https://www.youtube.com/watch?v=us00310</t>
        </is>
      </c>
      <c r="L314" s="27" t="n">
        <v>8</v>
      </c>
      <c r="M314" s="27" t="n">
        <v>20</v>
      </c>
      <c r="N314" s="27" t="inlineStr">
        <is>
          <t>Membership</t>
        </is>
      </c>
      <c r="O314" s="27" t="inlineStr">
        <is>
          <t>https://henryeastwood.com/community</t>
        </is>
      </c>
      <c r="P314" s="27" t="inlineStr">
        <is>
          <t>Shorts Repurposing Bottleneck</t>
        </is>
      </c>
      <c r="Q314" s="27" t="inlineStr">
        <is>
          <t>https://henryeastwood.com/highlights</t>
        </is>
      </c>
      <c r="R314" s="27" t="inlineStr">
        <is>
          <t>X (Twitter)</t>
        </is>
      </c>
      <c r="S314" s="27" t="inlineStr">
        <is>
          <t>https://x.com/henryeastwood</t>
        </is>
      </c>
      <c r="T314" s="27" t="inlineStr">
        <is>
          <t>https://henryeastwood.com/links</t>
        </is>
      </c>
      <c r="U314" s="27" t="inlineStr">
        <is>
          <t>LinkedIn</t>
        </is>
      </c>
      <c r="V314" s="27" t="inlineStr">
        <is>
          <t>tech &amp; ai frameworks, specifically regarding episode 11 on Tech &amp; AI workflow optimization</t>
        </is>
      </c>
      <c r="W314" s="27" t="inlineStr">
        <is>
          <t>Hi Henry, loved your recent piece on 'tech &amp; ai frameworks, specifically regarding episode 11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14" s="27" t="inlineStr">
        <is>
          <t>2026-10-18</t>
        </is>
      </c>
      <c r="Y314" s="27" t="inlineStr">
        <is>
          <t>C</t>
        </is>
      </c>
      <c r="Z314" s="27" t="n">
        <v>77.40000000000001</v>
      </c>
      <c r="AA314" s="27" t="inlineStr">
        <is>
          <t>Qualified</t>
        </is>
      </c>
      <c r="AB314" s="27" t="inlineStr"/>
      <c r="AC314" s="28">
        <f>IF(A314="","",IF(COUNTIF($H$5:$H$1004,H314)&gt;1,"DUPLICATE","UNIQUE"))</f>
        <v/>
      </c>
      <c r="AD314" s="28">
        <f>IF(A314="","",IF(AA314="Rejected",IF(AB314&lt;&gt;"","REJECTED","ADD REASON"),IF(AND(B314&lt;&gt;"",C314&lt;&gt;"",D314&lt;&gt;"",E314&lt;&gt;"",F314&lt;&gt;"",G314&lt;&gt;"",H314&lt;&gt;"",J314&lt;&gt;"",K314&lt;&gt;"",N314&lt;&gt;"",O314&lt;&gt;"",P314&lt;&gt;"",Q314&lt;&gt;"",R314&lt;&gt;"",S314&lt;&gt;"",T314&lt;&gt;"",V314&lt;&gt;"",W314&lt;&gt;"",X314&lt;&gt;"",Y314&lt;&gt;""),"COMPLETE","MISSING FIELDS")))</f>
        <v/>
      </c>
    </row>
    <row r="315" ht="15" customHeight="1" s="15">
      <c r="A315" s="27" t="inlineStr">
        <is>
          <t>LEAD-0311</t>
        </is>
      </c>
      <c r="B315" s="27" t="inlineStr">
        <is>
          <t>Henry Fairchild</t>
        </is>
      </c>
      <c r="C315" s="27" t="inlineStr">
        <is>
          <t>Podcaster</t>
        </is>
      </c>
      <c r="D315" s="27" t="inlineStr">
        <is>
          <t>US</t>
        </is>
      </c>
      <c r="E315" s="27" t="inlineStr">
        <is>
          <t>English</t>
        </is>
      </c>
      <c r="F315" s="27" t="inlineStr">
        <is>
          <t>Apple Podcasts</t>
        </is>
      </c>
      <c r="G315" s="27" t="inlineStr">
        <is>
          <t>https://podcasts.apple.com/us/podcast/henryfairchild/id1000311</t>
        </is>
      </c>
      <c r="H315" s="27" t="inlineStr">
        <is>
          <t>AP-US-1000311</t>
        </is>
      </c>
      <c r="I315" s="27" t="inlineStr">
        <is>
          <t>144,000</t>
        </is>
      </c>
      <c r="J315" s="27" t="inlineStr">
        <is>
          <t>2026-10-17</t>
        </is>
      </c>
      <c r="K315" s="27" t="inlineStr">
        <is>
          <t>https://henryfairchild.com/episodes/112</t>
        </is>
      </c>
      <c r="L315" s="27" t="n">
        <v>9</v>
      </c>
      <c r="M315" s="27" t="n">
        <v>21</v>
      </c>
      <c r="N315" s="27" t="inlineStr">
        <is>
          <t>Product</t>
        </is>
      </c>
      <c r="O315" s="27" t="inlineStr">
        <is>
          <t>https://henryfairchild.com/shop</t>
        </is>
      </c>
      <c r="P315" s="27" t="inlineStr">
        <is>
          <t>Missing Video Captions &amp; Retention Clips</t>
        </is>
      </c>
      <c r="Q315" s="27" t="inlineStr">
        <is>
          <t>https://henryfairchild.com/highlights</t>
        </is>
      </c>
      <c r="R315" s="27" t="inlineStr">
        <is>
          <t>Email</t>
        </is>
      </c>
      <c r="S315" s="27" t="inlineStr">
        <is>
          <t>hello@henryfairchild.com</t>
        </is>
      </c>
      <c r="T315" s="27" t="inlineStr">
        <is>
          <t>https://henryfairchild.com/work-with-me</t>
        </is>
      </c>
      <c r="U315" s="27" t="inlineStr">
        <is>
          <t>LinkedIn</t>
        </is>
      </c>
      <c r="V315" s="27" t="inlineStr">
        <is>
          <t>saas &amp; product growth frameworks, specifically regarding episode 12 on SaaS &amp; Product Growth workflow optimization</t>
        </is>
      </c>
      <c r="W315" s="27" t="inlineStr">
        <is>
          <t>Hi Henry, loved your recent piece on 'saas &amp; product growth frameworks, specifically regarding episode 12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15" s="27" t="inlineStr">
        <is>
          <t>2026-10-18</t>
        </is>
      </c>
      <c r="Y315" s="27" t="inlineStr">
        <is>
          <t>C</t>
        </is>
      </c>
      <c r="Z315" s="27" t="n">
        <v>77.3</v>
      </c>
      <c r="AA315" s="27" t="inlineStr">
        <is>
          <t>Qualified</t>
        </is>
      </c>
      <c r="AB315" s="27" t="inlineStr"/>
      <c r="AC315" s="28">
        <f>IF(A315="","",IF(COUNTIF($H$5:$H$1004,H315)&gt;1,"DUPLICATE","UNIQUE"))</f>
        <v/>
      </c>
      <c r="AD315" s="28">
        <f>IF(A315="","",IF(AA315="Rejected",IF(AB315&lt;&gt;"","REJECTED","ADD REASON"),IF(AND(B315&lt;&gt;"",C315&lt;&gt;"",D315&lt;&gt;"",E315&lt;&gt;"",F315&lt;&gt;"",G315&lt;&gt;"",H315&lt;&gt;"",J315&lt;&gt;"",K315&lt;&gt;"",N315&lt;&gt;"",O315&lt;&gt;"",P315&lt;&gt;"",Q315&lt;&gt;"",R315&lt;&gt;"",S315&lt;&gt;"",T315&lt;&gt;"",V315&lt;&gt;"",W315&lt;&gt;"",X315&lt;&gt;"",Y315&lt;&gt;""),"COMPLETE","MISSING FIELDS")))</f>
        <v/>
      </c>
    </row>
    <row r="316" ht="15" customHeight="1" s="15">
      <c r="A316" s="27" t="inlineStr">
        <is>
          <t>LEAD-0312</t>
        </is>
      </c>
      <c r="B316" s="27" t="inlineStr">
        <is>
          <t>Henry Gallagher</t>
        </is>
      </c>
      <c r="C316" s="27" t="inlineStr">
        <is>
          <t>Expert-Led Creator</t>
        </is>
      </c>
      <c r="D316" s="27" t="inlineStr">
        <is>
          <t>US</t>
        </is>
      </c>
      <c r="E316" s="27" t="inlineStr">
        <is>
          <t>English</t>
        </is>
      </c>
      <c r="F316" s="27" t="inlineStr">
        <is>
          <t>YouTube</t>
        </is>
      </c>
      <c r="G316" s="27" t="inlineStr">
        <is>
          <t>https://www.youtube.com/@henrygallagher</t>
        </is>
      </c>
      <c r="H316" s="27" t="inlineStr">
        <is>
          <t>UCUS00312645928</t>
        </is>
      </c>
      <c r="I316" s="27" t="inlineStr">
        <is>
          <t>660,000</t>
        </is>
      </c>
      <c r="J316" s="27" t="inlineStr">
        <is>
          <t>2026-10-10</t>
        </is>
      </c>
      <c r="K316" s="27" t="inlineStr">
        <is>
          <t>https://www.youtube.com/watch?v=us00312</t>
        </is>
      </c>
      <c r="L316" s="27" t="n">
        <v>10</v>
      </c>
      <c r="M316" s="27" t="n">
        <v>22</v>
      </c>
      <c r="N316" s="27" t="inlineStr">
        <is>
          <t>Consulting</t>
        </is>
      </c>
      <c r="O316" s="27" t="inlineStr">
        <is>
          <t>https://henrygallagher.com/advisory</t>
        </is>
      </c>
      <c r="P316" s="27" t="inlineStr">
        <is>
          <t>Editing Backlog &amp; Team Workflow Overhead</t>
        </is>
      </c>
      <c r="Q316" s="27" t="inlineStr">
        <is>
          <t>https://henrygallagher.com/highlights</t>
        </is>
      </c>
      <c r="R316" s="27" t="inlineStr">
        <is>
          <t>Email</t>
        </is>
      </c>
      <c r="S316" s="27" t="inlineStr">
        <is>
          <t>contact@henrygallagher.com</t>
        </is>
      </c>
      <c r="T316" s="27" t="inlineStr">
        <is>
          <t>https://henrygallagher.com/contact</t>
        </is>
      </c>
      <c r="U316" s="27" t="inlineStr">
        <is>
          <t>LinkedIn</t>
        </is>
      </c>
      <c r="V316" s="27" t="inlineStr">
        <is>
          <t>creator business &amp; monetization frameworks, specifically regarding episode 13 on Creator Business &amp; Monetization workflow optimization</t>
        </is>
      </c>
      <c r="W316" s="27" t="inlineStr">
        <is>
          <t>Hi Henry, loved your recent piece on 'creator business &amp; monetization frameworks, specifically regarding episode 13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16" s="27" t="inlineStr">
        <is>
          <t>2026-10-18</t>
        </is>
      </c>
      <c r="Y316" s="27" t="inlineStr">
        <is>
          <t>C</t>
        </is>
      </c>
      <c r="Z316" s="27" t="n">
        <v>77.3</v>
      </c>
      <c r="AA316" s="27" t="inlineStr">
        <is>
          <t>Qualified</t>
        </is>
      </c>
      <c r="AB316" s="27" t="inlineStr"/>
      <c r="AC316" s="28">
        <f>IF(A316="","",IF(COUNTIF($H$5:$H$1004,H316)&gt;1,"DUPLICATE","UNIQUE"))</f>
        <v/>
      </c>
      <c r="AD316" s="28">
        <f>IF(A316="","",IF(AA316="Rejected",IF(AB316&lt;&gt;"","REJECTED","ADD REASON"),IF(AND(B316&lt;&gt;"",C316&lt;&gt;"",D316&lt;&gt;"",E316&lt;&gt;"",F316&lt;&gt;"",G316&lt;&gt;"",H316&lt;&gt;"",J316&lt;&gt;"",K316&lt;&gt;"",N316&lt;&gt;"",O316&lt;&gt;"",P316&lt;&gt;"",Q316&lt;&gt;"",R316&lt;&gt;"",S316&lt;&gt;"",T316&lt;&gt;"",V316&lt;&gt;"",W316&lt;&gt;"",X316&lt;&gt;"",Y316&lt;&gt;""),"COMPLETE","MISSING FIELDS")))</f>
        <v/>
      </c>
    </row>
    <row r="317" ht="15" customHeight="1" s="15">
      <c r="A317" s="27" t="inlineStr">
        <is>
          <t>LEAD-0313</t>
        </is>
      </c>
      <c r="B317" s="27" t="inlineStr">
        <is>
          <t>Henry Hawthorne</t>
        </is>
      </c>
      <c r="C317" s="27" t="inlineStr">
        <is>
          <t>YouTuber</t>
        </is>
      </c>
      <c r="D317" s="27" t="inlineStr">
        <is>
          <t>US</t>
        </is>
      </c>
      <c r="E317" s="27" t="inlineStr">
        <is>
          <t>English</t>
        </is>
      </c>
      <c r="F317" s="27" t="inlineStr">
        <is>
          <t>YouTube</t>
        </is>
      </c>
      <c r="G317" s="27" t="inlineStr">
        <is>
          <t>https://www.youtube.com/@henryhawthorne</t>
        </is>
      </c>
      <c r="H317" s="27" t="inlineStr">
        <is>
          <t>UCUS00313970067</t>
        </is>
      </c>
      <c r="I317" s="27" t="inlineStr">
        <is>
          <t>680,000</t>
        </is>
      </c>
      <c r="J317" s="27" t="inlineStr">
        <is>
          <t>2026-10-11</t>
        </is>
      </c>
      <c r="K317" s="27" t="inlineStr">
        <is>
          <t>https://www.youtube.com/watch?v=us00313</t>
        </is>
      </c>
      <c r="L317" s="27" t="n">
        <v>11</v>
      </c>
      <c r="M317" s="27" t="n">
        <v>23</v>
      </c>
      <c r="N317" s="27" t="inlineStr">
        <is>
          <t>Newsletter Subscription</t>
        </is>
      </c>
      <c r="O317" s="27" t="inlineStr">
        <is>
          <t>https://henryhawthorne.com/subscribe</t>
        </is>
      </c>
      <c r="P317" s="27" t="inlineStr">
        <is>
          <t>Shorts Repurposing Bottleneck</t>
        </is>
      </c>
      <c r="Q317" s="27" t="inlineStr">
        <is>
          <t>https://henryhawthorne.com/highlights</t>
        </is>
      </c>
      <c r="R317" s="27" t="inlineStr">
        <is>
          <t>LinkedIn</t>
        </is>
      </c>
      <c r="S317" s="27" t="inlineStr">
        <is>
          <t>https://linkedin.com/in/henryhawthorne</t>
        </is>
      </c>
      <c r="T317" s="27" t="inlineStr">
        <is>
          <t>https://henryhawthorne.com/about</t>
        </is>
      </c>
      <c r="U317" s="27" t="inlineStr">
        <is>
          <t>Email</t>
        </is>
      </c>
      <c r="V317" s="27" t="inlineStr">
        <is>
          <t>productivity &amp; personal systems frameworks, specifically regarding episode 14 on Productivity &amp; Personal Systems workflow optimization</t>
        </is>
      </c>
      <c r="W317" s="27" t="inlineStr">
        <is>
          <t>Hi Henry, loved your recent piece on 'productivity &amp; personal systems frameworks, specifically regarding episode 14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17" s="27" t="inlineStr">
        <is>
          <t>2026-10-18</t>
        </is>
      </c>
      <c r="Y317" s="27" t="inlineStr">
        <is>
          <t>C</t>
        </is>
      </c>
      <c r="Z317" s="27" t="n">
        <v>77.2</v>
      </c>
      <c r="AA317" s="27" t="inlineStr">
        <is>
          <t>Qualified</t>
        </is>
      </c>
      <c r="AB317" s="27" t="inlineStr"/>
      <c r="AC317" s="28">
        <f>IF(A317="","",IF(COUNTIF($H$5:$H$1004,H317)&gt;1,"DUPLICATE","UNIQUE"))</f>
        <v/>
      </c>
      <c r="AD317" s="28">
        <f>IF(A317="","",IF(AA317="Rejected",IF(AB317&lt;&gt;"","REJECTED","ADD REASON"),IF(AND(B317&lt;&gt;"",C317&lt;&gt;"",D317&lt;&gt;"",E317&lt;&gt;"",F317&lt;&gt;"",G317&lt;&gt;"",H317&lt;&gt;"",J317&lt;&gt;"",K317&lt;&gt;"",N317&lt;&gt;"",O317&lt;&gt;"",P317&lt;&gt;"",Q317&lt;&gt;"",R317&lt;&gt;"",S317&lt;&gt;"",T317&lt;&gt;"",V317&lt;&gt;"",W317&lt;&gt;"",X317&lt;&gt;"",Y317&lt;&gt;""),"COMPLETE","MISSING FIELDS")))</f>
        <v/>
      </c>
    </row>
    <row r="318" ht="15" customHeight="1" s="15">
      <c r="A318" s="27" t="inlineStr">
        <is>
          <t>LEAD-0314</t>
        </is>
      </c>
      <c r="B318" s="27" t="inlineStr">
        <is>
          <t>Henry Ingram</t>
        </is>
      </c>
      <c r="C318" s="27" t="inlineStr">
        <is>
          <t>Podcaster</t>
        </is>
      </c>
      <c r="D318" s="27" t="inlineStr">
        <is>
          <t>US</t>
        </is>
      </c>
      <c r="E318" s="27" t="inlineStr">
        <is>
          <t>English</t>
        </is>
      </c>
      <c r="F318" s="27" t="inlineStr">
        <is>
          <t>Apple Podcasts</t>
        </is>
      </c>
      <c r="G318" s="27" t="inlineStr">
        <is>
          <t>https://podcasts.apple.com/us/podcast/henryingram/id1000314</t>
        </is>
      </c>
      <c r="H318" s="27" t="inlineStr">
        <is>
          <t>AP-US-1000314</t>
        </is>
      </c>
      <c r="I318" s="27" t="inlineStr">
        <is>
          <t>180,000</t>
        </is>
      </c>
      <c r="J318" s="27" t="inlineStr">
        <is>
          <t>2026-10-12</t>
        </is>
      </c>
      <c r="K318" s="27" t="inlineStr">
        <is>
          <t>https://henryingram.com/episodes/115</t>
        </is>
      </c>
      <c r="L318" s="27" t="n">
        <v>12</v>
      </c>
      <c r="M318" s="27" t="n">
        <v>24</v>
      </c>
      <c r="N318" s="27" t="inlineStr">
        <is>
          <t>Affiliate</t>
        </is>
      </c>
      <c r="O318" s="27" t="inlineStr">
        <is>
          <t>https://henryingram.com/resources</t>
        </is>
      </c>
      <c r="P318" s="27" t="inlineStr">
        <is>
          <t>Inconsistent Cross-Platform Publishing</t>
        </is>
      </c>
      <c r="Q318" s="27" t="inlineStr">
        <is>
          <t>https://henryingram.com/highlights</t>
        </is>
      </c>
      <c r="R318" s="27" t="inlineStr">
        <is>
          <t>X (Twitter)</t>
        </is>
      </c>
      <c r="S318" s="27" t="inlineStr">
        <is>
          <t>https://x.com/henryingram</t>
        </is>
      </c>
      <c r="T318" s="27" t="inlineStr">
        <is>
          <t>https://henryingram.com/links</t>
        </is>
      </c>
      <c r="U318" s="27" t="inlineStr">
        <is>
          <t>LinkedIn</t>
        </is>
      </c>
      <c r="V318" s="27" t="inlineStr">
        <is>
          <t>leadership &amp; team ops frameworks, specifically regarding episode 15 on Leadership &amp; Team Ops workflow optimization</t>
        </is>
      </c>
      <c r="W318" s="27" t="inlineStr">
        <is>
          <t>Hi Henry, loved your recent piece on 'leadership &amp; team ops frameworks, specifically regarding episode 15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18" s="27" t="inlineStr">
        <is>
          <t>2026-10-18</t>
        </is>
      </c>
      <c r="Y318" s="27" t="inlineStr">
        <is>
          <t>C</t>
        </is>
      </c>
      <c r="Z318" s="27" t="n">
        <v>77.2</v>
      </c>
      <c r="AA318" s="27" t="inlineStr">
        <is>
          <t>Qualified</t>
        </is>
      </c>
      <c r="AB318" s="27" t="inlineStr"/>
      <c r="AC318" s="28">
        <f>IF(A318="","",IF(COUNTIF($H$5:$H$1004,H318)&gt;1,"DUPLICATE","UNIQUE"))</f>
        <v/>
      </c>
      <c r="AD318" s="28">
        <f>IF(A318="","",IF(AA318="Rejected",IF(AB318&lt;&gt;"","REJECTED","ADD REASON"),IF(AND(B318&lt;&gt;"",C318&lt;&gt;"",D318&lt;&gt;"",E318&lt;&gt;"",F318&lt;&gt;"",G318&lt;&gt;"",H318&lt;&gt;"",J318&lt;&gt;"",K318&lt;&gt;"",N318&lt;&gt;"",O318&lt;&gt;"",P318&lt;&gt;"",Q318&lt;&gt;"",R318&lt;&gt;"",S318&lt;&gt;"",T318&lt;&gt;"",V318&lt;&gt;"",W318&lt;&gt;"",X318&lt;&gt;"",Y318&lt;&gt;""),"COMPLETE","MISSING FIELDS")))</f>
        <v/>
      </c>
    </row>
    <row r="319" ht="15" customHeight="1" s="15">
      <c r="A319" s="27" t="inlineStr">
        <is>
          <t>LEAD-0315</t>
        </is>
      </c>
      <c r="B319" s="27" t="inlineStr">
        <is>
          <t>Henry Jennings</t>
        </is>
      </c>
      <c r="C319" s="27" t="inlineStr">
        <is>
          <t>Expert-Led Creator</t>
        </is>
      </c>
      <c r="D319" s="27" t="inlineStr">
        <is>
          <t>US</t>
        </is>
      </c>
      <c r="E319" s="27" t="inlineStr">
        <is>
          <t>English</t>
        </is>
      </c>
      <c r="F319" s="27" t="inlineStr">
        <is>
          <t>LinkedIn</t>
        </is>
      </c>
      <c r="G319" s="27" t="inlineStr">
        <is>
          <t>https://www.linkedin.com/in/henryjennings</t>
        </is>
      </c>
      <c r="H319" s="27" t="inlineStr">
        <is>
          <t>LI-henryjennings-0315</t>
        </is>
      </c>
      <c r="I319" s="27" t="inlineStr">
        <is>
          <t>96,000</t>
        </is>
      </c>
      <c r="J319" s="27" t="inlineStr">
        <is>
          <t>2026-10-13</t>
        </is>
      </c>
      <c r="K319" s="27" t="inlineStr">
        <is>
          <t>https://henryjennings.com/posts/16</t>
        </is>
      </c>
      <c r="L319" s="27" t="n">
        <v>13</v>
      </c>
      <c r="M319" s="27" t="n">
        <v>25</v>
      </c>
      <c r="N319" s="27" t="inlineStr">
        <is>
          <t>Course</t>
        </is>
      </c>
      <c r="O319" s="27" t="inlineStr">
        <is>
          <t>https://henryjennings.com/academy</t>
        </is>
      </c>
      <c r="P319" s="27" t="inlineStr">
        <is>
          <t>Editing Backlog &amp; Team Workflow Overhead</t>
        </is>
      </c>
      <c r="Q319" s="27" t="inlineStr">
        <is>
          <t>https://henryjennings.com/highlights</t>
        </is>
      </c>
      <c r="R319" s="27" t="inlineStr">
        <is>
          <t>Email</t>
        </is>
      </c>
      <c r="S319" s="27" t="inlineStr">
        <is>
          <t>hello@henryjennings.com</t>
        </is>
      </c>
      <c r="T319" s="27" t="inlineStr">
        <is>
          <t>https://henryjennings.com/work-with-me</t>
        </is>
      </c>
      <c r="U319" s="27" t="inlineStr">
        <is>
          <t>LinkedIn</t>
        </is>
      </c>
      <c r="V319" s="27" t="inlineStr">
        <is>
          <t>b2b marketing &amp; sales frameworks, specifically regarding episode 16 on B2B Marketing &amp; Sales workflow optimization</t>
        </is>
      </c>
      <c r="W319" s="27" t="inlineStr">
        <is>
          <t>Hi Henry, loved your recent piece on 'b2b marketing &amp; sales frameworks, specifically regarding episode 16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19" s="27" t="inlineStr">
        <is>
          <t>2026-10-18</t>
        </is>
      </c>
      <c r="Y319" s="27" t="inlineStr">
        <is>
          <t>C</t>
        </is>
      </c>
      <c r="Z319" s="27" t="n">
        <v>77.09999999999999</v>
      </c>
      <c r="AA319" s="27" t="inlineStr">
        <is>
          <t>Qualified</t>
        </is>
      </c>
      <c r="AB319" s="27" t="inlineStr"/>
      <c r="AC319" s="28">
        <f>IF(A319="","",IF(COUNTIF($H$5:$H$1004,H319)&gt;1,"DUPLICATE","UNIQUE"))</f>
        <v/>
      </c>
      <c r="AD319" s="28">
        <f>IF(A319="","",IF(AA319="Rejected",IF(AB319&lt;&gt;"","REJECTED","ADD REASON"),IF(AND(B319&lt;&gt;"",C319&lt;&gt;"",D319&lt;&gt;"",E319&lt;&gt;"",F319&lt;&gt;"",G319&lt;&gt;"",H319&lt;&gt;"",J319&lt;&gt;"",K319&lt;&gt;"",N319&lt;&gt;"",O319&lt;&gt;"",P319&lt;&gt;"",Q319&lt;&gt;"",R319&lt;&gt;"",S319&lt;&gt;"",T319&lt;&gt;"",V319&lt;&gt;"",W319&lt;&gt;"",X319&lt;&gt;"",Y319&lt;&gt;""),"COMPLETE","MISSING FIELDS")))</f>
        <v/>
      </c>
    </row>
    <row r="320" ht="15" customHeight="1" s="15">
      <c r="A320" s="27" t="inlineStr">
        <is>
          <t>LEAD-0316</t>
        </is>
      </c>
      <c r="B320" s="27" t="inlineStr">
        <is>
          <t>Henry Kingsley</t>
        </is>
      </c>
      <c r="C320" s="27" t="inlineStr">
        <is>
          <t>YouTuber</t>
        </is>
      </c>
      <c r="D320" s="27" t="inlineStr">
        <is>
          <t>US</t>
        </is>
      </c>
      <c r="E320" s="27" t="inlineStr">
        <is>
          <t>English</t>
        </is>
      </c>
      <c r="F320" s="27" t="inlineStr">
        <is>
          <t>YouTube</t>
        </is>
      </c>
      <c r="G320" s="27" t="inlineStr">
        <is>
          <t>https://www.youtube.com/@henrykingsley</t>
        </is>
      </c>
      <c r="H320" s="27" t="inlineStr">
        <is>
          <t>UCUS00316326788</t>
        </is>
      </c>
      <c r="I320" s="27" t="inlineStr">
        <is>
          <t>40,000</t>
        </is>
      </c>
      <c r="J320" s="27" t="inlineStr">
        <is>
          <t>2026-10-14</t>
        </is>
      </c>
      <c r="K320" s="27" t="inlineStr">
        <is>
          <t>https://www.youtube.com/watch?v=us00316</t>
        </is>
      </c>
      <c r="L320" s="27" t="n">
        <v>14</v>
      </c>
      <c r="M320" s="27" t="n">
        <v>26</v>
      </c>
      <c r="N320" s="27" t="inlineStr">
        <is>
          <t>Sponsor</t>
        </is>
      </c>
      <c r="O320" s="27" t="inlineStr">
        <is>
          <t>https://henrykingsley.com/partners</t>
        </is>
      </c>
      <c r="P320" s="27" t="inlineStr">
        <is>
          <t>Multilingual Audio Dubbing</t>
        </is>
      </c>
      <c r="Q320" s="27" t="inlineStr">
        <is>
          <t>https://henrykingsley.com/highlights</t>
        </is>
      </c>
      <c r="R320" s="27" t="inlineStr">
        <is>
          <t>Email</t>
        </is>
      </c>
      <c r="S320" s="27" t="inlineStr">
        <is>
          <t>contact@henrykingsley.com</t>
        </is>
      </c>
      <c r="T320" s="27" t="inlineStr">
        <is>
          <t>https://henrykingsley.com/contact</t>
        </is>
      </c>
      <c r="U320" s="27" t="inlineStr">
        <is>
          <t>LinkedIn</t>
        </is>
      </c>
      <c r="V320" s="27" t="inlineStr">
        <is>
          <t>finance &amp; wealth engineering frameworks, specifically regarding episode 17 on Finance &amp; Wealth Engineering workflow optimization</t>
        </is>
      </c>
      <c r="W320" s="27" t="inlineStr">
        <is>
          <t>Hi Henry, loved your recent piece on 'finance &amp; wealth engineering frameworks, specifically regarding episode 17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20" s="27" t="inlineStr">
        <is>
          <t>2026-10-18</t>
        </is>
      </c>
      <c r="Y320" s="27" t="inlineStr">
        <is>
          <t>C</t>
        </is>
      </c>
      <c r="Z320" s="27" t="n">
        <v>77</v>
      </c>
      <c r="AA320" s="27" t="inlineStr">
        <is>
          <t>Qualified</t>
        </is>
      </c>
      <c r="AB320" s="27" t="inlineStr"/>
      <c r="AC320" s="28">
        <f>IF(A320="","",IF(COUNTIF($H$5:$H$1004,H320)&gt;1,"DUPLICATE","UNIQUE"))</f>
        <v/>
      </c>
      <c r="AD320" s="28">
        <f>IF(A320="","",IF(AA320="Rejected",IF(AB320&lt;&gt;"","REJECTED","ADD REASON"),IF(AND(B320&lt;&gt;"",C320&lt;&gt;"",D320&lt;&gt;"",E320&lt;&gt;"",F320&lt;&gt;"",G320&lt;&gt;"",H320&lt;&gt;"",J320&lt;&gt;"",K320&lt;&gt;"",N320&lt;&gt;"",O320&lt;&gt;"",P320&lt;&gt;"",Q320&lt;&gt;"",R320&lt;&gt;"",S320&lt;&gt;"",T320&lt;&gt;"",V320&lt;&gt;"",W320&lt;&gt;"",X320&lt;&gt;"",Y320&lt;&gt;""),"COMPLETE","MISSING FIELDS")))</f>
        <v/>
      </c>
    </row>
    <row r="321" ht="15" customHeight="1" s="15">
      <c r="A321" s="27" t="inlineStr">
        <is>
          <t>LEAD-0317</t>
        </is>
      </c>
      <c r="B321" s="27" t="inlineStr">
        <is>
          <t>Henry Lockwood</t>
        </is>
      </c>
      <c r="C321" s="27" t="inlineStr">
        <is>
          <t>Podcaster</t>
        </is>
      </c>
      <c r="D321" s="27" t="inlineStr">
        <is>
          <t>US</t>
        </is>
      </c>
      <c r="E321" s="27" t="inlineStr">
        <is>
          <t>English</t>
        </is>
      </c>
      <c r="F321" s="27" t="inlineStr">
        <is>
          <t>Apple Podcasts</t>
        </is>
      </c>
      <c r="G321" s="27" t="inlineStr">
        <is>
          <t>https://podcasts.apple.com/us/podcast/henrylockwood/id1000317</t>
        </is>
      </c>
      <c r="H321" s="27" t="inlineStr">
        <is>
          <t>AP-US-1000317</t>
        </is>
      </c>
      <c r="I321" s="27" t="inlineStr">
        <is>
          <t>216,000</t>
        </is>
      </c>
      <c r="J321" s="27" t="inlineStr">
        <is>
          <t>2026-10-15</t>
        </is>
      </c>
      <c r="K321" s="27" t="inlineStr">
        <is>
          <t>https://henrylockwood.com/episodes/118</t>
        </is>
      </c>
      <c r="L321" s="27" t="n">
        <v>15</v>
      </c>
      <c r="M321" s="27" t="n">
        <v>27</v>
      </c>
      <c r="N321" s="27" t="inlineStr">
        <is>
          <t>Membership</t>
        </is>
      </c>
      <c r="O321" s="27" t="inlineStr">
        <is>
          <t>https://henrylockwood.com/community</t>
        </is>
      </c>
      <c r="P321" s="27" t="inlineStr">
        <is>
          <t>Multilingual Audio Dubbing</t>
        </is>
      </c>
      <c r="Q321" s="27" t="inlineStr">
        <is>
          <t>https://henrylockwood.com/highlights</t>
        </is>
      </c>
      <c r="R321" s="27" t="inlineStr">
        <is>
          <t>LinkedIn</t>
        </is>
      </c>
      <c r="S321" s="27" t="inlineStr">
        <is>
          <t>https://linkedin.com/in/henrylockwood</t>
        </is>
      </c>
      <c r="T321" s="27" t="inlineStr">
        <is>
          <t>https://henrylockwood.com/about</t>
        </is>
      </c>
      <c r="U321" s="27" t="inlineStr">
        <is>
          <t>Email</t>
        </is>
      </c>
      <c r="V321" s="27" t="inlineStr">
        <is>
          <t>health &amp; longevity science frameworks, specifically regarding episode 18 on Health &amp; Longevity Science workflow optimization</t>
        </is>
      </c>
      <c r="W321" s="27" t="inlineStr">
        <is>
          <t>Hi Henry, loved your recent piece on 'health &amp; longevity science frameworks, specifically regarding episode 18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21" s="27" t="inlineStr">
        <is>
          <t>2026-10-18</t>
        </is>
      </c>
      <c r="Y321" s="27" t="inlineStr">
        <is>
          <t>C</t>
        </is>
      </c>
      <c r="Z321" s="27" t="n">
        <v>77</v>
      </c>
      <c r="AA321" s="27" t="inlineStr">
        <is>
          <t>Qualified</t>
        </is>
      </c>
      <c r="AB321" s="27" t="inlineStr"/>
      <c r="AC321" s="28">
        <f>IF(A321="","",IF(COUNTIF($H$5:$H$1004,H321)&gt;1,"DUPLICATE","UNIQUE"))</f>
        <v/>
      </c>
      <c r="AD321" s="28">
        <f>IF(A321="","",IF(AA321="Rejected",IF(AB321&lt;&gt;"","REJECTED","ADD REASON"),IF(AND(B321&lt;&gt;"",C321&lt;&gt;"",D321&lt;&gt;"",E321&lt;&gt;"",F321&lt;&gt;"",G321&lt;&gt;"",H321&lt;&gt;"",J321&lt;&gt;"",K321&lt;&gt;"",N321&lt;&gt;"",O321&lt;&gt;"",P321&lt;&gt;"",Q321&lt;&gt;"",R321&lt;&gt;"",S321&lt;&gt;"",T321&lt;&gt;"",V321&lt;&gt;"",W321&lt;&gt;"",X321&lt;&gt;"",Y321&lt;&gt;""),"COMPLETE","MISSING FIELDS")))</f>
        <v/>
      </c>
    </row>
    <row r="322" ht="15" customHeight="1" s="15">
      <c r="A322" s="27" t="inlineStr">
        <is>
          <t>LEAD-0318</t>
        </is>
      </c>
      <c r="B322" s="27" t="inlineStr">
        <is>
          <t>Henry Montague</t>
        </is>
      </c>
      <c r="C322" s="27" t="inlineStr">
        <is>
          <t>YouTuber</t>
        </is>
      </c>
      <c r="D322" s="27" t="inlineStr">
        <is>
          <t>US</t>
        </is>
      </c>
      <c r="E322" s="27" t="inlineStr">
        <is>
          <t>English</t>
        </is>
      </c>
      <c r="F322" s="27" t="inlineStr">
        <is>
          <t>YouTube</t>
        </is>
      </c>
      <c r="G322" s="27" t="inlineStr">
        <is>
          <t>https://www.youtube.com/@henrymontague</t>
        </is>
      </c>
      <c r="H322" s="27" t="inlineStr">
        <is>
          <t>UCUS00318681477</t>
        </is>
      </c>
      <c r="I322" s="27" t="inlineStr">
        <is>
          <t>80,000</t>
        </is>
      </c>
      <c r="J322" s="27" t="inlineStr">
        <is>
          <t>2026-10-16</t>
        </is>
      </c>
      <c r="K322" s="27" t="inlineStr">
        <is>
          <t>https://www.youtube.com/watch?v=us00318</t>
        </is>
      </c>
      <c r="L322" s="27" t="n">
        <v>16</v>
      </c>
      <c r="M322" s="27" t="n">
        <v>28</v>
      </c>
      <c r="N322" s="27" t="inlineStr">
        <is>
          <t>Product</t>
        </is>
      </c>
      <c r="O322" s="27" t="inlineStr">
        <is>
          <t>https://henrymontague.com/shop</t>
        </is>
      </c>
      <c r="P322" s="27" t="inlineStr">
        <is>
          <t>Missing Video Captions &amp; Retention Clips</t>
        </is>
      </c>
      <c r="Q322" s="27" t="inlineStr">
        <is>
          <t>https://henrymontague.com/highlights</t>
        </is>
      </c>
      <c r="R322" s="27" t="inlineStr">
        <is>
          <t>X (Twitter)</t>
        </is>
      </c>
      <c r="S322" s="27" t="inlineStr">
        <is>
          <t>https://x.com/henrymontague</t>
        </is>
      </c>
      <c r="T322" s="27" t="inlineStr">
        <is>
          <t>https://henrymontague.com/links</t>
        </is>
      </c>
      <c r="U322" s="27" t="inlineStr">
        <is>
          <t>LinkedIn</t>
        </is>
      </c>
      <c r="V322" s="27" t="inlineStr">
        <is>
          <t>education &amp; applied coding frameworks, specifically regarding episode 19 on Education &amp; Applied Coding workflow optimization</t>
        </is>
      </c>
      <c r="W322" s="27" t="inlineStr">
        <is>
          <t>Hi Henry, loved your recent piece on 'education &amp; applied coding frameworks, specifically regarding episode 19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22" s="27" t="inlineStr">
        <is>
          <t>2026-10-18</t>
        </is>
      </c>
      <c r="Y322" s="27" t="inlineStr">
        <is>
          <t>C</t>
        </is>
      </c>
      <c r="Z322" s="27" t="n">
        <v>76.90000000000001</v>
      </c>
      <c r="AA322" s="27" t="inlineStr">
        <is>
          <t>Qualified</t>
        </is>
      </c>
      <c r="AB322" s="27" t="inlineStr"/>
      <c r="AC322" s="28">
        <f>IF(A322="","",IF(COUNTIF($H$5:$H$1004,H322)&gt;1,"DUPLICATE","UNIQUE"))</f>
        <v/>
      </c>
      <c r="AD322" s="28">
        <f>IF(A322="","",IF(AA322="Rejected",IF(AB322&lt;&gt;"","REJECTED","ADD REASON"),IF(AND(B322&lt;&gt;"",C322&lt;&gt;"",D322&lt;&gt;"",E322&lt;&gt;"",F322&lt;&gt;"",G322&lt;&gt;"",H322&lt;&gt;"",J322&lt;&gt;"",K322&lt;&gt;"",N322&lt;&gt;"",O322&lt;&gt;"",P322&lt;&gt;"",Q322&lt;&gt;"",R322&lt;&gt;"",S322&lt;&gt;"",T322&lt;&gt;"",V322&lt;&gt;"",W322&lt;&gt;"",X322&lt;&gt;"",Y322&lt;&gt;""),"COMPLETE","MISSING FIELDS")))</f>
        <v/>
      </c>
    </row>
    <row r="323" ht="15" customHeight="1" s="15">
      <c r="A323" s="27" t="inlineStr">
        <is>
          <t>LEAD-0319</t>
        </is>
      </c>
      <c r="B323" s="27" t="inlineStr">
        <is>
          <t>Henry Northwood</t>
        </is>
      </c>
      <c r="C323" s="27" t="inlineStr">
        <is>
          <t>Podcaster</t>
        </is>
      </c>
      <c r="D323" s="27" t="inlineStr">
        <is>
          <t>US</t>
        </is>
      </c>
      <c r="E323" s="27" t="inlineStr">
        <is>
          <t>English</t>
        </is>
      </c>
      <c r="F323" s="27" t="inlineStr">
        <is>
          <t>Apple Podcasts</t>
        </is>
      </c>
      <c r="G323" s="27" t="inlineStr">
        <is>
          <t>https://podcasts.apple.com/us/podcast/henrynorthwood/id1000319</t>
        </is>
      </c>
      <c r="H323" s="27" t="inlineStr">
        <is>
          <t>AP-US-1000319</t>
        </is>
      </c>
      <c r="I323" s="27" t="inlineStr">
        <is>
          <t>240,000</t>
        </is>
      </c>
      <c r="J323" s="27" t="inlineStr">
        <is>
          <t>2026-10-17</t>
        </is>
      </c>
      <c r="K323" s="27" t="inlineStr">
        <is>
          <t>https://henrynorthwood.com/episodes/120</t>
        </is>
      </c>
      <c r="L323" s="27" t="n">
        <v>17</v>
      </c>
      <c r="M323" s="27" t="n">
        <v>29</v>
      </c>
      <c r="N323" s="27" t="inlineStr">
        <is>
          <t>Consulting</t>
        </is>
      </c>
      <c r="O323" s="27" t="inlineStr">
        <is>
          <t>https://henrynorthwood.com/advisory</t>
        </is>
      </c>
      <c r="P323" s="27" t="inlineStr">
        <is>
          <t>Shorts Repurposing Bottleneck</t>
        </is>
      </c>
      <c r="Q323" s="27" t="inlineStr">
        <is>
          <t>https://henrynorthwood.com/highlights</t>
        </is>
      </c>
      <c r="R323" s="27" t="inlineStr">
        <is>
          <t>Email</t>
        </is>
      </c>
      <c r="S323" s="27" t="inlineStr">
        <is>
          <t>hello@henrynorthwood.com</t>
        </is>
      </c>
      <c r="T323" s="27" t="inlineStr">
        <is>
          <t>https://henrynorthwood.com/work-with-me</t>
        </is>
      </c>
      <c r="U323" s="27" t="inlineStr">
        <is>
          <t>LinkedIn</t>
        </is>
      </c>
      <c r="V323" s="27" t="inlineStr">
        <is>
          <t>e-commerce &amp; digital brands frameworks, specifically regarding episode 20 on E-Commerce &amp; Digital Brands workflow optimization</t>
        </is>
      </c>
      <c r="W323" s="27" t="inlineStr">
        <is>
          <t>Hi Henry, loved your recent piece on 'e-commerce &amp; digital brands frameworks, specifically regarding episode 20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23" s="27" t="inlineStr">
        <is>
          <t>2026-10-18</t>
        </is>
      </c>
      <c r="Y323" s="27" t="inlineStr">
        <is>
          <t>C</t>
        </is>
      </c>
      <c r="Z323" s="27" t="n">
        <v>76.90000000000001</v>
      </c>
      <c r="AA323" s="27" t="inlineStr">
        <is>
          <t>Qualified</t>
        </is>
      </c>
      <c r="AB323" s="27" t="inlineStr"/>
      <c r="AC323" s="28">
        <f>IF(A323="","",IF(COUNTIF($H$5:$H$1004,H323)&gt;1,"DUPLICATE","UNIQUE"))</f>
        <v/>
      </c>
      <c r="AD323" s="28">
        <f>IF(A323="","",IF(AA323="Rejected",IF(AB323&lt;&gt;"","REJECTED","ADD REASON"),IF(AND(B323&lt;&gt;"",C323&lt;&gt;"",D323&lt;&gt;"",E323&lt;&gt;"",F323&lt;&gt;"",G323&lt;&gt;"",H323&lt;&gt;"",J323&lt;&gt;"",K323&lt;&gt;"",N323&lt;&gt;"",O323&lt;&gt;"",P323&lt;&gt;"",Q323&lt;&gt;"",R323&lt;&gt;"",S323&lt;&gt;"",T323&lt;&gt;"",V323&lt;&gt;"",W323&lt;&gt;"",X323&lt;&gt;"",Y323&lt;&gt;""),"COMPLETE","MISSING FIELDS")))</f>
        <v/>
      </c>
    </row>
    <row r="324" ht="15" customHeight="1" s="15">
      <c r="A324" s="27" t="inlineStr">
        <is>
          <t>LEAD-0320</t>
        </is>
      </c>
      <c r="B324" s="27" t="inlineStr">
        <is>
          <t>Henry Oakley</t>
        </is>
      </c>
      <c r="C324" s="27" t="inlineStr">
        <is>
          <t>YouTuber</t>
        </is>
      </c>
      <c r="D324" s="27" t="inlineStr">
        <is>
          <t>US</t>
        </is>
      </c>
      <c r="E324" s="27" t="inlineStr">
        <is>
          <t>English</t>
        </is>
      </c>
      <c r="F324" s="27" t="inlineStr">
        <is>
          <t>YouTube</t>
        </is>
      </c>
      <c r="G324" s="27" t="inlineStr">
        <is>
          <t>https://www.youtube.com/@henryoakley</t>
        </is>
      </c>
      <c r="H324" s="27" t="inlineStr">
        <is>
          <t>UCUS00320914359</t>
        </is>
      </c>
      <c r="I324" s="27" t="inlineStr">
        <is>
          <t>120,000</t>
        </is>
      </c>
      <c r="J324" s="27" t="inlineStr">
        <is>
          <t>2026-10-10</t>
        </is>
      </c>
      <c r="K324" s="27" t="inlineStr">
        <is>
          <t>https://www.youtube.com/watch?v=us00320</t>
        </is>
      </c>
      <c r="L324" s="27" t="n">
        <v>8</v>
      </c>
      <c r="M324" s="27" t="n">
        <v>30</v>
      </c>
      <c r="N324" s="27" t="inlineStr">
        <is>
          <t>Newsletter Subscription</t>
        </is>
      </c>
      <c r="O324" s="27" t="inlineStr">
        <is>
          <t>https://henryoakley.com/subscribe</t>
        </is>
      </c>
      <c r="P324" s="27" t="inlineStr">
        <is>
          <t>Shorts Repurposing Bottleneck</t>
        </is>
      </c>
      <c r="Q324" s="27" t="inlineStr">
        <is>
          <t>https://henryoakley.com/highlights</t>
        </is>
      </c>
      <c r="R324" s="27" t="inlineStr">
        <is>
          <t>Email</t>
        </is>
      </c>
      <c r="S324" s="27" t="inlineStr">
        <is>
          <t>contact@henryoakley.com</t>
        </is>
      </c>
      <c r="T324" s="27" t="inlineStr">
        <is>
          <t>https://henryoakley.com/contact</t>
        </is>
      </c>
      <c r="U324" s="27" t="inlineStr">
        <is>
          <t>LinkedIn</t>
        </is>
      </c>
      <c r="V324" s="27" t="inlineStr">
        <is>
          <t>tech &amp; ai frameworks, specifically regarding episode 21 on Tech &amp; AI workflow optimization</t>
        </is>
      </c>
      <c r="W324" s="27" t="inlineStr">
        <is>
          <t>Hi Henry, loved your recent piece on 'tech &amp; ai frameworks, specifically regarding episode 21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24" s="27" t="inlineStr">
        <is>
          <t>2026-10-18</t>
        </is>
      </c>
      <c r="Y324" s="27" t="inlineStr">
        <is>
          <t>C</t>
        </is>
      </c>
      <c r="Z324" s="27" t="n">
        <v>76.8</v>
      </c>
      <c r="AA324" s="27" t="inlineStr">
        <is>
          <t>Qualified</t>
        </is>
      </c>
      <c r="AB324" s="27" t="inlineStr"/>
      <c r="AC324" s="28">
        <f>IF(A324="","",IF(COUNTIF($H$5:$H$1004,H324)&gt;1,"DUPLICATE","UNIQUE"))</f>
        <v/>
      </c>
      <c r="AD324" s="28">
        <f>IF(A324="","",IF(AA324="Rejected",IF(AB324&lt;&gt;"","REJECTED","ADD REASON"),IF(AND(B324&lt;&gt;"",C324&lt;&gt;"",D324&lt;&gt;"",E324&lt;&gt;"",F324&lt;&gt;"",G324&lt;&gt;"",H324&lt;&gt;"",J324&lt;&gt;"",K324&lt;&gt;"",N324&lt;&gt;"",O324&lt;&gt;"",P324&lt;&gt;"",Q324&lt;&gt;"",R324&lt;&gt;"",S324&lt;&gt;"",T324&lt;&gt;"",V324&lt;&gt;"",W324&lt;&gt;"",X324&lt;&gt;"",Y324&lt;&gt;""),"COMPLETE","MISSING FIELDS")))</f>
        <v/>
      </c>
    </row>
    <row r="325" ht="15" customHeight="1" s="15">
      <c r="A325" s="27" t="inlineStr">
        <is>
          <t>LEAD-0321</t>
        </is>
      </c>
      <c r="B325" s="27" t="inlineStr">
        <is>
          <t>Henry Pemberton</t>
        </is>
      </c>
      <c r="C325" s="27" t="inlineStr">
        <is>
          <t>Podcaster</t>
        </is>
      </c>
      <c r="D325" s="27" t="inlineStr">
        <is>
          <t>US</t>
        </is>
      </c>
      <c r="E325" s="27" t="inlineStr">
        <is>
          <t>English</t>
        </is>
      </c>
      <c r="F325" s="27" t="inlineStr">
        <is>
          <t>Apple Podcasts</t>
        </is>
      </c>
      <c r="G325" s="27" t="inlineStr">
        <is>
          <t>https://podcasts.apple.com/us/podcast/henrypemberton/id1000321</t>
        </is>
      </c>
      <c r="H325" s="27" t="inlineStr">
        <is>
          <t>AP-US-1000321</t>
        </is>
      </c>
      <c r="I325" s="27" t="inlineStr">
        <is>
          <t>264,000</t>
        </is>
      </c>
      <c r="J325" s="27" t="inlineStr">
        <is>
          <t>2026-10-11</t>
        </is>
      </c>
      <c r="K325" s="27" t="inlineStr">
        <is>
          <t>https://henrypemberton.com/episodes/122</t>
        </is>
      </c>
      <c r="L325" s="27" t="n">
        <v>9</v>
      </c>
      <c r="M325" s="27" t="n">
        <v>31</v>
      </c>
      <c r="N325" s="27" t="inlineStr">
        <is>
          <t>Affiliate</t>
        </is>
      </c>
      <c r="O325" s="27" t="inlineStr">
        <is>
          <t>https://henrypemberton.com/resources</t>
        </is>
      </c>
      <c r="P325" s="27" t="inlineStr">
        <is>
          <t>Missing Video Captions &amp; Retention Clips</t>
        </is>
      </c>
      <c r="Q325" s="27" t="inlineStr">
        <is>
          <t>https://henrypemberton.com/highlights</t>
        </is>
      </c>
      <c r="R325" s="27" t="inlineStr">
        <is>
          <t>LinkedIn</t>
        </is>
      </c>
      <c r="S325" s="27" t="inlineStr">
        <is>
          <t>https://linkedin.com/in/henrypemberton</t>
        </is>
      </c>
      <c r="T325" s="27" t="inlineStr">
        <is>
          <t>https://henrypemberton.com/about</t>
        </is>
      </c>
      <c r="U325" s="27" t="inlineStr">
        <is>
          <t>Email</t>
        </is>
      </c>
      <c r="V325" s="27" t="inlineStr">
        <is>
          <t>saas &amp; product growth frameworks, specifically regarding episode 22 on SaaS &amp; Product Growth workflow optimization</t>
        </is>
      </c>
      <c r="W325" s="27" t="inlineStr">
        <is>
          <t>Hi Henry, loved your recent piece on 'saas &amp; product growth frameworks, specifically regarding episode 22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25" s="27" t="inlineStr">
        <is>
          <t>2026-10-18</t>
        </is>
      </c>
      <c r="Y325" s="27" t="inlineStr">
        <is>
          <t>C</t>
        </is>
      </c>
      <c r="Z325" s="27" t="n">
        <v>76.7</v>
      </c>
      <c r="AA325" s="27" t="inlineStr">
        <is>
          <t>Qualified</t>
        </is>
      </c>
      <c r="AB325" s="27" t="inlineStr"/>
      <c r="AC325" s="28">
        <f>IF(A325="","",IF(COUNTIF($H$5:$H$1004,H325)&gt;1,"DUPLICATE","UNIQUE"))</f>
        <v/>
      </c>
      <c r="AD325" s="28">
        <f>IF(A325="","",IF(AA325="Rejected",IF(AB325&lt;&gt;"","REJECTED","ADD REASON"),IF(AND(B325&lt;&gt;"",C325&lt;&gt;"",D325&lt;&gt;"",E325&lt;&gt;"",F325&lt;&gt;"",G325&lt;&gt;"",H325&lt;&gt;"",J325&lt;&gt;"",K325&lt;&gt;"",N325&lt;&gt;"",O325&lt;&gt;"",P325&lt;&gt;"",Q325&lt;&gt;"",R325&lt;&gt;"",S325&lt;&gt;"",T325&lt;&gt;"",V325&lt;&gt;"",W325&lt;&gt;"",X325&lt;&gt;"",Y325&lt;&gt;""),"COMPLETE","MISSING FIELDS")))</f>
        <v/>
      </c>
    </row>
    <row r="326" ht="15" customHeight="1" s="15">
      <c r="A326" s="27" t="inlineStr">
        <is>
          <t>LEAD-0322</t>
        </is>
      </c>
      <c r="B326" s="27" t="inlineStr">
        <is>
          <t>Henry Quatermain</t>
        </is>
      </c>
      <c r="C326" s="27" t="inlineStr">
        <is>
          <t>Expert-Led Creator</t>
        </is>
      </c>
      <c r="D326" s="27" t="inlineStr">
        <is>
          <t>US</t>
        </is>
      </c>
      <c r="E326" s="27" t="inlineStr">
        <is>
          <t>English</t>
        </is>
      </c>
      <c r="F326" s="27" t="inlineStr">
        <is>
          <t>YouTube</t>
        </is>
      </c>
      <c r="G326" s="27" t="inlineStr">
        <is>
          <t>https://www.youtube.com/@henryquatermain</t>
        </is>
      </c>
      <c r="H326" s="27" t="inlineStr">
        <is>
          <t>UCUS00322392227</t>
        </is>
      </c>
      <c r="I326" s="27" t="inlineStr">
        <is>
          <t>160,000</t>
        </is>
      </c>
      <c r="J326" s="27" t="inlineStr">
        <is>
          <t>2026-10-12</t>
        </is>
      </c>
      <c r="K326" s="27" t="inlineStr">
        <is>
          <t>https://www.youtube.com/watch?v=us00322</t>
        </is>
      </c>
      <c r="L326" s="27" t="n">
        <v>10</v>
      </c>
      <c r="M326" s="27" t="n">
        <v>32</v>
      </c>
      <c r="N326" s="27" t="inlineStr">
        <is>
          <t>Course</t>
        </is>
      </c>
      <c r="O326" s="27" t="inlineStr">
        <is>
          <t>https://henryquatermain.com/academy</t>
        </is>
      </c>
      <c r="P326" s="27" t="inlineStr">
        <is>
          <t>Editing Backlog &amp; Team Workflow Overhead</t>
        </is>
      </c>
      <c r="Q326" s="27" t="inlineStr">
        <is>
          <t>https://henryquatermain.com/highlights</t>
        </is>
      </c>
      <c r="R326" s="27" t="inlineStr">
        <is>
          <t>X (Twitter)</t>
        </is>
      </c>
      <c r="S326" s="27" t="inlineStr">
        <is>
          <t>https://x.com/henryquatermain</t>
        </is>
      </c>
      <c r="T326" s="27" t="inlineStr">
        <is>
          <t>https://henryquatermain.com/links</t>
        </is>
      </c>
      <c r="U326" s="27" t="inlineStr">
        <is>
          <t>LinkedIn</t>
        </is>
      </c>
      <c r="V326" s="27" t="inlineStr">
        <is>
          <t>creator business &amp; monetization frameworks, specifically regarding episode 23 on Creator Business &amp; Monetization workflow optimization</t>
        </is>
      </c>
      <c r="W326" s="27" t="inlineStr">
        <is>
          <t>Hi Henry, loved your recent piece on 'creator business &amp; monetization frameworks, specifically regarding episode 23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26" s="27" t="inlineStr">
        <is>
          <t>2026-10-18</t>
        </is>
      </c>
      <c r="Y326" s="27" t="inlineStr">
        <is>
          <t>C</t>
        </is>
      </c>
      <c r="Z326" s="27" t="n">
        <v>76.7</v>
      </c>
      <c r="AA326" s="27" t="inlineStr">
        <is>
          <t>Qualified</t>
        </is>
      </c>
      <c r="AB326" s="27" t="inlineStr"/>
      <c r="AC326" s="28">
        <f>IF(A326="","",IF(COUNTIF($H$5:$H$1004,H326)&gt;1,"DUPLICATE","UNIQUE"))</f>
        <v/>
      </c>
      <c r="AD326" s="28">
        <f>IF(A326="","",IF(AA326="Rejected",IF(AB326&lt;&gt;"","REJECTED","ADD REASON"),IF(AND(B326&lt;&gt;"",C326&lt;&gt;"",D326&lt;&gt;"",E326&lt;&gt;"",F326&lt;&gt;"",G326&lt;&gt;"",H326&lt;&gt;"",J326&lt;&gt;"",K326&lt;&gt;"",N326&lt;&gt;"",O326&lt;&gt;"",P326&lt;&gt;"",Q326&lt;&gt;"",R326&lt;&gt;"",S326&lt;&gt;"",T326&lt;&gt;"",V326&lt;&gt;"",W326&lt;&gt;"",X326&lt;&gt;"",Y326&lt;&gt;""),"COMPLETE","MISSING FIELDS")))</f>
        <v/>
      </c>
    </row>
    <row r="327" ht="15" customHeight="1" s="15">
      <c r="A327" s="27" t="inlineStr">
        <is>
          <t>LEAD-0323</t>
        </is>
      </c>
      <c r="B327" s="27" t="inlineStr">
        <is>
          <t>Henry Radcliffe</t>
        </is>
      </c>
      <c r="C327" s="27" t="inlineStr">
        <is>
          <t>YouTuber</t>
        </is>
      </c>
      <c r="D327" s="27" t="inlineStr">
        <is>
          <t>US</t>
        </is>
      </c>
      <c r="E327" s="27" t="inlineStr">
        <is>
          <t>English</t>
        </is>
      </c>
      <c r="F327" s="27" t="inlineStr">
        <is>
          <t>YouTube</t>
        </is>
      </c>
      <c r="G327" s="27" t="inlineStr">
        <is>
          <t>https://www.youtube.com/@henryradcliffe</t>
        </is>
      </c>
      <c r="H327" s="27" t="inlineStr">
        <is>
          <t>UCUS00323774278</t>
        </is>
      </c>
      <c r="I327" s="27" t="inlineStr">
        <is>
          <t>180,000</t>
        </is>
      </c>
      <c r="J327" s="27" t="inlineStr">
        <is>
          <t>2026-10-13</t>
        </is>
      </c>
      <c r="K327" s="27" t="inlineStr">
        <is>
          <t>https://www.youtube.com/watch?v=us00323</t>
        </is>
      </c>
      <c r="L327" s="27" t="n">
        <v>11</v>
      </c>
      <c r="M327" s="27" t="n">
        <v>33</v>
      </c>
      <c r="N327" s="27" t="inlineStr">
        <is>
          <t>Sponsor</t>
        </is>
      </c>
      <c r="O327" s="27" t="inlineStr">
        <is>
          <t>https://henryradcliffe.com/partners</t>
        </is>
      </c>
      <c r="P327" s="27" t="inlineStr">
        <is>
          <t>Shorts Repurposing Bottleneck</t>
        </is>
      </c>
      <c r="Q327" s="27" t="inlineStr">
        <is>
          <t>https://henryradcliffe.com/highlights</t>
        </is>
      </c>
      <c r="R327" s="27" t="inlineStr">
        <is>
          <t>Email</t>
        </is>
      </c>
      <c r="S327" s="27" t="inlineStr">
        <is>
          <t>hello@henryradcliffe.com</t>
        </is>
      </c>
      <c r="T327" s="27" t="inlineStr">
        <is>
          <t>https://henryradcliffe.com/work-with-me</t>
        </is>
      </c>
      <c r="U327" s="27" t="inlineStr">
        <is>
          <t>LinkedIn</t>
        </is>
      </c>
      <c r="V327" s="27" t="inlineStr">
        <is>
          <t>productivity &amp; personal systems frameworks, specifically regarding episode 24 on Productivity &amp; Personal Systems workflow optimization</t>
        </is>
      </c>
      <c r="W327" s="27" t="inlineStr">
        <is>
          <t>Hi Henry, loved your recent piece on 'productivity &amp; personal systems frameworks, specifically regarding episode 24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27" s="27" t="inlineStr">
        <is>
          <t>2026-10-18</t>
        </is>
      </c>
      <c r="Y327" s="27" t="inlineStr">
        <is>
          <t>C</t>
        </is>
      </c>
      <c r="Z327" s="27" t="n">
        <v>76.59999999999999</v>
      </c>
      <c r="AA327" s="27" t="inlineStr">
        <is>
          <t>Qualified</t>
        </is>
      </c>
      <c r="AB327" s="27" t="inlineStr"/>
      <c r="AC327" s="28">
        <f>IF(A327="","",IF(COUNTIF($H$5:$H$1004,H327)&gt;1,"DUPLICATE","UNIQUE"))</f>
        <v/>
      </c>
      <c r="AD327" s="28">
        <f>IF(A327="","",IF(AA327="Rejected",IF(AB327&lt;&gt;"","REJECTED","ADD REASON"),IF(AND(B327&lt;&gt;"",C327&lt;&gt;"",D327&lt;&gt;"",E327&lt;&gt;"",F327&lt;&gt;"",G327&lt;&gt;"",H327&lt;&gt;"",J327&lt;&gt;"",K327&lt;&gt;"",N327&lt;&gt;"",O327&lt;&gt;"",P327&lt;&gt;"",Q327&lt;&gt;"",R327&lt;&gt;"",S327&lt;&gt;"",T327&lt;&gt;"",V327&lt;&gt;"",W327&lt;&gt;"",X327&lt;&gt;"",Y327&lt;&gt;""),"COMPLETE","MISSING FIELDS")))</f>
        <v/>
      </c>
    </row>
    <row r="328" ht="15" customHeight="1" s="15">
      <c r="A328" s="27" t="inlineStr">
        <is>
          <t>LEAD-0324</t>
        </is>
      </c>
      <c r="B328" s="27" t="inlineStr">
        <is>
          <t>Henry Stanhope</t>
        </is>
      </c>
      <c r="C328" s="27" t="inlineStr">
        <is>
          <t>Podcaster</t>
        </is>
      </c>
      <c r="D328" s="27" t="inlineStr">
        <is>
          <t>US</t>
        </is>
      </c>
      <c r="E328" s="27" t="inlineStr">
        <is>
          <t>English</t>
        </is>
      </c>
      <c r="F328" s="27" t="inlineStr">
        <is>
          <t>Apple Podcasts</t>
        </is>
      </c>
      <c r="G328" s="27" t="inlineStr">
        <is>
          <t>https://podcasts.apple.com/us/podcast/henrystanhope/id1000324</t>
        </is>
      </c>
      <c r="H328" s="27" t="inlineStr">
        <is>
          <t>AP-US-1000324</t>
        </is>
      </c>
      <c r="I328" s="27" t="inlineStr">
        <is>
          <t>300,000</t>
        </is>
      </c>
      <c r="J328" s="27" t="inlineStr">
        <is>
          <t>2026-10-14</t>
        </is>
      </c>
      <c r="K328" s="27" t="inlineStr">
        <is>
          <t>https://henrystanhope.com/episodes/125</t>
        </is>
      </c>
      <c r="L328" s="27" t="n">
        <v>12</v>
      </c>
      <c r="M328" s="27" t="n">
        <v>16</v>
      </c>
      <c r="N328" s="27" t="inlineStr">
        <is>
          <t>Membership</t>
        </is>
      </c>
      <c r="O328" s="27" t="inlineStr">
        <is>
          <t>https://henrystanhope.com/community</t>
        </is>
      </c>
      <c r="P328" s="27" t="inlineStr">
        <is>
          <t>Inconsistent Cross-Platform Publishing</t>
        </is>
      </c>
      <c r="Q328" s="27" t="inlineStr">
        <is>
          <t>https://henrystanhope.com/highlights</t>
        </is>
      </c>
      <c r="R328" s="27" t="inlineStr">
        <is>
          <t>Email</t>
        </is>
      </c>
      <c r="S328" s="27" t="inlineStr">
        <is>
          <t>contact@henrystanhope.com</t>
        </is>
      </c>
      <c r="T328" s="27" t="inlineStr">
        <is>
          <t>https://henrystanhope.com/contact</t>
        </is>
      </c>
      <c r="U328" s="27" t="inlineStr">
        <is>
          <t>LinkedIn</t>
        </is>
      </c>
      <c r="V328" s="27" t="inlineStr">
        <is>
          <t>leadership &amp; team ops frameworks, specifically regarding episode 25 on Leadership &amp; Team Ops workflow optimization</t>
        </is>
      </c>
      <c r="W328" s="27" t="inlineStr">
        <is>
          <t>Hi Henry, loved your recent piece on 'leadership &amp; team ops frameworks, specifically regarding episode 25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28" s="27" t="inlineStr">
        <is>
          <t>2026-10-18</t>
        </is>
      </c>
      <c r="Y328" s="27" t="inlineStr">
        <is>
          <t>C</t>
        </is>
      </c>
      <c r="Z328" s="27" t="n">
        <v>76.59999999999999</v>
      </c>
      <c r="AA328" s="27" t="inlineStr">
        <is>
          <t>Qualified</t>
        </is>
      </c>
      <c r="AB328" s="27" t="inlineStr"/>
      <c r="AC328" s="28">
        <f>IF(A328="","",IF(COUNTIF($H$5:$H$1004,H328)&gt;1,"DUPLICATE","UNIQUE"))</f>
        <v/>
      </c>
      <c r="AD328" s="28">
        <f>IF(A328="","",IF(AA328="Rejected",IF(AB328&lt;&gt;"","REJECTED","ADD REASON"),IF(AND(B328&lt;&gt;"",C328&lt;&gt;"",D328&lt;&gt;"",E328&lt;&gt;"",F328&lt;&gt;"",G328&lt;&gt;"",H328&lt;&gt;"",J328&lt;&gt;"",K328&lt;&gt;"",N328&lt;&gt;"",O328&lt;&gt;"",P328&lt;&gt;"",Q328&lt;&gt;"",R328&lt;&gt;"",S328&lt;&gt;"",T328&lt;&gt;"",V328&lt;&gt;"",W328&lt;&gt;"",X328&lt;&gt;"",Y328&lt;&gt;""),"COMPLETE","MISSING FIELDS")))</f>
        <v/>
      </c>
    </row>
    <row r="329" ht="15" customHeight="1" s="15">
      <c r="A329" s="27" t="inlineStr">
        <is>
          <t>LEAD-0325</t>
        </is>
      </c>
      <c r="B329" s="27" t="inlineStr">
        <is>
          <t>Henry Thackery</t>
        </is>
      </c>
      <c r="C329" s="27" t="inlineStr">
        <is>
          <t>Expert-Led Creator</t>
        </is>
      </c>
      <c r="D329" s="27" t="inlineStr">
        <is>
          <t>US</t>
        </is>
      </c>
      <c r="E329" s="27" t="inlineStr">
        <is>
          <t>English</t>
        </is>
      </c>
      <c r="F329" s="27" t="inlineStr">
        <is>
          <t>LinkedIn</t>
        </is>
      </c>
      <c r="G329" s="27" t="inlineStr">
        <is>
          <t>https://www.linkedin.com/in/henrythackery</t>
        </is>
      </c>
      <c r="H329" s="27" t="inlineStr">
        <is>
          <t>LI-henrythackery-0325</t>
        </is>
      </c>
      <c r="I329" s="27" t="inlineStr">
        <is>
          <t>156,000</t>
        </is>
      </c>
      <c r="J329" s="27" t="inlineStr">
        <is>
          <t>2026-10-15</t>
        </is>
      </c>
      <c r="K329" s="27" t="inlineStr">
        <is>
          <t>https://henrythackery.com/posts/26</t>
        </is>
      </c>
      <c r="L329" s="27" t="n">
        <v>13</v>
      </c>
      <c r="M329" s="27" t="n">
        <v>17</v>
      </c>
      <c r="N329" s="27" t="inlineStr">
        <is>
          <t>Product</t>
        </is>
      </c>
      <c r="O329" s="27" t="inlineStr">
        <is>
          <t>https://henrythackery.com/shop</t>
        </is>
      </c>
      <c r="P329" s="27" t="inlineStr">
        <is>
          <t>Editing Backlog &amp; Team Workflow Overhead</t>
        </is>
      </c>
      <c r="Q329" s="27" t="inlineStr">
        <is>
          <t>https://henrythackery.com/highlights</t>
        </is>
      </c>
      <c r="R329" s="27" t="inlineStr">
        <is>
          <t>LinkedIn</t>
        </is>
      </c>
      <c r="S329" s="27" t="inlineStr">
        <is>
          <t>https://linkedin.com/in/henrythackery</t>
        </is>
      </c>
      <c r="T329" s="27" t="inlineStr">
        <is>
          <t>https://henrythackery.com/about</t>
        </is>
      </c>
      <c r="U329" s="27" t="inlineStr">
        <is>
          <t>Email</t>
        </is>
      </c>
      <c r="V329" s="27" t="inlineStr">
        <is>
          <t>b2b marketing &amp; sales frameworks, specifically regarding episode 26 on B2B Marketing &amp; Sales workflow optimization</t>
        </is>
      </c>
      <c r="W329" s="27" t="inlineStr">
        <is>
          <t>Hi Henry, loved your recent piece on 'b2b marketing &amp; sales frameworks, specifically regarding episode 26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29" s="27" t="inlineStr">
        <is>
          <t>2026-10-18</t>
        </is>
      </c>
      <c r="Y329" s="27" t="inlineStr">
        <is>
          <t>C</t>
        </is>
      </c>
      <c r="Z329" s="27" t="n">
        <v>76.5</v>
      </c>
      <c r="AA329" s="27" t="inlineStr">
        <is>
          <t>Qualified</t>
        </is>
      </c>
      <c r="AB329" s="27" t="inlineStr"/>
      <c r="AC329" s="28">
        <f>IF(A329="","",IF(COUNTIF($H$5:$H$1004,H329)&gt;1,"DUPLICATE","UNIQUE"))</f>
        <v/>
      </c>
      <c r="AD329" s="28">
        <f>IF(A329="","",IF(AA329="Rejected",IF(AB329&lt;&gt;"","REJECTED","ADD REASON"),IF(AND(B329&lt;&gt;"",C329&lt;&gt;"",D329&lt;&gt;"",E329&lt;&gt;"",F329&lt;&gt;"",G329&lt;&gt;"",H329&lt;&gt;"",J329&lt;&gt;"",K329&lt;&gt;"",N329&lt;&gt;"",O329&lt;&gt;"",P329&lt;&gt;"",Q329&lt;&gt;"",R329&lt;&gt;"",S329&lt;&gt;"",T329&lt;&gt;"",V329&lt;&gt;"",W329&lt;&gt;"",X329&lt;&gt;"",Y329&lt;&gt;""),"COMPLETE","MISSING FIELDS")))</f>
        <v/>
      </c>
    </row>
    <row r="330" ht="15" customHeight="1" s="15">
      <c r="A330" s="27" t="inlineStr">
        <is>
          <t>LEAD-0326</t>
        </is>
      </c>
      <c r="B330" s="27" t="inlineStr">
        <is>
          <t>Henry Underwood</t>
        </is>
      </c>
      <c r="C330" s="27" t="inlineStr">
        <is>
          <t>YouTuber</t>
        </is>
      </c>
      <c r="D330" s="27" t="inlineStr">
        <is>
          <t>US</t>
        </is>
      </c>
      <c r="E330" s="27" t="inlineStr">
        <is>
          <t>English</t>
        </is>
      </c>
      <c r="F330" s="27" t="inlineStr">
        <is>
          <t>YouTube</t>
        </is>
      </c>
      <c r="G330" s="27" t="inlineStr">
        <is>
          <t>https://www.youtube.com/@henryunderwood</t>
        </is>
      </c>
      <c r="H330" s="27" t="inlineStr">
        <is>
          <t>UCUS00326235177</t>
        </is>
      </c>
      <c r="I330" s="27" t="inlineStr">
        <is>
          <t>240,000</t>
        </is>
      </c>
      <c r="J330" s="27" t="inlineStr">
        <is>
          <t>2026-10-16</t>
        </is>
      </c>
      <c r="K330" s="27" t="inlineStr">
        <is>
          <t>https://www.youtube.com/watch?v=us00326</t>
        </is>
      </c>
      <c r="L330" s="27" t="n">
        <v>14</v>
      </c>
      <c r="M330" s="27" t="n">
        <v>18</v>
      </c>
      <c r="N330" s="27" t="inlineStr">
        <is>
          <t>Consulting</t>
        </is>
      </c>
      <c r="O330" s="27" t="inlineStr">
        <is>
          <t>https://henryunderwood.com/advisory</t>
        </is>
      </c>
      <c r="P330" s="27" t="inlineStr">
        <is>
          <t>Multilingual Audio Dubbing</t>
        </is>
      </c>
      <c r="Q330" s="27" t="inlineStr">
        <is>
          <t>https://henryunderwood.com/highlights</t>
        </is>
      </c>
      <c r="R330" s="27" t="inlineStr">
        <is>
          <t>X (Twitter)</t>
        </is>
      </c>
      <c r="S330" s="27" t="inlineStr">
        <is>
          <t>https://x.com/henryunderwood</t>
        </is>
      </c>
      <c r="T330" s="27" t="inlineStr">
        <is>
          <t>https://henryunderwood.com/links</t>
        </is>
      </c>
      <c r="U330" s="27" t="inlineStr">
        <is>
          <t>LinkedIn</t>
        </is>
      </c>
      <c r="V330" s="27" t="inlineStr">
        <is>
          <t>finance &amp; wealth engineering frameworks, specifically regarding episode 27 on Finance &amp; Wealth Engineering workflow optimization</t>
        </is>
      </c>
      <c r="W330" s="27" t="inlineStr">
        <is>
          <t>Hi Henry,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30" s="27" t="inlineStr">
        <is>
          <t>2026-10-18</t>
        </is>
      </c>
      <c r="Y330" s="27" t="inlineStr">
        <is>
          <t>C</t>
        </is>
      </c>
      <c r="Z330" s="27" t="n">
        <v>76.40000000000001</v>
      </c>
      <c r="AA330" s="27" t="inlineStr">
        <is>
          <t>Qualified</t>
        </is>
      </c>
      <c r="AB330" s="27" t="inlineStr"/>
      <c r="AC330" s="28">
        <f>IF(A330="","",IF(COUNTIF($H$5:$H$1004,H330)&gt;1,"DUPLICATE","UNIQUE"))</f>
        <v/>
      </c>
      <c r="AD330" s="28">
        <f>IF(A330="","",IF(AA330="Rejected",IF(AB330&lt;&gt;"","REJECTED","ADD REASON"),IF(AND(B330&lt;&gt;"",C330&lt;&gt;"",D330&lt;&gt;"",E330&lt;&gt;"",F330&lt;&gt;"",G330&lt;&gt;"",H330&lt;&gt;"",J330&lt;&gt;"",K330&lt;&gt;"",N330&lt;&gt;"",O330&lt;&gt;"",P330&lt;&gt;"",Q330&lt;&gt;"",R330&lt;&gt;"",S330&lt;&gt;"",T330&lt;&gt;"",V330&lt;&gt;"",W330&lt;&gt;"",X330&lt;&gt;"",Y330&lt;&gt;""),"COMPLETE","MISSING FIELDS")))</f>
        <v/>
      </c>
    </row>
    <row r="331" ht="15" customHeight="1" s="15">
      <c r="A331" s="27" t="inlineStr">
        <is>
          <t>LEAD-0327</t>
        </is>
      </c>
      <c r="B331" s="27" t="inlineStr">
        <is>
          <t>Henry Vanguard</t>
        </is>
      </c>
      <c r="C331" s="27" t="inlineStr">
        <is>
          <t>Podcaster</t>
        </is>
      </c>
      <c r="D331" s="27" t="inlineStr">
        <is>
          <t>US</t>
        </is>
      </c>
      <c r="E331" s="27" t="inlineStr">
        <is>
          <t>English</t>
        </is>
      </c>
      <c r="F331" s="27" t="inlineStr">
        <is>
          <t>Apple Podcasts</t>
        </is>
      </c>
      <c r="G331" s="27" t="inlineStr">
        <is>
          <t>https://podcasts.apple.com/us/podcast/henryvanguard/id1000327</t>
        </is>
      </c>
      <c r="H331" s="27" t="inlineStr">
        <is>
          <t>AP-US-1000327</t>
        </is>
      </c>
      <c r="I331" s="27" t="inlineStr">
        <is>
          <t>36,000</t>
        </is>
      </c>
      <c r="J331" s="27" t="inlineStr">
        <is>
          <t>2026-10-17</t>
        </is>
      </c>
      <c r="K331" s="27" t="inlineStr">
        <is>
          <t>https://henryvanguard.com/episodes/128</t>
        </is>
      </c>
      <c r="L331" s="27" t="n">
        <v>15</v>
      </c>
      <c r="M331" s="27" t="n">
        <v>19</v>
      </c>
      <c r="N331" s="27" t="inlineStr">
        <is>
          <t>Newsletter Subscription</t>
        </is>
      </c>
      <c r="O331" s="27" t="inlineStr">
        <is>
          <t>https://henryvanguard.com/subscribe</t>
        </is>
      </c>
      <c r="P331" s="27" t="inlineStr">
        <is>
          <t>Multilingual Audio Dubbing</t>
        </is>
      </c>
      <c r="Q331" s="27" t="inlineStr">
        <is>
          <t>https://henryvanguard.com/highlights</t>
        </is>
      </c>
      <c r="R331" s="27" t="inlineStr">
        <is>
          <t>Email</t>
        </is>
      </c>
      <c r="S331" s="27" t="inlineStr">
        <is>
          <t>hello@henryvanguard.com</t>
        </is>
      </c>
      <c r="T331" s="27" t="inlineStr">
        <is>
          <t>https://henryvanguard.com/work-with-me</t>
        </is>
      </c>
      <c r="U331" s="27" t="inlineStr">
        <is>
          <t>LinkedIn</t>
        </is>
      </c>
      <c r="V331" s="27" t="inlineStr">
        <is>
          <t>health &amp; longevity science frameworks, specifically regarding episode 28 on Health &amp; Longevity Science workflow optimization</t>
        </is>
      </c>
      <c r="W331" s="27" t="inlineStr">
        <is>
          <t>Hi Henry,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31" s="27" t="inlineStr">
        <is>
          <t>2026-10-18</t>
        </is>
      </c>
      <c r="Y331" s="27" t="inlineStr">
        <is>
          <t>C</t>
        </is>
      </c>
      <c r="Z331" s="27" t="n">
        <v>76.40000000000001</v>
      </c>
      <c r="AA331" s="27" t="inlineStr">
        <is>
          <t>Qualified</t>
        </is>
      </c>
      <c r="AB331" s="27" t="inlineStr"/>
      <c r="AC331" s="28">
        <f>IF(A331="","",IF(COUNTIF($H$5:$H$1004,H331)&gt;1,"DUPLICATE","UNIQUE"))</f>
        <v/>
      </c>
      <c r="AD331" s="28">
        <f>IF(A331="","",IF(AA331="Rejected",IF(AB331&lt;&gt;"","REJECTED","ADD REASON"),IF(AND(B331&lt;&gt;"",C331&lt;&gt;"",D331&lt;&gt;"",E331&lt;&gt;"",F331&lt;&gt;"",G331&lt;&gt;"",H331&lt;&gt;"",J331&lt;&gt;"",K331&lt;&gt;"",N331&lt;&gt;"",O331&lt;&gt;"",P331&lt;&gt;"",Q331&lt;&gt;"",R331&lt;&gt;"",S331&lt;&gt;"",T331&lt;&gt;"",V331&lt;&gt;"",W331&lt;&gt;"",X331&lt;&gt;"",Y331&lt;&gt;""),"COMPLETE","MISSING FIELDS")))</f>
        <v/>
      </c>
    </row>
    <row r="332" ht="15" customHeight="1" s="15">
      <c r="A332" s="27" t="inlineStr">
        <is>
          <t>LEAD-0328</t>
        </is>
      </c>
      <c r="B332" s="27" t="inlineStr">
        <is>
          <t>Henry Waverly</t>
        </is>
      </c>
      <c r="C332" s="27" t="inlineStr">
        <is>
          <t>YouTuber</t>
        </is>
      </c>
      <c r="D332" s="27" t="inlineStr">
        <is>
          <t>US</t>
        </is>
      </c>
      <c r="E332" s="27" t="inlineStr">
        <is>
          <t>English</t>
        </is>
      </c>
      <c r="F332" s="27" t="inlineStr">
        <is>
          <t>YouTube</t>
        </is>
      </c>
      <c r="G332" s="27" t="inlineStr">
        <is>
          <t>https://www.youtube.com/@henrywaverly</t>
        </is>
      </c>
      <c r="H332" s="27" t="inlineStr">
        <is>
          <t>UCUS00328522657</t>
        </is>
      </c>
      <c r="I332" s="27" t="inlineStr">
        <is>
          <t>280,000</t>
        </is>
      </c>
      <c r="J332" s="27" t="inlineStr">
        <is>
          <t>2026-10-10</t>
        </is>
      </c>
      <c r="K332" s="27" t="inlineStr">
        <is>
          <t>https://www.youtube.com/watch?v=us00328</t>
        </is>
      </c>
      <c r="L332" s="27" t="n">
        <v>16</v>
      </c>
      <c r="M332" s="27" t="n">
        <v>20</v>
      </c>
      <c r="N332" s="27" t="inlineStr">
        <is>
          <t>Affiliate</t>
        </is>
      </c>
      <c r="O332" s="27" t="inlineStr">
        <is>
          <t>https://henrywaverly.com/resources</t>
        </is>
      </c>
      <c r="P332" s="27" t="inlineStr">
        <is>
          <t>Missing Video Captions &amp; Retention Clips</t>
        </is>
      </c>
      <c r="Q332" s="27" t="inlineStr">
        <is>
          <t>https://henrywaverly.com/highlights</t>
        </is>
      </c>
      <c r="R332" s="27" t="inlineStr">
        <is>
          <t>Email</t>
        </is>
      </c>
      <c r="S332" s="27" t="inlineStr">
        <is>
          <t>contact@henrywaverly.com</t>
        </is>
      </c>
      <c r="T332" s="27" t="inlineStr">
        <is>
          <t>https://henrywaverly.com/contact</t>
        </is>
      </c>
      <c r="U332" s="27" t="inlineStr">
        <is>
          <t>LinkedIn</t>
        </is>
      </c>
      <c r="V332" s="27" t="inlineStr">
        <is>
          <t>education &amp; applied coding frameworks, specifically regarding episode 29 on Education &amp; Applied Coding workflow optimization</t>
        </is>
      </c>
      <c r="W332" s="27" t="inlineStr">
        <is>
          <t>Hi Henry,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32" s="27" t="inlineStr">
        <is>
          <t>2026-10-18</t>
        </is>
      </c>
      <c r="Y332" s="27" t="inlineStr">
        <is>
          <t>C</t>
        </is>
      </c>
      <c r="Z332" s="27" t="n">
        <v>76.3</v>
      </c>
      <c r="AA332" s="27" t="inlineStr">
        <is>
          <t>Qualified</t>
        </is>
      </c>
      <c r="AB332" s="27" t="inlineStr"/>
      <c r="AC332" s="28">
        <f>IF(A332="","",IF(COUNTIF($H$5:$H$1004,H332)&gt;1,"DUPLICATE","UNIQUE"))</f>
        <v/>
      </c>
      <c r="AD332" s="28">
        <f>IF(A332="","",IF(AA332="Rejected",IF(AB332&lt;&gt;"","REJECTED","ADD REASON"),IF(AND(B332&lt;&gt;"",C332&lt;&gt;"",D332&lt;&gt;"",E332&lt;&gt;"",F332&lt;&gt;"",G332&lt;&gt;"",H332&lt;&gt;"",J332&lt;&gt;"",K332&lt;&gt;"",N332&lt;&gt;"",O332&lt;&gt;"",P332&lt;&gt;"",Q332&lt;&gt;"",R332&lt;&gt;"",S332&lt;&gt;"",T332&lt;&gt;"",V332&lt;&gt;"",W332&lt;&gt;"",X332&lt;&gt;"",Y332&lt;&gt;""),"COMPLETE","MISSING FIELDS")))</f>
        <v/>
      </c>
    </row>
    <row r="333" ht="15" customHeight="1" s="15">
      <c r="A333" s="27" t="inlineStr">
        <is>
          <t>LEAD-0329</t>
        </is>
      </c>
      <c r="B333" s="27" t="inlineStr">
        <is>
          <t>Henry Yardley</t>
        </is>
      </c>
      <c r="C333" s="27" t="inlineStr">
        <is>
          <t>Podcaster</t>
        </is>
      </c>
      <c r="D333" s="27" t="inlineStr">
        <is>
          <t>US</t>
        </is>
      </c>
      <c r="E333" s="27" t="inlineStr">
        <is>
          <t>English</t>
        </is>
      </c>
      <c r="F333" s="27" t="inlineStr">
        <is>
          <t>Apple Podcasts</t>
        </is>
      </c>
      <c r="G333" s="27" t="inlineStr">
        <is>
          <t>https://podcasts.apple.com/us/podcast/henryyardley/id1000329</t>
        </is>
      </c>
      <c r="H333" s="27" t="inlineStr">
        <is>
          <t>AP-US-1000329</t>
        </is>
      </c>
      <c r="I333" s="27" t="inlineStr">
        <is>
          <t>60,000</t>
        </is>
      </c>
      <c r="J333" s="27" t="inlineStr">
        <is>
          <t>2026-10-11</t>
        </is>
      </c>
      <c r="K333" s="27" t="inlineStr">
        <is>
          <t>https://henryyardley.com/episodes/130</t>
        </is>
      </c>
      <c r="L333" s="27" t="n">
        <v>17</v>
      </c>
      <c r="M333" s="27" t="n">
        <v>21</v>
      </c>
      <c r="N333" s="27" t="inlineStr">
        <is>
          <t>Course</t>
        </is>
      </c>
      <c r="O333" s="27" t="inlineStr">
        <is>
          <t>https://henryyardley.com/academy</t>
        </is>
      </c>
      <c r="P333" s="27" t="inlineStr">
        <is>
          <t>Shorts Repurposing Bottleneck</t>
        </is>
      </c>
      <c r="Q333" s="27" t="inlineStr">
        <is>
          <t>https://henryyardley.com/highlights</t>
        </is>
      </c>
      <c r="R333" s="27" t="inlineStr">
        <is>
          <t>LinkedIn</t>
        </is>
      </c>
      <c r="S333" s="27" t="inlineStr">
        <is>
          <t>https://linkedin.com/in/henryyardley</t>
        </is>
      </c>
      <c r="T333" s="27" t="inlineStr">
        <is>
          <t>https://henryyardley.com/about</t>
        </is>
      </c>
      <c r="U333" s="27" t="inlineStr">
        <is>
          <t>Email</t>
        </is>
      </c>
      <c r="V333" s="27" t="inlineStr">
        <is>
          <t>e-commerce &amp; digital brands frameworks, specifically regarding episode 30 on E-Commerce &amp; Digital Brands workflow optimization</t>
        </is>
      </c>
      <c r="W333" s="27" t="inlineStr">
        <is>
          <t>Hi Henry,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33" s="27" t="inlineStr">
        <is>
          <t>2026-10-18</t>
        </is>
      </c>
      <c r="Y333" s="27" t="inlineStr">
        <is>
          <t>C</t>
        </is>
      </c>
      <c r="Z333" s="27" t="n">
        <v>76.3</v>
      </c>
      <c r="AA333" s="27" t="inlineStr">
        <is>
          <t>Qualified</t>
        </is>
      </c>
      <c r="AB333" s="27" t="inlineStr"/>
      <c r="AC333" s="28">
        <f>IF(A333="","",IF(COUNTIF($H$5:$H$1004,H333)&gt;1,"DUPLICATE","UNIQUE"))</f>
        <v/>
      </c>
      <c r="AD333" s="28">
        <f>IF(A333="","",IF(AA333="Rejected",IF(AB333&lt;&gt;"","REJECTED","ADD REASON"),IF(AND(B333&lt;&gt;"",C333&lt;&gt;"",D333&lt;&gt;"",E333&lt;&gt;"",F333&lt;&gt;"",G333&lt;&gt;"",H333&lt;&gt;"",J333&lt;&gt;"",K333&lt;&gt;"",N333&lt;&gt;"",O333&lt;&gt;"",P333&lt;&gt;"",Q333&lt;&gt;"",R333&lt;&gt;"",S333&lt;&gt;"",T333&lt;&gt;"",V333&lt;&gt;"",W333&lt;&gt;"",X333&lt;&gt;"",Y333&lt;&gt;""),"COMPLETE","MISSING FIELDS")))</f>
        <v/>
      </c>
    </row>
    <row r="334" ht="15" customHeight="1" s="15">
      <c r="A334" s="27" t="inlineStr">
        <is>
          <t>LEAD-0330</t>
        </is>
      </c>
      <c r="B334" s="27" t="inlineStr">
        <is>
          <t>Henry Zimmerman</t>
        </is>
      </c>
      <c r="C334" s="27" t="inlineStr">
        <is>
          <t>YouTuber</t>
        </is>
      </c>
      <c r="D334" s="27" t="inlineStr">
        <is>
          <t>US</t>
        </is>
      </c>
      <c r="E334" s="27" t="inlineStr">
        <is>
          <t>English</t>
        </is>
      </c>
      <c r="F334" s="27" t="inlineStr">
        <is>
          <t>YouTube</t>
        </is>
      </c>
      <c r="G334" s="27" t="inlineStr">
        <is>
          <t>https://www.youtube.com/@henryzimmerman</t>
        </is>
      </c>
      <c r="H334" s="27" t="inlineStr">
        <is>
          <t>UCUS00330772506</t>
        </is>
      </c>
      <c r="I334" s="27" t="inlineStr">
        <is>
          <t>320,000</t>
        </is>
      </c>
      <c r="J334" s="27" t="inlineStr">
        <is>
          <t>2026-10-12</t>
        </is>
      </c>
      <c r="K334" s="27" t="inlineStr">
        <is>
          <t>https://www.youtube.com/watch?v=us00330</t>
        </is>
      </c>
      <c r="L334" s="27" t="n">
        <v>8</v>
      </c>
      <c r="M334" s="27" t="n">
        <v>22</v>
      </c>
      <c r="N334" s="27" t="inlineStr">
        <is>
          <t>Sponsor</t>
        </is>
      </c>
      <c r="O334" s="27" t="inlineStr">
        <is>
          <t>https://henryzimmerman.com/partners</t>
        </is>
      </c>
      <c r="P334" s="27" t="inlineStr">
        <is>
          <t>Shorts Repurposing Bottleneck</t>
        </is>
      </c>
      <c r="Q334" s="27" t="inlineStr">
        <is>
          <t>https://henryzimmerman.com/highlights</t>
        </is>
      </c>
      <c r="R334" s="27" t="inlineStr">
        <is>
          <t>X (Twitter)</t>
        </is>
      </c>
      <c r="S334" s="27" t="inlineStr">
        <is>
          <t>https://x.com/henryzimmerman</t>
        </is>
      </c>
      <c r="T334" s="27" t="inlineStr">
        <is>
          <t>https://henryzimmerman.com/links</t>
        </is>
      </c>
      <c r="U334" s="27" t="inlineStr">
        <is>
          <t>LinkedIn</t>
        </is>
      </c>
      <c r="V334" s="27" t="inlineStr">
        <is>
          <t>tech &amp; ai frameworks, specifically regarding episode 31 on Tech &amp; AI workflow optimization</t>
        </is>
      </c>
      <c r="W334" s="27" t="inlineStr">
        <is>
          <t>Hi Henry,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34" s="27" t="inlineStr">
        <is>
          <t>2026-10-18</t>
        </is>
      </c>
      <c r="Y334" s="27" t="inlineStr">
        <is>
          <t>C</t>
        </is>
      </c>
      <c r="Z334" s="27" t="n">
        <v>76.2</v>
      </c>
      <c r="AA334" s="27" t="inlineStr">
        <is>
          <t>Qualified</t>
        </is>
      </c>
      <c r="AB334" s="27" t="inlineStr"/>
      <c r="AC334" s="28">
        <f>IF(A334="","",IF(COUNTIF($H$5:$H$1004,H334)&gt;1,"DUPLICATE","UNIQUE"))</f>
        <v/>
      </c>
      <c r="AD334" s="28">
        <f>IF(A334="","",IF(AA334="Rejected",IF(AB334&lt;&gt;"","REJECTED","ADD REASON"),IF(AND(B334&lt;&gt;"",C334&lt;&gt;"",D334&lt;&gt;"",E334&lt;&gt;"",F334&lt;&gt;"",G334&lt;&gt;"",H334&lt;&gt;"",J334&lt;&gt;"",K334&lt;&gt;"",N334&lt;&gt;"",O334&lt;&gt;"",P334&lt;&gt;"",Q334&lt;&gt;"",R334&lt;&gt;"",S334&lt;&gt;"",T334&lt;&gt;"",V334&lt;&gt;"",W334&lt;&gt;"",X334&lt;&gt;"",Y334&lt;&gt;""),"COMPLETE","MISSING FIELDS")))</f>
        <v/>
      </c>
    </row>
    <row r="335" ht="15" customHeight="1" s="15">
      <c r="A335" s="27" t="inlineStr">
        <is>
          <t>LEAD-0331</t>
        </is>
      </c>
      <c r="B335" s="27" t="inlineStr">
        <is>
          <t>Henry Sterling</t>
        </is>
      </c>
      <c r="C335" s="27" t="inlineStr">
        <is>
          <t>Podcaster</t>
        </is>
      </c>
      <c r="D335" s="27" t="inlineStr">
        <is>
          <t>US</t>
        </is>
      </c>
      <c r="E335" s="27" t="inlineStr">
        <is>
          <t>English</t>
        </is>
      </c>
      <c r="F335" s="27" t="inlineStr">
        <is>
          <t>Apple Podcasts</t>
        </is>
      </c>
      <c r="G335" s="27" t="inlineStr">
        <is>
          <t>https://podcasts.apple.com/us/podcast/henrysterling/id1000331</t>
        </is>
      </c>
      <c r="H335" s="27" t="inlineStr">
        <is>
          <t>AP-US-1000331</t>
        </is>
      </c>
      <c r="I335" s="27" t="inlineStr">
        <is>
          <t>84,000</t>
        </is>
      </c>
      <c r="J335" s="27" t="inlineStr">
        <is>
          <t>2026-10-13</t>
        </is>
      </c>
      <c r="K335" s="27" t="inlineStr">
        <is>
          <t>https://henrysterling.com/episodes/132</t>
        </is>
      </c>
      <c r="L335" s="27" t="n">
        <v>9</v>
      </c>
      <c r="M335" s="27" t="n">
        <v>23</v>
      </c>
      <c r="N335" s="27" t="inlineStr">
        <is>
          <t>Membership</t>
        </is>
      </c>
      <c r="O335" s="27" t="inlineStr">
        <is>
          <t>https://henrysterling.com/community</t>
        </is>
      </c>
      <c r="P335" s="27" t="inlineStr">
        <is>
          <t>Missing Video Captions &amp; Retention Clips</t>
        </is>
      </c>
      <c r="Q335" s="27" t="inlineStr">
        <is>
          <t>https://henrysterling.com/highlights</t>
        </is>
      </c>
      <c r="R335" s="27" t="inlineStr">
        <is>
          <t>Email</t>
        </is>
      </c>
      <c r="S335" s="27" t="inlineStr">
        <is>
          <t>hello@henrysterling.com</t>
        </is>
      </c>
      <c r="T335" s="27" t="inlineStr">
        <is>
          <t>https://henrysterling.com/work-with-me</t>
        </is>
      </c>
      <c r="U335" s="27" t="inlineStr">
        <is>
          <t>LinkedIn</t>
        </is>
      </c>
      <c r="V335" s="27" t="inlineStr">
        <is>
          <t>saas &amp; product growth frameworks, specifically regarding episode 32 on SaaS &amp; Product Growth workflow optimization</t>
        </is>
      </c>
      <c r="W335" s="27" t="inlineStr">
        <is>
          <t>Hi Henry,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35" s="27" t="inlineStr">
        <is>
          <t>2026-10-18</t>
        </is>
      </c>
      <c r="Y335" s="27" t="inlineStr">
        <is>
          <t>C</t>
        </is>
      </c>
      <c r="Z335" s="27" t="n">
        <v>76.09999999999999</v>
      </c>
      <c r="AA335" s="27" t="inlineStr">
        <is>
          <t>Qualified</t>
        </is>
      </c>
      <c r="AB335" s="27" t="inlineStr"/>
      <c r="AC335" s="28">
        <f>IF(A335="","",IF(COUNTIF($H$5:$H$1004,H335)&gt;1,"DUPLICATE","UNIQUE"))</f>
        <v/>
      </c>
      <c r="AD335" s="28">
        <f>IF(A335="","",IF(AA335="Rejected",IF(AB335&lt;&gt;"","REJECTED","ADD REASON"),IF(AND(B335&lt;&gt;"",C335&lt;&gt;"",D335&lt;&gt;"",E335&lt;&gt;"",F335&lt;&gt;"",G335&lt;&gt;"",H335&lt;&gt;"",J335&lt;&gt;"",K335&lt;&gt;"",N335&lt;&gt;"",O335&lt;&gt;"",P335&lt;&gt;"",Q335&lt;&gt;"",R335&lt;&gt;"",S335&lt;&gt;"",T335&lt;&gt;"",V335&lt;&gt;"",W335&lt;&gt;"",X335&lt;&gt;"",Y335&lt;&gt;""),"COMPLETE","MISSING FIELDS")))</f>
        <v/>
      </c>
    </row>
    <row r="336" ht="15" customHeight="1" s="15">
      <c r="A336" s="27" t="inlineStr">
        <is>
          <t>LEAD-0332</t>
        </is>
      </c>
      <c r="B336" s="27" t="inlineStr">
        <is>
          <t>Henry Cross</t>
        </is>
      </c>
      <c r="C336" s="27" t="inlineStr">
        <is>
          <t>Expert-Led Creator</t>
        </is>
      </c>
      <c r="D336" s="27" t="inlineStr">
        <is>
          <t>US</t>
        </is>
      </c>
      <c r="E336" s="27" t="inlineStr">
        <is>
          <t>English</t>
        </is>
      </c>
      <c r="F336" s="27" t="inlineStr">
        <is>
          <t>YouTube</t>
        </is>
      </c>
      <c r="G336" s="27" t="inlineStr">
        <is>
          <t>https://www.youtube.com/@henrycross</t>
        </is>
      </c>
      <c r="H336" s="27" t="inlineStr">
        <is>
          <t>UCUS00332925687</t>
        </is>
      </c>
      <c r="I336" s="27" t="inlineStr">
        <is>
          <t>360,000</t>
        </is>
      </c>
      <c r="J336" s="27" t="inlineStr">
        <is>
          <t>2026-10-14</t>
        </is>
      </c>
      <c r="K336" s="27" t="inlineStr">
        <is>
          <t>https://www.youtube.com/watch?v=us00332</t>
        </is>
      </c>
      <c r="L336" s="27" t="n">
        <v>10</v>
      </c>
      <c r="M336" s="27" t="n">
        <v>24</v>
      </c>
      <c r="N336" s="27" t="inlineStr">
        <is>
          <t>Product</t>
        </is>
      </c>
      <c r="O336" s="27" t="inlineStr">
        <is>
          <t>https://henrycross.com/shop</t>
        </is>
      </c>
      <c r="P336" s="27" t="inlineStr">
        <is>
          <t>Editing Backlog &amp; Team Workflow Overhead</t>
        </is>
      </c>
      <c r="Q336" s="27" t="inlineStr">
        <is>
          <t>https://henrycross.com/highlights</t>
        </is>
      </c>
      <c r="R336" s="27" t="inlineStr">
        <is>
          <t>Email</t>
        </is>
      </c>
      <c r="S336" s="27" t="inlineStr">
        <is>
          <t>contact@henrycross.com</t>
        </is>
      </c>
      <c r="T336" s="27" t="inlineStr">
        <is>
          <t>https://henrycross.com/contact</t>
        </is>
      </c>
      <c r="U336" s="27" t="inlineStr">
        <is>
          <t>LinkedIn</t>
        </is>
      </c>
      <c r="V336" s="27" t="inlineStr">
        <is>
          <t>creator business &amp; monetization frameworks, specifically regarding episode 33 on Creator Business &amp; Monetization workflow optimization</t>
        </is>
      </c>
      <c r="W336" s="27" t="inlineStr">
        <is>
          <t>Hi Henry,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36" s="27" t="inlineStr">
        <is>
          <t>2026-10-18</t>
        </is>
      </c>
      <c r="Y336" s="27" t="inlineStr">
        <is>
          <t>C</t>
        </is>
      </c>
      <c r="Z336" s="27" t="n">
        <v>76.09999999999999</v>
      </c>
      <c r="AA336" s="27" t="inlineStr">
        <is>
          <t>Qualified</t>
        </is>
      </c>
      <c r="AB336" s="27" t="inlineStr"/>
      <c r="AC336" s="28">
        <f>IF(A336="","",IF(COUNTIF($H$5:$H$1004,H336)&gt;1,"DUPLICATE","UNIQUE"))</f>
        <v/>
      </c>
      <c r="AD336" s="28">
        <f>IF(A336="","",IF(AA336="Rejected",IF(AB336&lt;&gt;"","REJECTED","ADD REASON"),IF(AND(B336&lt;&gt;"",C336&lt;&gt;"",D336&lt;&gt;"",E336&lt;&gt;"",F336&lt;&gt;"",G336&lt;&gt;"",H336&lt;&gt;"",J336&lt;&gt;"",K336&lt;&gt;"",N336&lt;&gt;"",O336&lt;&gt;"",P336&lt;&gt;"",Q336&lt;&gt;"",R336&lt;&gt;"",S336&lt;&gt;"",T336&lt;&gt;"",V336&lt;&gt;"",W336&lt;&gt;"",X336&lt;&gt;"",Y336&lt;&gt;""),"COMPLETE","MISSING FIELDS")))</f>
        <v/>
      </c>
    </row>
    <row r="337" ht="15" customHeight="1" s="15">
      <c r="A337" s="27" t="inlineStr">
        <is>
          <t>LEAD-0333</t>
        </is>
      </c>
      <c r="B337" s="27" t="inlineStr">
        <is>
          <t>Henry Vance</t>
        </is>
      </c>
      <c r="C337" s="27" t="inlineStr">
        <is>
          <t>YouTuber</t>
        </is>
      </c>
      <c r="D337" s="27" t="inlineStr">
        <is>
          <t>US</t>
        </is>
      </c>
      <c r="E337" s="27" t="inlineStr">
        <is>
          <t>English</t>
        </is>
      </c>
      <c r="F337" s="27" t="inlineStr">
        <is>
          <t>YouTube</t>
        </is>
      </c>
      <c r="G337" s="27" t="inlineStr">
        <is>
          <t>https://www.youtube.com/@henryvance</t>
        </is>
      </c>
      <c r="H337" s="27" t="inlineStr">
        <is>
          <t>UCUS00333107351</t>
        </is>
      </c>
      <c r="I337" s="27" t="inlineStr">
        <is>
          <t>380,000</t>
        </is>
      </c>
      <c r="J337" s="27" t="inlineStr">
        <is>
          <t>2026-10-15</t>
        </is>
      </c>
      <c r="K337" s="27" t="inlineStr">
        <is>
          <t>https://www.youtube.com/watch?v=us00333</t>
        </is>
      </c>
      <c r="L337" s="27" t="n">
        <v>11</v>
      </c>
      <c r="M337" s="27" t="n">
        <v>25</v>
      </c>
      <c r="N337" s="27" t="inlineStr">
        <is>
          <t>Consulting</t>
        </is>
      </c>
      <c r="O337" s="27" t="inlineStr">
        <is>
          <t>https://henryvance.com/advisory</t>
        </is>
      </c>
      <c r="P337" s="27" t="inlineStr">
        <is>
          <t>Shorts Repurposing Bottleneck</t>
        </is>
      </c>
      <c r="Q337" s="27" t="inlineStr">
        <is>
          <t>https://henryvance.com/highlights</t>
        </is>
      </c>
      <c r="R337" s="27" t="inlineStr">
        <is>
          <t>LinkedIn</t>
        </is>
      </c>
      <c r="S337" s="27" t="inlineStr">
        <is>
          <t>https://linkedin.com/in/henryvance</t>
        </is>
      </c>
      <c r="T337" s="27" t="inlineStr">
        <is>
          <t>https://henryvance.com/about</t>
        </is>
      </c>
      <c r="U337" s="27" t="inlineStr">
        <is>
          <t>Email</t>
        </is>
      </c>
      <c r="V337" s="27" t="inlineStr">
        <is>
          <t>productivity &amp; personal systems frameworks, specifically regarding episode 34 on Productivity &amp; Personal Systems workflow optimization</t>
        </is>
      </c>
      <c r="W337" s="27" t="inlineStr">
        <is>
          <t>Hi Henry,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37" s="27" t="inlineStr">
        <is>
          <t>2026-10-18</t>
        </is>
      </c>
      <c r="Y337" s="27" t="inlineStr">
        <is>
          <t>C</t>
        </is>
      </c>
      <c r="Z337" s="27" t="n">
        <v>76</v>
      </c>
      <c r="AA337" s="27" t="inlineStr">
        <is>
          <t>Qualified</t>
        </is>
      </c>
      <c r="AB337" s="27" t="inlineStr"/>
      <c r="AC337" s="28">
        <f>IF(A337="","",IF(COUNTIF($H$5:$H$1004,H337)&gt;1,"DUPLICATE","UNIQUE"))</f>
        <v/>
      </c>
      <c r="AD337" s="28">
        <f>IF(A337="","",IF(AA337="Rejected",IF(AB337&lt;&gt;"","REJECTED","ADD REASON"),IF(AND(B337&lt;&gt;"",C337&lt;&gt;"",D337&lt;&gt;"",E337&lt;&gt;"",F337&lt;&gt;"",G337&lt;&gt;"",H337&lt;&gt;"",J337&lt;&gt;"",K337&lt;&gt;"",N337&lt;&gt;"",O337&lt;&gt;"",P337&lt;&gt;"",Q337&lt;&gt;"",R337&lt;&gt;"",S337&lt;&gt;"",T337&lt;&gt;"",V337&lt;&gt;"",W337&lt;&gt;"",X337&lt;&gt;"",Y337&lt;&gt;""),"COMPLETE","MISSING FIELDS")))</f>
        <v/>
      </c>
    </row>
    <row r="338" ht="15" customHeight="1" s="15">
      <c r="A338" s="27" t="inlineStr">
        <is>
          <t>LEAD-0334</t>
        </is>
      </c>
      <c r="B338" s="27" t="inlineStr">
        <is>
          <t>Henry Mercer</t>
        </is>
      </c>
      <c r="C338" s="27" t="inlineStr">
        <is>
          <t>Podcaster</t>
        </is>
      </c>
      <c r="D338" s="27" t="inlineStr">
        <is>
          <t>US</t>
        </is>
      </c>
      <c r="E338" s="27" t="inlineStr">
        <is>
          <t>English</t>
        </is>
      </c>
      <c r="F338" s="27" t="inlineStr">
        <is>
          <t>Apple Podcasts</t>
        </is>
      </c>
      <c r="G338" s="27" t="inlineStr">
        <is>
          <t>https://podcasts.apple.com/us/podcast/henrymercer/id1000334</t>
        </is>
      </c>
      <c r="H338" s="27" t="inlineStr">
        <is>
          <t>AP-US-1000334</t>
        </is>
      </c>
      <c r="I338" s="27" t="inlineStr">
        <is>
          <t>120,000</t>
        </is>
      </c>
      <c r="J338" s="27" t="inlineStr">
        <is>
          <t>2026-10-16</t>
        </is>
      </c>
      <c r="K338" s="27" t="inlineStr">
        <is>
          <t>https://henrymercer.com/episodes/135</t>
        </is>
      </c>
      <c r="L338" s="27" t="n">
        <v>12</v>
      </c>
      <c r="M338" s="27" t="n">
        <v>26</v>
      </c>
      <c r="N338" s="27" t="inlineStr">
        <is>
          <t>Newsletter Subscription</t>
        </is>
      </c>
      <c r="O338" s="27" t="inlineStr">
        <is>
          <t>https://henrymercer.com/subscribe</t>
        </is>
      </c>
      <c r="P338" s="27" t="inlineStr">
        <is>
          <t>Inconsistent Cross-Platform Publishing</t>
        </is>
      </c>
      <c r="Q338" s="27" t="inlineStr">
        <is>
          <t>https://henrymercer.com/highlights</t>
        </is>
      </c>
      <c r="R338" s="27" t="inlineStr">
        <is>
          <t>X (Twitter)</t>
        </is>
      </c>
      <c r="S338" s="27" t="inlineStr">
        <is>
          <t>https://x.com/henrymercer</t>
        </is>
      </c>
      <c r="T338" s="27" t="inlineStr">
        <is>
          <t>https://henrymercer.com/links</t>
        </is>
      </c>
      <c r="U338" s="27" t="inlineStr">
        <is>
          <t>LinkedIn</t>
        </is>
      </c>
      <c r="V338" s="27" t="inlineStr">
        <is>
          <t>leadership &amp; team ops frameworks, specifically regarding episode 35 on Leadership &amp; Team Ops workflow optimization</t>
        </is>
      </c>
      <c r="W338" s="27" t="inlineStr">
        <is>
          <t>Hi Henry,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38" s="27" t="inlineStr">
        <is>
          <t>2026-10-18</t>
        </is>
      </c>
      <c r="Y338" s="27" t="inlineStr">
        <is>
          <t>C</t>
        </is>
      </c>
      <c r="Z338" s="27" t="n">
        <v>76</v>
      </c>
      <c r="AA338" s="27" t="inlineStr">
        <is>
          <t>Qualified</t>
        </is>
      </c>
      <c r="AB338" s="27" t="inlineStr"/>
      <c r="AC338" s="28">
        <f>IF(A338="","",IF(COUNTIF($H$5:$H$1004,H338)&gt;1,"DUPLICATE","UNIQUE"))</f>
        <v/>
      </c>
      <c r="AD338" s="28">
        <f>IF(A338="","",IF(AA338="Rejected",IF(AB338&lt;&gt;"","REJECTED","ADD REASON"),IF(AND(B338&lt;&gt;"",C338&lt;&gt;"",D338&lt;&gt;"",E338&lt;&gt;"",F338&lt;&gt;"",G338&lt;&gt;"",H338&lt;&gt;"",J338&lt;&gt;"",K338&lt;&gt;"",N338&lt;&gt;"",O338&lt;&gt;"",P338&lt;&gt;"",Q338&lt;&gt;"",R338&lt;&gt;"",S338&lt;&gt;"",T338&lt;&gt;"",V338&lt;&gt;"",W338&lt;&gt;"",X338&lt;&gt;"",Y338&lt;&gt;""),"COMPLETE","MISSING FIELDS")))</f>
        <v/>
      </c>
    </row>
    <row r="339" ht="15" customHeight="1" s="15">
      <c r="A339" s="27" t="inlineStr">
        <is>
          <t>LEAD-0335</t>
        </is>
      </c>
      <c r="B339" s="27" t="inlineStr">
        <is>
          <t>Henry Sinclair</t>
        </is>
      </c>
      <c r="C339" s="27" t="inlineStr">
        <is>
          <t>Expert-Led Creator</t>
        </is>
      </c>
      <c r="D339" s="27" t="inlineStr">
        <is>
          <t>US</t>
        </is>
      </c>
      <c r="E339" s="27" t="inlineStr">
        <is>
          <t>English</t>
        </is>
      </c>
      <c r="F339" s="27" t="inlineStr">
        <is>
          <t>LinkedIn</t>
        </is>
      </c>
      <c r="G339" s="27" t="inlineStr">
        <is>
          <t>https://www.linkedin.com/in/henrysinclair</t>
        </is>
      </c>
      <c r="H339" s="27" t="inlineStr">
        <is>
          <t>LI-henrysinclair-0335</t>
        </is>
      </c>
      <c r="I339" s="27" t="inlineStr">
        <is>
          <t>36,000</t>
        </is>
      </c>
      <c r="J339" s="27" t="inlineStr">
        <is>
          <t>2026-10-17</t>
        </is>
      </c>
      <c r="K339" s="27" t="inlineStr">
        <is>
          <t>https://henrysinclair.com/posts/36</t>
        </is>
      </c>
      <c r="L339" s="27" t="n">
        <v>13</v>
      </c>
      <c r="M339" s="27" t="n">
        <v>27</v>
      </c>
      <c r="N339" s="27" t="inlineStr">
        <is>
          <t>Affiliate</t>
        </is>
      </c>
      <c r="O339" s="27" t="inlineStr">
        <is>
          <t>https://henrysinclair.com/resources</t>
        </is>
      </c>
      <c r="P339" s="27" t="inlineStr">
        <is>
          <t>Editing Backlog &amp; Team Workflow Overhead</t>
        </is>
      </c>
      <c r="Q339" s="27" t="inlineStr">
        <is>
          <t>https://henrysinclair.com/highlights</t>
        </is>
      </c>
      <c r="R339" s="27" t="inlineStr">
        <is>
          <t>Email</t>
        </is>
      </c>
      <c r="S339" s="27" t="inlineStr">
        <is>
          <t>hello@henrysinclair.com</t>
        </is>
      </c>
      <c r="T339" s="27" t="inlineStr">
        <is>
          <t>https://henrysinclair.com/work-with-me</t>
        </is>
      </c>
      <c r="U339" s="27" t="inlineStr">
        <is>
          <t>LinkedIn</t>
        </is>
      </c>
      <c r="V339" s="27" t="inlineStr">
        <is>
          <t>b2b marketing &amp; sales frameworks, specifically regarding episode 36 on B2B Marketing &amp; Sales workflow optimization</t>
        </is>
      </c>
      <c r="W339" s="27" t="inlineStr">
        <is>
          <t>Hi Henry,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39" s="27" t="inlineStr">
        <is>
          <t>2026-10-18</t>
        </is>
      </c>
      <c r="Y339" s="27" t="inlineStr">
        <is>
          <t>C</t>
        </is>
      </c>
      <c r="Z339" s="27" t="n">
        <v>75.90000000000001</v>
      </c>
      <c r="AA339" s="27" t="inlineStr">
        <is>
          <t>Qualified</t>
        </is>
      </c>
      <c r="AB339" s="27" t="inlineStr"/>
      <c r="AC339" s="28">
        <f>IF(A339="","",IF(COUNTIF($H$5:$H$1004,H339)&gt;1,"DUPLICATE","UNIQUE"))</f>
        <v/>
      </c>
      <c r="AD339" s="28">
        <f>IF(A339="","",IF(AA339="Rejected",IF(AB339&lt;&gt;"","REJECTED","ADD REASON"),IF(AND(B339&lt;&gt;"",C339&lt;&gt;"",D339&lt;&gt;"",E339&lt;&gt;"",F339&lt;&gt;"",G339&lt;&gt;"",H339&lt;&gt;"",J339&lt;&gt;"",K339&lt;&gt;"",N339&lt;&gt;"",O339&lt;&gt;"",P339&lt;&gt;"",Q339&lt;&gt;"",R339&lt;&gt;"",S339&lt;&gt;"",T339&lt;&gt;"",V339&lt;&gt;"",W339&lt;&gt;"",X339&lt;&gt;"",Y339&lt;&gt;""),"COMPLETE","MISSING FIELDS")))</f>
        <v/>
      </c>
    </row>
    <row r="340" ht="15" customHeight="1" s="15">
      <c r="A340" s="27" t="inlineStr">
        <is>
          <t>LEAD-0336</t>
        </is>
      </c>
      <c r="B340" s="27" t="inlineStr">
        <is>
          <t>Henry Carrington</t>
        </is>
      </c>
      <c r="C340" s="27" t="inlineStr">
        <is>
          <t>YouTuber</t>
        </is>
      </c>
      <c r="D340" s="27" t="inlineStr">
        <is>
          <t>US</t>
        </is>
      </c>
      <c r="E340" s="27" t="inlineStr">
        <is>
          <t>English</t>
        </is>
      </c>
      <c r="F340" s="27" t="inlineStr">
        <is>
          <t>YouTube</t>
        </is>
      </c>
      <c r="G340" s="27" t="inlineStr">
        <is>
          <t>https://www.youtube.com/@henrycarrington</t>
        </is>
      </c>
      <c r="H340" s="27" t="inlineStr">
        <is>
          <t>UCUS00336961767</t>
        </is>
      </c>
      <c r="I340" s="27" t="inlineStr">
        <is>
          <t>440,000</t>
        </is>
      </c>
      <c r="J340" s="27" t="inlineStr">
        <is>
          <t>2026-10-10</t>
        </is>
      </c>
      <c r="K340" s="27" t="inlineStr">
        <is>
          <t>https://www.youtube.com/watch?v=us00336</t>
        </is>
      </c>
      <c r="L340" s="27" t="n">
        <v>14</v>
      </c>
      <c r="M340" s="27" t="n">
        <v>28</v>
      </c>
      <c r="N340" s="27" t="inlineStr">
        <is>
          <t>Course</t>
        </is>
      </c>
      <c r="O340" s="27" t="inlineStr">
        <is>
          <t>https://henrycarrington.com/academy</t>
        </is>
      </c>
      <c r="P340" s="27" t="inlineStr">
        <is>
          <t>Multilingual Audio Dubbing</t>
        </is>
      </c>
      <c r="Q340" s="27" t="inlineStr">
        <is>
          <t>https://henrycarrington.com/highlights</t>
        </is>
      </c>
      <c r="R340" s="27" t="inlineStr">
        <is>
          <t>Email</t>
        </is>
      </c>
      <c r="S340" s="27" t="inlineStr">
        <is>
          <t>contact@henrycarrington.com</t>
        </is>
      </c>
      <c r="T340" s="27" t="inlineStr">
        <is>
          <t>https://henrycarrington.com/contact</t>
        </is>
      </c>
      <c r="U340" s="27" t="inlineStr">
        <is>
          <t>LinkedIn</t>
        </is>
      </c>
      <c r="V340" s="27" t="inlineStr">
        <is>
          <t>finance &amp; wealth engineering frameworks, specifically regarding episode 37 on Finance &amp; Wealth Engineering workflow optimization</t>
        </is>
      </c>
      <c r="W340" s="27" t="inlineStr">
        <is>
          <t>Hi Henry,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40" s="27" t="inlineStr">
        <is>
          <t>2026-10-18</t>
        </is>
      </c>
      <c r="Y340" s="27" t="inlineStr">
        <is>
          <t>C</t>
        </is>
      </c>
      <c r="Z340" s="27" t="n">
        <v>75.8</v>
      </c>
      <c r="AA340" s="27" t="inlineStr">
        <is>
          <t>Qualified</t>
        </is>
      </c>
      <c r="AB340" s="27" t="inlineStr"/>
      <c r="AC340" s="28">
        <f>IF(A340="","",IF(COUNTIF($H$5:$H$1004,H340)&gt;1,"DUPLICATE","UNIQUE"))</f>
        <v/>
      </c>
      <c r="AD340" s="28">
        <f>IF(A340="","",IF(AA340="Rejected",IF(AB340&lt;&gt;"","REJECTED","ADD REASON"),IF(AND(B340&lt;&gt;"",C340&lt;&gt;"",D340&lt;&gt;"",E340&lt;&gt;"",F340&lt;&gt;"",G340&lt;&gt;"",H340&lt;&gt;"",J340&lt;&gt;"",K340&lt;&gt;"",N340&lt;&gt;"",O340&lt;&gt;"",P340&lt;&gt;"",Q340&lt;&gt;"",R340&lt;&gt;"",S340&lt;&gt;"",T340&lt;&gt;"",V340&lt;&gt;"",W340&lt;&gt;"",X340&lt;&gt;"",Y340&lt;&gt;""),"COMPLETE","MISSING FIELDS")))</f>
        <v/>
      </c>
    </row>
    <row r="341" ht="15" customHeight="1" s="15">
      <c r="A341" s="27" t="inlineStr">
        <is>
          <t>LEAD-0337</t>
        </is>
      </c>
      <c r="B341" s="27" t="inlineStr">
        <is>
          <t>Henry Prescott</t>
        </is>
      </c>
      <c r="C341" s="27" t="inlineStr">
        <is>
          <t>Podcaster</t>
        </is>
      </c>
      <c r="D341" s="27" t="inlineStr">
        <is>
          <t>US</t>
        </is>
      </c>
      <c r="E341" s="27" t="inlineStr">
        <is>
          <t>English</t>
        </is>
      </c>
      <c r="F341" s="27" t="inlineStr">
        <is>
          <t>Apple Podcasts</t>
        </is>
      </c>
      <c r="G341" s="27" t="inlineStr">
        <is>
          <t>https://podcasts.apple.com/us/podcast/henryprescott/id1000337</t>
        </is>
      </c>
      <c r="H341" s="27" t="inlineStr">
        <is>
          <t>AP-US-1000337</t>
        </is>
      </c>
      <c r="I341" s="27" t="inlineStr">
        <is>
          <t>156,000</t>
        </is>
      </c>
      <c r="J341" s="27" t="inlineStr">
        <is>
          <t>2026-10-11</t>
        </is>
      </c>
      <c r="K341" s="27" t="inlineStr">
        <is>
          <t>https://henryprescott.com/episodes/138</t>
        </is>
      </c>
      <c r="L341" s="27" t="n">
        <v>15</v>
      </c>
      <c r="M341" s="27" t="n">
        <v>29</v>
      </c>
      <c r="N341" s="27" t="inlineStr">
        <is>
          <t>Sponsor</t>
        </is>
      </c>
      <c r="O341" s="27" t="inlineStr">
        <is>
          <t>https://henryprescott.com/partners</t>
        </is>
      </c>
      <c r="P341" s="27" t="inlineStr">
        <is>
          <t>Multilingual Audio Dubbing</t>
        </is>
      </c>
      <c r="Q341" s="27" t="inlineStr">
        <is>
          <t>https://henryprescott.com/highlights</t>
        </is>
      </c>
      <c r="R341" s="27" t="inlineStr">
        <is>
          <t>LinkedIn</t>
        </is>
      </c>
      <c r="S341" s="27" t="inlineStr">
        <is>
          <t>https://linkedin.com/in/henryprescott</t>
        </is>
      </c>
      <c r="T341" s="27" t="inlineStr">
        <is>
          <t>https://henryprescott.com/about</t>
        </is>
      </c>
      <c r="U341" s="27" t="inlineStr">
        <is>
          <t>Email</t>
        </is>
      </c>
      <c r="V341" s="27" t="inlineStr">
        <is>
          <t>health &amp; longevity science frameworks, specifically regarding episode 38 on Health &amp; Longevity Science workflow optimization</t>
        </is>
      </c>
      <c r="W341" s="27" t="inlineStr">
        <is>
          <t>Hi Henry,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41" s="27" t="inlineStr">
        <is>
          <t>2026-10-18</t>
        </is>
      </c>
      <c r="Y341" s="27" t="inlineStr">
        <is>
          <t>C</t>
        </is>
      </c>
      <c r="Z341" s="27" t="n">
        <v>75.8</v>
      </c>
      <c r="AA341" s="27" t="inlineStr">
        <is>
          <t>Qualified</t>
        </is>
      </c>
      <c r="AB341" s="27" t="inlineStr"/>
      <c r="AC341" s="28">
        <f>IF(A341="","",IF(COUNTIF($H$5:$H$1004,H341)&gt;1,"DUPLICATE","UNIQUE"))</f>
        <v/>
      </c>
      <c r="AD341" s="28">
        <f>IF(A341="","",IF(AA341="Rejected",IF(AB341&lt;&gt;"","REJECTED","ADD REASON"),IF(AND(B341&lt;&gt;"",C341&lt;&gt;"",D341&lt;&gt;"",E341&lt;&gt;"",F341&lt;&gt;"",G341&lt;&gt;"",H341&lt;&gt;"",J341&lt;&gt;"",K341&lt;&gt;"",N341&lt;&gt;"",O341&lt;&gt;"",P341&lt;&gt;"",Q341&lt;&gt;"",R341&lt;&gt;"",S341&lt;&gt;"",T341&lt;&gt;"",V341&lt;&gt;"",W341&lt;&gt;"",X341&lt;&gt;"",Y341&lt;&gt;""),"COMPLETE","MISSING FIELDS")))</f>
        <v/>
      </c>
    </row>
    <row r="342" ht="15" customHeight="1" s="15">
      <c r="A342" s="27" t="inlineStr">
        <is>
          <t>LEAD-0338</t>
        </is>
      </c>
      <c r="B342" s="27" t="inlineStr">
        <is>
          <t>Henry Winslow</t>
        </is>
      </c>
      <c r="C342" s="27" t="inlineStr">
        <is>
          <t>YouTuber</t>
        </is>
      </c>
      <c r="D342" s="27" t="inlineStr">
        <is>
          <t>US</t>
        </is>
      </c>
      <c r="E342" s="27" t="inlineStr">
        <is>
          <t>English</t>
        </is>
      </c>
      <c r="F342" s="27" t="inlineStr">
        <is>
          <t>YouTube</t>
        </is>
      </c>
      <c r="G342" s="27" t="inlineStr">
        <is>
          <t>https://www.youtube.com/@henrywinslow</t>
        </is>
      </c>
      <c r="H342" s="27" t="inlineStr">
        <is>
          <t>UCUS00338664452</t>
        </is>
      </c>
      <c r="I342" s="27" t="inlineStr">
        <is>
          <t>480,000</t>
        </is>
      </c>
      <c r="J342" s="27" t="inlineStr">
        <is>
          <t>2026-10-12</t>
        </is>
      </c>
      <c r="K342" s="27" t="inlineStr">
        <is>
          <t>https://www.youtube.com/watch?v=us00338</t>
        </is>
      </c>
      <c r="L342" s="27" t="n">
        <v>16</v>
      </c>
      <c r="M342" s="27" t="n">
        <v>30</v>
      </c>
      <c r="N342" s="27" t="inlineStr">
        <is>
          <t>Membership</t>
        </is>
      </c>
      <c r="O342" s="27" t="inlineStr">
        <is>
          <t>https://henrywinslow.com/community</t>
        </is>
      </c>
      <c r="P342" s="27" t="inlineStr">
        <is>
          <t>Missing Video Captions &amp; Retention Clips</t>
        </is>
      </c>
      <c r="Q342" s="27" t="inlineStr">
        <is>
          <t>https://henrywinslow.com/highlights</t>
        </is>
      </c>
      <c r="R342" s="27" t="inlineStr">
        <is>
          <t>X (Twitter)</t>
        </is>
      </c>
      <c r="S342" s="27" t="inlineStr">
        <is>
          <t>https://x.com/henrywinslow</t>
        </is>
      </c>
      <c r="T342" s="27" t="inlineStr">
        <is>
          <t>https://henrywinslow.com/links</t>
        </is>
      </c>
      <c r="U342" s="27" t="inlineStr">
        <is>
          <t>LinkedIn</t>
        </is>
      </c>
      <c r="V342" s="27" t="inlineStr">
        <is>
          <t>education &amp; applied coding frameworks, specifically regarding episode 39 on Education &amp; Applied Coding workflow optimization</t>
        </is>
      </c>
      <c r="W342" s="27" t="inlineStr">
        <is>
          <t>Hi Henry,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42" s="27" t="inlineStr">
        <is>
          <t>2026-10-18</t>
        </is>
      </c>
      <c r="Y342" s="27" t="inlineStr">
        <is>
          <t>C</t>
        </is>
      </c>
      <c r="Z342" s="27" t="n">
        <v>75.7</v>
      </c>
      <c r="AA342" s="27" t="inlineStr">
        <is>
          <t>Qualified</t>
        </is>
      </c>
      <c r="AB342" s="27" t="inlineStr"/>
      <c r="AC342" s="28">
        <f>IF(A342="","",IF(COUNTIF($H$5:$H$1004,H342)&gt;1,"DUPLICATE","UNIQUE"))</f>
        <v/>
      </c>
      <c r="AD342" s="28">
        <f>IF(A342="","",IF(AA342="Rejected",IF(AB342&lt;&gt;"","REJECTED","ADD REASON"),IF(AND(B342&lt;&gt;"",C342&lt;&gt;"",D342&lt;&gt;"",E342&lt;&gt;"",F342&lt;&gt;"",G342&lt;&gt;"",H342&lt;&gt;"",J342&lt;&gt;"",K342&lt;&gt;"",N342&lt;&gt;"",O342&lt;&gt;"",P342&lt;&gt;"",Q342&lt;&gt;"",R342&lt;&gt;"",S342&lt;&gt;"",T342&lt;&gt;"",V342&lt;&gt;"",W342&lt;&gt;"",X342&lt;&gt;"",Y342&lt;&gt;""),"COMPLETE","MISSING FIELDS")))</f>
        <v/>
      </c>
    </row>
    <row r="343" ht="15" customHeight="1" s="15">
      <c r="A343" s="27" t="inlineStr">
        <is>
          <t>LEAD-0339</t>
        </is>
      </c>
      <c r="B343" s="27" t="inlineStr">
        <is>
          <t>Henry Bradford</t>
        </is>
      </c>
      <c r="C343" s="27" t="inlineStr">
        <is>
          <t>Podcaster</t>
        </is>
      </c>
      <c r="D343" s="27" t="inlineStr">
        <is>
          <t>US</t>
        </is>
      </c>
      <c r="E343" s="27" t="inlineStr">
        <is>
          <t>English</t>
        </is>
      </c>
      <c r="F343" s="27" t="inlineStr">
        <is>
          <t>Apple Podcasts</t>
        </is>
      </c>
      <c r="G343" s="27" t="inlineStr">
        <is>
          <t>https://podcasts.apple.com/us/podcast/henrybradford/id1000339</t>
        </is>
      </c>
      <c r="H343" s="27" t="inlineStr">
        <is>
          <t>AP-US-1000339</t>
        </is>
      </c>
      <c r="I343" s="27" t="inlineStr">
        <is>
          <t>180,000</t>
        </is>
      </c>
      <c r="J343" s="27" t="inlineStr">
        <is>
          <t>2026-10-13</t>
        </is>
      </c>
      <c r="K343" s="27" t="inlineStr">
        <is>
          <t>https://henrybradford.com/episodes/140</t>
        </is>
      </c>
      <c r="L343" s="27" t="n">
        <v>17</v>
      </c>
      <c r="M343" s="27" t="n">
        <v>31</v>
      </c>
      <c r="N343" s="27" t="inlineStr">
        <is>
          <t>Product</t>
        </is>
      </c>
      <c r="O343" s="27" t="inlineStr">
        <is>
          <t>https://henrybradford.com/shop</t>
        </is>
      </c>
      <c r="P343" s="27" t="inlineStr">
        <is>
          <t>Shorts Repurposing Bottleneck</t>
        </is>
      </c>
      <c r="Q343" s="27" t="inlineStr">
        <is>
          <t>https://henrybradford.com/highlights</t>
        </is>
      </c>
      <c r="R343" s="27" t="inlineStr">
        <is>
          <t>Email</t>
        </is>
      </c>
      <c r="S343" s="27" t="inlineStr">
        <is>
          <t>hello@henrybradford.com</t>
        </is>
      </c>
      <c r="T343" s="27" t="inlineStr">
        <is>
          <t>https://henrybradford.com/work-with-me</t>
        </is>
      </c>
      <c r="U343" s="27" t="inlineStr">
        <is>
          <t>LinkedIn</t>
        </is>
      </c>
      <c r="V343" s="27" t="inlineStr">
        <is>
          <t>e-commerce &amp; digital brands frameworks, specifically regarding episode 40 on E-Commerce &amp; Digital Brands workflow optimization</t>
        </is>
      </c>
      <c r="W343" s="27" t="inlineStr">
        <is>
          <t>Hi Henry,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43" s="27" t="inlineStr">
        <is>
          <t>2026-10-18</t>
        </is>
      </c>
      <c r="Y343" s="27" t="inlineStr">
        <is>
          <t>C</t>
        </is>
      </c>
      <c r="Z343" s="27" t="n">
        <v>75.7</v>
      </c>
      <c r="AA343" s="27" t="inlineStr">
        <is>
          <t>Qualified</t>
        </is>
      </c>
      <c r="AB343" s="27" t="inlineStr"/>
      <c r="AC343" s="28">
        <f>IF(A343="","",IF(COUNTIF($H$5:$H$1004,H343)&gt;1,"DUPLICATE","UNIQUE"))</f>
        <v/>
      </c>
      <c r="AD343" s="28">
        <f>IF(A343="","",IF(AA343="Rejected",IF(AB343&lt;&gt;"","REJECTED","ADD REASON"),IF(AND(B343&lt;&gt;"",C343&lt;&gt;"",D343&lt;&gt;"",E343&lt;&gt;"",F343&lt;&gt;"",G343&lt;&gt;"",H343&lt;&gt;"",J343&lt;&gt;"",K343&lt;&gt;"",N343&lt;&gt;"",O343&lt;&gt;"",P343&lt;&gt;"",Q343&lt;&gt;"",R343&lt;&gt;"",S343&lt;&gt;"",T343&lt;&gt;"",V343&lt;&gt;"",W343&lt;&gt;"",X343&lt;&gt;"",Y343&lt;&gt;""),"COMPLETE","MISSING FIELDS")))</f>
        <v/>
      </c>
    </row>
    <row r="344" ht="15" customHeight="1" s="15">
      <c r="A344" s="27" t="inlineStr">
        <is>
          <t>LEAD-0340</t>
        </is>
      </c>
      <c r="B344" s="27" t="inlineStr">
        <is>
          <t>Henry Kensington</t>
        </is>
      </c>
      <c r="C344" s="27" t="inlineStr">
        <is>
          <t>YouTuber</t>
        </is>
      </c>
      <c r="D344" s="27" t="inlineStr">
        <is>
          <t>US</t>
        </is>
      </c>
      <c r="E344" s="27" t="inlineStr">
        <is>
          <t>English</t>
        </is>
      </c>
      <c r="F344" s="27" t="inlineStr">
        <is>
          <t>YouTube</t>
        </is>
      </c>
      <c r="G344" s="27" t="inlineStr">
        <is>
          <t>https://www.youtube.com/@henrykensington</t>
        </is>
      </c>
      <c r="H344" s="27" t="inlineStr">
        <is>
          <t>UCUS00340531320</t>
        </is>
      </c>
      <c r="I344" s="27" t="inlineStr">
        <is>
          <t>520,000</t>
        </is>
      </c>
      <c r="J344" s="27" t="inlineStr">
        <is>
          <t>2026-10-14</t>
        </is>
      </c>
      <c r="K344" s="27" t="inlineStr">
        <is>
          <t>https://www.youtube.com/watch?v=us00340</t>
        </is>
      </c>
      <c r="L344" s="27" t="n">
        <v>8</v>
      </c>
      <c r="M344" s="27" t="n">
        <v>32</v>
      </c>
      <c r="N344" s="27" t="inlineStr">
        <is>
          <t>Consulting</t>
        </is>
      </c>
      <c r="O344" s="27" t="inlineStr">
        <is>
          <t>https://henrykensington.com/advisory</t>
        </is>
      </c>
      <c r="P344" s="27" t="inlineStr">
        <is>
          <t>Shorts Repurposing Bottleneck</t>
        </is>
      </c>
      <c r="Q344" s="27" t="inlineStr">
        <is>
          <t>https://henrykensington.com/highlights</t>
        </is>
      </c>
      <c r="R344" s="27" t="inlineStr">
        <is>
          <t>Email</t>
        </is>
      </c>
      <c r="S344" s="27" t="inlineStr">
        <is>
          <t>contact@henrykensington.com</t>
        </is>
      </c>
      <c r="T344" s="27" t="inlineStr">
        <is>
          <t>https://henrykensington.com/contact</t>
        </is>
      </c>
      <c r="U344" s="27" t="inlineStr">
        <is>
          <t>LinkedIn</t>
        </is>
      </c>
      <c r="V344" s="27" t="inlineStr">
        <is>
          <t>tech &amp; ai frameworks, specifically regarding episode 41 on Tech &amp; AI workflow optimization</t>
        </is>
      </c>
      <c r="W344" s="27" t="inlineStr">
        <is>
          <t>Hi Henry,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44" s="27" t="inlineStr">
        <is>
          <t>2026-10-18</t>
        </is>
      </c>
      <c r="Y344" s="27" t="inlineStr">
        <is>
          <t>C</t>
        </is>
      </c>
      <c r="Z344" s="27" t="n">
        <v>75.59999999999999</v>
      </c>
      <c r="AA344" s="27" t="inlineStr">
        <is>
          <t>Qualified</t>
        </is>
      </c>
      <c r="AB344" s="27" t="inlineStr"/>
      <c r="AC344" s="28">
        <f>IF(A344="","",IF(COUNTIF($H$5:$H$1004,H344)&gt;1,"DUPLICATE","UNIQUE"))</f>
        <v/>
      </c>
      <c r="AD344" s="28">
        <f>IF(A344="","",IF(AA344="Rejected",IF(AB344&lt;&gt;"","REJECTED","ADD REASON"),IF(AND(B344&lt;&gt;"",C344&lt;&gt;"",D344&lt;&gt;"",E344&lt;&gt;"",F344&lt;&gt;"",G344&lt;&gt;"",H344&lt;&gt;"",J344&lt;&gt;"",K344&lt;&gt;"",N344&lt;&gt;"",O344&lt;&gt;"",P344&lt;&gt;"",Q344&lt;&gt;"",R344&lt;&gt;"",S344&lt;&gt;"",T344&lt;&gt;"",V344&lt;&gt;"",W344&lt;&gt;"",X344&lt;&gt;"",Y344&lt;&gt;""),"COMPLETE","MISSING FIELDS")))</f>
        <v/>
      </c>
    </row>
    <row r="345" ht="15" customHeight="1" s="15">
      <c r="A345" s="27" t="inlineStr">
        <is>
          <t>LEAD-0341</t>
        </is>
      </c>
      <c r="B345" s="27" t="inlineStr">
        <is>
          <t>Henry Lancaster</t>
        </is>
      </c>
      <c r="C345" s="27" t="inlineStr">
        <is>
          <t>Podcaster</t>
        </is>
      </c>
      <c r="D345" s="27" t="inlineStr">
        <is>
          <t>US</t>
        </is>
      </c>
      <c r="E345" s="27" t="inlineStr">
        <is>
          <t>English</t>
        </is>
      </c>
      <c r="F345" s="27" t="inlineStr">
        <is>
          <t>Apple Podcasts</t>
        </is>
      </c>
      <c r="G345" s="27" t="inlineStr">
        <is>
          <t>https://podcasts.apple.com/us/podcast/henrylancaster/id1000341</t>
        </is>
      </c>
      <c r="H345" s="27" t="inlineStr">
        <is>
          <t>AP-US-1000341</t>
        </is>
      </c>
      <c r="I345" s="27" t="inlineStr">
        <is>
          <t>204,000</t>
        </is>
      </c>
      <c r="J345" s="27" t="inlineStr">
        <is>
          <t>2026-10-15</t>
        </is>
      </c>
      <c r="K345" s="27" t="inlineStr">
        <is>
          <t>https://henrylancaster.com/episodes/142</t>
        </is>
      </c>
      <c r="L345" s="27" t="n">
        <v>9</v>
      </c>
      <c r="M345" s="27" t="n">
        <v>33</v>
      </c>
      <c r="N345" s="27" t="inlineStr">
        <is>
          <t>Newsletter Subscription</t>
        </is>
      </c>
      <c r="O345" s="27" t="inlineStr">
        <is>
          <t>https://henrylancaster.com/subscribe</t>
        </is>
      </c>
      <c r="P345" s="27" t="inlineStr">
        <is>
          <t>Missing Video Captions &amp; Retention Clips</t>
        </is>
      </c>
      <c r="Q345" s="27" t="inlineStr">
        <is>
          <t>https://henrylancaster.com/highlights</t>
        </is>
      </c>
      <c r="R345" s="27" t="inlineStr">
        <is>
          <t>LinkedIn</t>
        </is>
      </c>
      <c r="S345" s="27" t="inlineStr">
        <is>
          <t>https://linkedin.com/in/henrylancaster</t>
        </is>
      </c>
      <c r="T345" s="27" t="inlineStr">
        <is>
          <t>https://henrylancaster.com/about</t>
        </is>
      </c>
      <c r="U345" s="27" t="inlineStr">
        <is>
          <t>Email</t>
        </is>
      </c>
      <c r="V345" s="27" t="inlineStr">
        <is>
          <t>saas &amp; product growth frameworks, specifically regarding episode 42 on SaaS &amp; Product Growth workflow optimization</t>
        </is>
      </c>
      <c r="W345" s="27" t="inlineStr">
        <is>
          <t>Hi Henry,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45" s="27" t="inlineStr">
        <is>
          <t>2026-10-18</t>
        </is>
      </c>
      <c r="Y345" s="27" t="inlineStr">
        <is>
          <t>C</t>
        </is>
      </c>
      <c r="Z345" s="27" t="n">
        <v>75.5</v>
      </c>
      <c r="AA345" s="27" t="inlineStr">
        <is>
          <t>Qualified</t>
        </is>
      </c>
      <c r="AB345" s="27" t="inlineStr"/>
      <c r="AC345" s="28">
        <f>IF(A345="","",IF(COUNTIF($H$5:$H$1004,H345)&gt;1,"DUPLICATE","UNIQUE"))</f>
        <v/>
      </c>
      <c r="AD345" s="28">
        <f>IF(A345="","",IF(AA345="Rejected",IF(AB345&lt;&gt;"","REJECTED","ADD REASON"),IF(AND(B345&lt;&gt;"",C345&lt;&gt;"",D345&lt;&gt;"",E345&lt;&gt;"",F345&lt;&gt;"",G345&lt;&gt;"",H345&lt;&gt;"",J345&lt;&gt;"",K345&lt;&gt;"",N345&lt;&gt;"",O345&lt;&gt;"",P345&lt;&gt;"",Q345&lt;&gt;"",R345&lt;&gt;"",S345&lt;&gt;"",T345&lt;&gt;"",V345&lt;&gt;"",W345&lt;&gt;"",X345&lt;&gt;"",Y345&lt;&gt;""),"COMPLETE","MISSING FIELDS")))</f>
        <v/>
      </c>
    </row>
    <row r="346" ht="15" customHeight="1" s="15">
      <c r="A346" s="27" t="inlineStr">
        <is>
          <t>LEAD-0342</t>
        </is>
      </c>
      <c r="B346" s="27" t="inlineStr">
        <is>
          <t>Henry Montgomery</t>
        </is>
      </c>
      <c r="C346" s="27" t="inlineStr">
        <is>
          <t>Expert-Led Creator</t>
        </is>
      </c>
      <c r="D346" s="27" t="inlineStr">
        <is>
          <t>US</t>
        </is>
      </c>
      <c r="E346" s="27" t="inlineStr">
        <is>
          <t>English</t>
        </is>
      </c>
      <c r="F346" s="27" t="inlineStr">
        <is>
          <t>YouTube</t>
        </is>
      </c>
      <c r="G346" s="27" t="inlineStr">
        <is>
          <t>https://www.youtube.com/@henrymontgomery</t>
        </is>
      </c>
      <c r="H346" s="27" t="inlineStr">
        <is>
          <t>UCUS00342299990</t>
        </is>
      </c>
      <c r="I346" s="27" t="inlineStr">
        <is>
          <t>560,000</t>
        </is>
      </c>
      <c r="J346" s="27" t="inlineStr">
        <is>
          <t>2026-10-16</t>
        </is>
      </c>
      <c r="K346" s="27" t="inlineStr">
        <is>
          <t>https://www.youtube.com/watch?v=us00342</t>
        </is>
      </c>
      <c r="L346" s="27" t="n">
        <v>10</v>
      </c>
      <c r="M346" s="27" t="n">
        <v>16</v>
      </c>
      <c r="N346" s="27" t="inlineStr">
        <is>
          <t>Affiliate</t>
        </is>
      </c>
      <c r="O346" s="27" t="inlineStr">
        <is>
          <t>https://henrymontgomery.com/resources</t>
        </is>
      </c>
      <c r="P346" s="27" t="inlineStr">
        <is>
          <t>Editing Backlog &amp; Team Workflow Overhead</t>
        </is>
      </c>
      <c r="Q346" s="27" t="inlineStr">
        <is>
          <t>https://henrymontgomery.com/highlights</t>
        </is>
      </c>
      <c r="R346" s="27" t="inlineStr">
        <is>
          <t>X (Twitter)</t>
        </is>
      </c>
      <c r="S346" s="27" t="inlineStr">
        <is>
          <t>https://x.com/henrymontgomery</t>
        </is>
      </c>
      <c r="T346" s="27" t="inlineStr">
        <is>
          <t>https://henrymontgomery.com/links</t>
        </is>
      </c>
      <c r="U346" s="27" t="inlineStr">
        <is>
          <t>LinkedIn</t>
        </is>
      </c>
      <c r="V346" s="27" t="inlineStr">
        <is>
          <t>creator business &amp; monetization frameworks, specifically regarding episode 43 on Creator Business &amp; Monetization workflow optimization</t>
        </is>
      </c>
      <c r="W346" s="27" t="inlineStr">
        <is>
          <t>Hi Henry,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46" s="27" t="inlineStr">
        <is>
          <t>2026-10-18</t>
        </is>
      </c>
      <c r="Y346" s="27" t="inlineStr">
        <is>
          <t>C</t>
        </is>
      </c>
      <c r="Z346" s="27" t="n">
        <v>75.5</v>
      </c>
      <c r="AA346" s="27" t="inlineStr">
        <is>
          <t>Qualified</t>
        </is>
      </c>
      <c r="AB346" s="27" t="inlineStr"/>
      <c r="AC346" s="28">
        <f>IF(A346="","",IF(COUNTIF($H$5:$H$1004,H346)&gt;1,"DUPLICATE","UNIQUE"))</f>
        <v/>
      </c>
      <c r="AD346" s="28">
        <f>IF(A346="","",IF(AA346="Rejected",IF(AB346&lt;&gt;"","REJECTED","ADD REASON"),IF(AND(B346&lt;&gt;"",C346&lt;&gt;"",D346&lt;&gt;"",E346&lt;&gt;"",F346&lt;&gt;"",G346&lt;&gt;"",H346&lt;&gt;"",J346&lt;&gt;"",K346&lt;&gt;"",N346&lt;&gt;"",O346&lt;&gt;"",P346&lt;&gt;"",Q346&lt;&gt;"",R346&lt;&gt;"",S346&lt;&gt;"",T346&lt;&gt;"",V346&lt;&gt;"",W346&lt;&gt;"",X346&lt;&gt;"",Y346&lt;&gt;""),"COMPLETE","MISSING FIELDS")))</f>
        <v/>
      </c>
    </row>
    <row r="347" ht="15" customHeight="1" s="15">
      <c r="A347" s="27" t="inlineStr">
        <is>
          <t>LEAD-0343</t>
        </is>
      </c>
      <c r="B347" s="27" t="inlineStr">
        <is>
          <t>Henry Barrington</t>
        </is>
      </c>
      <c r="C347" s="27" t="inlineStr">
        <is>
          <t>YouTuber</t>
        </is>
      </c>
      <c r="D347" s="27" t="inlineStr">
        <is>
          <t>US</t>
        </is>
      </c>
      <c r="E347" s="27" t="inlineStr">
        <is>
          <t>English</t>
        </is>
      </c>
      <c r="F347" s="27" t="inlineStr">
        <is>
          <t>YouTube</t>
        </is>
      </c>
      <c r="G347" s="27" t="inlineStr">
        <is>
          <t>https://www.youtube.com/@henrybarrington</t>
        </is>
      </c>
      <c r="H347" s="27" t="inlineStr">
        <is>
          <t>UCUS00343126948</t>
        </is>
      </c>
      <c r="I347" s="27" t="inlineStr">
        <is>
          <t>580,000</t>
        </is>
      </c>
      <c r="J347" s="27" t="inlineStr">
        <is>
          <t>2026-10-17</t>
        </is>
      </c>
      <c r="K347" s="27" t="inlineStr">
        <is>
          <t>https://www.youtube.com/watch?v=us00343</t>
        </is>
      </c>
      <c r="L347" s="27" t="n">
        <v>11</v>
      </c>
      <c r="M347" s="27" t="n">
        <v>17</v>
      </c>
      <c r="N347" s="27" t="inlineStr">
        <is>
          <t>Course</t>
        </is>
      </c>
      <c r="O347" s="27" t="inlineStr">
        <is>
          <t>https://henrybarrington.com/academy</t>
        </is>
      </c>
      <c r="P347" s="27" t="inlineStr">
        <is>
          <t>Shorts Repurposing Bottleneck</t>
        </is>
      </c>
      <c r="Q347" s="27" t="inlineStr">
        <is>
          <t>https://henrybarrington.com/highlights</t>
        </is>
      </c>
      <c r="R347" s="27" t="inlineStr">
        <is>
          <t>Email</t>
        </is>
      </c>
      <c r="S347" s="27" t="inlineStr">
        <is>
          <t>hello@henrybarrington.com</t>
        </is>
      </c>
      <c r="T347" s="27" t="inlineStr">
        <is>
          <t>https://henrybarrington.com/work-with-me</t>
        </is>
      </c>
      <c r="U347" s="27" t="inlineStr">
        <is>
          <t>LinkedIn</t>
        </is>
      </c>
      <c r="V347" s="27" t="inlineStr">
        <is>
          <t>productivity &amp; personal systems frameworks, specifically regarding episode 44 on Productivity &amp; Personal Systems workflow optimization</t>
        </is>
      </c>
      <c r="W347" s="27" t="inlineStr">
        <is>
          <t>Hi Henry,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47" s="27" t="inlineStr">
        <is>
          <t>2026-10-18</t>
        </is>
      </c>
      <c r="Y347" s="27" t="inlineStr">
        <is>
          <t>C</t>
        </is>
      </c>
      <c r="Z347" s="27" t="n">
        <v>75.40000000000001</v>
      </c>
      <c r="AA347" s="27" t="inlineStr">
        <is>
          <t>Qualified</t>
        </is>
      </c>
      <c r="AB347" s="27" t="inlineStr"/>
      <c r="AC347" s="28">
        <f>IF(A347="","",IF(COUNTIF($H$5:$H$1004,H347)&gt;1,"DUPLICATE","UNIQUE"))</f>
        <v/>
      </c>
      <c r="AD347" s="28">
        <f>IF(A347="","",IF(AA347="Rejected",IF(AB347&lt;&gt;"","REJECTED","ADD REASON"),IF(AND(B347&lt;&gt;"",C347&lt;&gt;"",D347&lt;&gt;"",E347&lt;&gt;"",F347&lt;&gt;"",G347&lt;&gt;"",H347&lt;&gt;"",J347&lt;&gt;"",K347&lt;&gt;"",N347&lt;&gt;"",O347&lt;&gt;"",P347&lt;&gt;"",Q347&lt;&gt;"",R347&lt;&gt;"",S347&lt;&gt;"",T347&lt;&gt;"",V347&lt;&gt;"",W347&lt;&gt;"",X347&lt;&gt;"",Y347&lt;&gt;""),"COMPLETE","MISSING FIELDS")))</f>
        <v/>
      </c>
    </row>
    <row r="348" ht="15" customHeight="1" s="15">
      <c r="A348" s="27" t="inlineStr">
        <is>
          <t>LEAD-0344</t>
        </is>
      </c>
      <c r="B348" s="27" t="inlineStr">
        <is>
          <t>Henry Thornton</t>
        </is>
      </c>
      <c r="C348" s="27" t="inlineStr">
        <is>
          <t>Podcaster</t>
        </is>
      </c>
      <c r="D348" s="27" t="inlineStr">
        <is>
          <t>US</t>
        </is>
      </c>
      <c r="E348" s="27" t="inlineStr">
        <is>
          <t>English</t>
        </is>
      </c>
      <c r="F348" s="27" t="inlineStr">
        <is>
          <t>Apple Podcasts</t>
        </is>
      </c>
      <c r="G348" s="27" t="inlineStr">
        <is>
          <t>https://podcasts.apple.com/us/podcast/henrythornton/id1000344</t>
        </is>
      </c>
      <c r="H348" s="27" t="inlineStr">
        <is>
          <t>AP-US-1000344</t>
        </is>
      </c>
      <c r="I348" s="27" t="inlineStr">
        <is>
          <t>240,000</t>
        </is>
      </c>
      <c r="J348" s="27" t="inlineStr">
        <is>
          <t>2026-10-10</t>
        </is>
      </c>
      <c r="K348" s="27" t="inlineStr">
        <is>
          <t>https://henrythornton.com/episodes/145</t>
        </is>
      </c>
      <c r="L348" s="27" t="n">
        <v>12</v>
      </c>
      <c r="M348" s="27" t="n">
        <v>18</v>
      </c>
      <c r="N348" s="27" t="inlineStr">
        <is>
          <t>Sponsor</t>
        </is>
      </c>
      <c r="O348" s="27" t="inlineStr">
        <is>
          <t>https://henrythornton.com/partners</t>
        </is>
      </c>
      <c r="P348" s="27" t="inlineStr">
        <is>
          <t>Inconsistent Cross-Platform Publishing</t>
        </is>
      </c>
      <c r="Q348" s="27" t="inlineStr">
        <is>
          <t>https://henrythornton.com/highlights</t>
        </is>
      </c>
      <c r="R348" s="27" t="inlineStr">
        <is>
          <t>Email</t>
        </is>
      </c>
      <c r="S348" s="27" t="inlineStr">
        <is>
          <t>contact@henrythornton.com</t>
        </is>
      </c>
      <c r="T348" s="27" t="inlineStr">
        <is>
          <t>https://henrythornton.com/contact</t>
        </is>
      </c>
      <c r="U348" s="27" t="inlineStr">
        <is>
          <t>LinkedIn</t>
        </is>
      </c>
      <c r="V348" s="27" t="inlineStr">
        <is>
          <t>leadership &amp; team ops frameworks, specifically regarding episode 45 on Leadership &amp; Team Ops workflow optimization</t>
        </is>
      </c>
      <c r="W348" s="27" t="inlineStr">
        <is>
          <t>Hi Henry,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48" s="27" t="inlineStr">
        <is>
          <t>2026-10-18</t>
        </is>
      </c>
      <c r="Y348" s="27" t="inlineStr">
        <is>
          <t>C</t>
        </is>
      </c>
      <c r="Z348" s="27" t="n">
        <v>75.40000000000001</v>
      </c>
      <c r="AA348" s="27" t="inlineStr">
        <is>
          <t>Qualified</t>
        </is>
      </c>
      <c r="AB348" s="27" t="inlineStr"/>
      <c r="AC348" s="28">
        <f>IF(A348="","",IF(COUNTIF($H$5:$H$1004,H348)&gt;1,"DUPLICATE","UNIQUE"))</f>
        <v/>
      </c>
      <c r="AD348" s="28">
        <f>IF(A348="","",IF(AA348="Rejected",IF(AB348&lt;&gt;"","REJECTED","ADD REASON"),IF(AND(B348&lt;&gt;"",C348&lt;&gt;"",D348&lt;&gt;"",E348&lt;&gt;"",F348&lt;&gt;"",G348&lt;&gt;"",H348&lt;&gt;"",J348&lt;&gt;"",K348&lt;&gt;"",N348&lt;&gt;"",O348&lt;&gt;"",P348&lt;&gt;"",Q348&lt;&gt;"",R348&lt;&gt;"",S348&lt;&gt;"",T348&lt;&gt;"",V348&lt;&gt;"",W348&lt;&gt;"",X348&lt;&gt;"",Y348&lt;&gt;""),"COMPLETE","MISSING FIELDS")))</f>
        <v/>
      </c>
    </row>
    <row r="349" ht="15" customHeight="1" s="15">
      <c r="A349" s="27" t="inlineStr">
        <is>
          <t>LEAD-0345</t>
        </is>
      </c>
      <c r="B349" s="27" t="inlineStr">
        <is>
          <t>Henry Wellington</t>
        </is>
      </c>
      <c r="C349" s="27" t="inlineStr">
        <is>
          <t>Expert-Led Creator</t>
        </is>
      </c>
      <c r="D349" s="27" t="inlineStr">
        <is>
          <t>US</t>
        </is>
      </c>
      <c r="E349" s="27" t="inlineStr">
        <is>
          <t>English</t>
        </is>
      </c>
      <c r="F349" s="27" t="inlineStr">
        <is>
          <t>LinkedIn</t>
        </is>
      </c>
      <c r="G349" s="27" t="inlineStr">
        <is>
          <t>https://www.linkedin.com/in/henrywellington</t>
        </is>
      </c>
      <c r="H349" s="27" t="inlineStr">
        <is>
          <t>LI-henrywellington-0345</t>
        </is>
      </c>
      <c r="I349" s="27" t="inlineStr">
        <is>
          <t>96,000</t>
        </is>
      </c>
      <c r="J349" s="27" t="inlineStr">
        <is>
          <t>2026-10-11</t>
        </is>
      </c>
      <c r="K349" s="27" t="inlineStr">
        <is>
          <t>https://henrywellington.com/posts/46</t>
        </is>
      </c>
      <c r="L349" s="27" t="n">
        <v>13</v>
      </c>
      <c r="M349" s="27" t="n">
        <v>19</v>
      </c>
      <c r="N349" s="27" t="inlineStr">
        <is>
          <t>Membership</t>
        </is>
      </c>
      <c r="O349" s="27" t="inlineStr">
        <is>
          <t>https://henrywellington.com/community</t>
        </is>
      </c>
      <c r="P349" s="27" t="inlineStr">
        <is>
          <t>Editing Backlog &amp; Team Workflow Overhead</t>
        </is>
      </c>
      <c r="Q349" s="27" t="inlineStr">
        <is>
          <t>https://henrywellington.com/highlights</t>
        </is>
      </c>
      <c r="R349" s="27" t="inlineStr">
        <is>
          <t>LinkedIn</t>
        </is>
      </c>
      <c r="S349" s="27" t="inlineStr">
        <is>
          <t>https://linkedin.com/in/henrywellington</t>
        </is>
      </c>
      <c r="T349" s="27" t="inlineStr">
        <is>
          <t>https://henrywellington.com/about</t>
        </is>
      </c>
      <c r="U349" s="27" t="inlineStr">
        <is>
          <t>Email</t>
        </is>
      </c>
      <c r="V349" s="27" t="inlineStr">
        <is>
          <t>b2b marketing &amp; sales frameworks, specifically regarding episode 46 on B2B Marketing &amp; Sales workflow optimization</t>
        </is>
      </c>
      <c r="W349" s="27" t="inlineStr">
        <is>
          <t>Hi Henry,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49" s="27" t="inlineStr">
        <is>
          <t>2026-10-18</t>
        </is>
      </c>
      <c r="Y349" s="27" t="inlineStr">
        <is>
          <t>C</t>
        </is>
      </c>
      <c r="Z349" s="27" t="n">
        <v>75.3</v>
      </c>
      <c r="AA349" s="27" t="inlineStr">
        <is>
          <t>Qualified</t>
        </is>
      </c>
      <c r="AB349" s="27" t="inlineStr"/>
      <c r="AC349" s="28">
        <f>IF(A349="","",IF(COUNTIF($H$5:$H$1004,H349)&gt;1,"DUPLICATE","UNIQUE"))</f>
        <v/>
      </c>
      <c r="AD349" s="28">
        <f>IF(A349="","",IF(AA349="Rejected",IF(AB349&lt;&gt;"","REJECTED","ADD REASON"),IF(AND(B349&lt;&gt;"",C349&lt;&gt;"",D349&lt;&gt;"",E349&lt;&gt;"",F349&lt;&gt;"",G349&lt;&gt;"",H349&lt;&gt;"",J349&lt;&gt;"",K349&lt;&gt;"",N349&lt;&gt;"",O349&lt;&gt;"",P349&lt;&gt;"",Q349&lt;&gt;"",R349&lt;&gt;"",S349&lt;&gt;"",T349&lt;&gt;"",V349&lt;&gt;"",W349&lt;&gt;"",X349&lt;&gt;"",Y349&lt;&gt;""),"COMPLETE","MISSING FIELDS")))</f>
        <v/>
      </c>
    </row>
    <row r="350" ht="15" customHeight="1" s="15">
      <c r="A350" s="27" t="inlineStr">
        <is>
          <t>LEAD-0346</t>
        </is>
      </c>
      <c r="B350" s="27" t="inlineStr">
        <is>
          <t>Isaac Ashford</t>
        </is>
      </c>
      <c r="C350" s="27" t="inlineStr">
        <is>
          <t>YouTuber</t>
        </is>
      </c>
      <c r="D350" s="27" t="inlineStr">
        <is>
          <t>US</t>
        </is>
      </c>
      <c r="E350" s="27" t="inlineStr">
        <is>
          <t>English</t>
        </is>
      </c>
      <c r="F350" s="27" t="inlineStr">
        <is>
          <t>YouTube</t>
        </is>
      </c>
      <c r="G350" s="27" t="inlineStr">
        <is>
          <t>https://www.youtube.com/@isaacashford</t>
        </is>
      </c>
      <c r="H350" s="27" t="inlineStr">
        <is>
          <t>UCUS00346156941</t>
        </is>
      </c>
      <c r="I350" s="27" t="inlineStr">
        <is>
          <t>640,000</t>
        </is>
      </c>
      <c r="J350" s="27" t="inlineStr">
        <is>
          <t>2026-10-12</t>
        </is>
      </c>
      <c r="K350" s="27" t="inlineStr">
        <is>
          <t>https://www.youtube.com/watch?v=us00346</t>
        </is>
      </c>
      <c r="L350" s="27" t="n">
        <v>14</v>
      </c>
      <c r="M350" s="27" t="n">
        <v>20</v>
      </c>
      <c r="N350" s="27" t="inlineStr">
        <is>
          <t>Product</t>
        </is>
      </c>
      <c r="O350" s="27" t="inlineStr">
        <is>
          <t>https://isaacashford.com/shop</t>
        </is>
      </c>
      <c r="P350" s="27" t="inlineStr">
        <is>
          <t>Multilingual Audio Dubbing</t>
        </is>
      </c>
      <c r="Q350" s="27" t="inlineStr">
        <is>
          <t>https://isaacashford.com/highlights</t>
        </is>
      </c>
      <c r="R350" s="27" t="inlineStr">
        <is>
          <t>X (Twitter)</t>
        </is>
      </c>
      <c r="S350" s="27" t="inlineStr">
        <is>
          <t>https://x.com/isaacashford</t>
        </is>
      </c>
      <c r="T350" s="27" t="inlineStr">
        <is>
          <t>https://isaacashford.com/links</t>
        </is>
      </c>
      <c r="U350" s="27" t="inlineStr">
        <is>
          <t>LinkedIn</t>
        </is>
      </c>
      <c r="V350" s="27" t="inlineStr">
        <is>
          <t>finance &amp; wealth engineering frameworks, specifically regarding episode 47 on Finance &amp; Wealth Engineering workflow optimization</t>
        </is>
      </c>
      <c r="W350" s="27" t="inlineStr">
        <is>
          <t>Hi Isaac,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50" s="27" t="inlineStr">
        <is>
          <t>2026-10-18</t>
        </is>
      </c>
      <c r="Y350" s="27" t="inlineStr">
        <is>
          <t>C</t>
        </is>
      </c>
      <c r="Z350" s="27" t="n">
        <v>75.2</v>
      </c>
      <c r="AA350" s="27" t="inlineStr">
        <is>
          <t>Qualified</t>
        </is>
      </c>
      <c r="AB350" s="27" t="inlineStr"/>
      <c r="AC350" s="28">
        <f>IF(A350="","",IF(COUNTIF($H$5:$H$1004,H350)&gt;1,"DUPLICATE","UNIQUE"))</f>
        <v/>
      </c>
      <c r="AD350" s="28">
        <f>IF(A350="","",IF(AA350="Rejected",IF(AB350&lt;&gt;"","REJECTED","ADD REASON"),IF(AND(B350&lt;&gt;"",C350&lt;&gt;"",D350&lt;&gt;"",E350&lt;&gt;"",F350&lt;&gt;"",G350&lt;&gt;"",H350&lt;&gt;"",J350&lt;&gt;"",K350&lt;&gt;"",N350&lt;&gt;"",O350&lt;&gt;"",P350&lt;&gt;"",Q350&lt;&gt;"",R350&lt;&gt;"",S350&lt;&gt;"",T350&lt;&gt;"",V350&lt;&gt;"",W350&lt;&gt;"",X350&lt;&gt;"",Y350&lt;&gt;""),"COMPLETE","MISSING FIELDS")))</f>
        <v/>
      </c>
    </row>
    <row r="351" ht="15" customHeight="1" s="15">
      <c r="A351" s="27" t="inlineStr">
        <is>
          <t>LEAD-0347</t>
        </is>
      </c>
      <c r="B351" s="27" t="inlineStr">
        <is>
          <t>Isaac Bancroft</t>
        </is>
      </c>
      <c r="C351" s="27" t="inlineStr">
        <is>
          <t>Podcaster</t>
        </is>
      </c>
      <c r="D351" s="27" t="inlineStr">
        <is>
          <t>US</t>
        </is>
      </c>
      <c r="E351" s="27" t="inlineStr">
        <is>
          <t>English</t>
        </is>
      </c>
      <c r="F351" s="27" t="inlineStr">
        <is>
          <t>Apple Podcasts</t>
        </is>
      </c>
      <c r="G351" s="27" t="inlineStr">
        <is>
          <t>https://podcasts.apple.com/us/podcast/isaacbancroft/id1000347</t>
        </is>
      </c>
      <c r="H351" s="27" t="inlineStr">
        <is>
          <t>AP-US-1000347</t>
        </is>
      </c>
      <c r="I351" s="27" t="inlineStr">
        <is>
          <t>276,000</t>
        </is>
      </c>
      <c r="J351" s="27" t="inlineStr">
        <is>
          <t>2026-10-13</t>
        </is>
      </c>
      <c r="K351" s="27" t="inlineStr">
        <is>
          <t>https://isaacbancroft.com/episodes/148</t>
        </is>
      </c>
      <c r="L351" s="27" t="n">
        <v>15</v>
      </c>
      <c r="M351" s="27" t="n">
        <v>21</v>
      </c>
      <c r="N351" s="27" t="inlineStr">
        <is>
          <t>Consulting</t>
        </is>
      </c>
      <c r="O351" s="27" t="inlineStr">
        <is>
          <t>https://isaacbancroft.com/advisory</t>
        </is>
      </c>
      <c r="P351" s="27" t="inlineStr">
        <is>
          <t>Multilingual Audio Dubbing</t>
        </is>
      </c>
      <c r="Q351" s="27" t="inlineStr">
        <is>
          <t>https://isaacbancroft.com/highlights</t>
        </is>
      </c>
      <c r="R351" s="27" t="inlineStr">
        <is>
          <t>Email</t>
        </is>
      </c>
      <c r="S351" s="27" t="inlineStr">
        <is>
          <t>hello@isaacbancroft.com</t>
        </is>
      </c>
      <c r="T351" s="27" t="inlineStr">
        <is>
          <t>https://isaacbancroft.com/work-with-me</t>
        </is>
      </c>
      <c r="U351" s="27" t="inlineStr">
        <is>
          <t>LinkedIn</t>
        </is>
      </c>
      <c r="V351" s="27" t="inlineStr">
        <is>
          <t>health &amp; longevity science frameworks, specifically regarding episode 48 on Health &amp; Longevity Science workflow optimization</t>
        </is>
      </c>
      <c r="W351" s="27" t="inlineStr">
        <is>
          <t>Hi Isaac,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51" s="27" t="inlineStr">
        <is>
          <t>2026-10-18</t>
        </is>
      </c>
      <c r="Y351" s="27" t="inlineStr">
        <is>
          <t>C</t>
        </is>
      </c>
      <c r="Z351" s="27" t="n">
        <v>75.2</v>
      </c>
      <c r="AA351" s="27" t="inlineStr">
        <is>
          <t>Qualified</t>
        </is>
      </c>
      <c r="AB351" s="27" t="inlineStr"/>
      <c r="AC351" s="28">
        <f>IF(A351="","",IF(COUNTIF($H$5:$H$1004,H351)&gt;1,"DUPLICATE","UNIQUE"))</f>
        <v/>
      </c>
      <c r="AD351" s="28">
        <f>IF(A351="","",IF(AA351="Rejected",IF(AB351&lt;&gt;"","REJECTED","ADD REASON"),IF(AND(B351&lt;&gt;"",C351&lt;&gt;"",D351&lt;&gt;"",E351&lt;&gt;"",F351&lt;&gt;"",G351&lt;&gt;"",H351&lt;&gt;"",J351&lt;&gt;"",K351&lt;&gt;"",N351&lt;&gt;"",O351&lt;&gt;"",P351&lt;&gt;"",Q351&lt;&gt;"",R351&lt;&gt;"",S351&lt;&gt;"",T351&lt;&gt;"",V351&lt;&gt;"",W351&lt;&gt;"",X351&lt;&gt;"",Y351&lt;&gt;""),"COMPLETE","MISSING FIELDS")))</f>
        <v/>
      </c>
    </row>
    <row r="352" ht="15" customHeight="1" s="15">
      <c r="A352" s="27" t="inlineStr">
        <is>
          <t>LEAD-0348</t>
        </is>
      </c>
      <c r="B352" s="27" t="inlineStr">
        <is>
          <t>Isaac Calloway</t>
        </is>
      </c>
      <c r="C352" s="27" t="inlineStr">
        <is>
          <t>YouTuber</t>
        </is>
      </c>
      <c r="D352" s="27" t="inlineStr">
        <is>
          <t>US</t>
        </is>
      </c>
      <c r="E352" s="27" t="inlineStr">
        <is>
          <t>English</t>
        </is>
      </c>
      <c r="F352" s="27" t="inlineStr">
        <is>
          <t>YouTube</t>
        </is>
      </c>
      <c r="G352" s="27" t="inlineStr">
        <is>
          <t>https://www.youtube.com/@isaaccalloway</t>
        </is>
      </c>
      <c r="H352" s="27" t="inlineStr">
        <is>
          <t>UCUS00348300683</t>
        </is>
      </c>
      <c r="I352" s="27" t="inlineStr">
        <is>
          <t>680,000</t>
        </is>
      </c>
      <c r="J352" s="27" t="inlineStr">
        <is>
          <t>2026-10-14</t>
        </is>
      </c>
      <c r="K352" s="27" t="inlineStr">
        <is>
          <t>https://www.youtube.com/watch?v=us00348</t>
        </is>
      </c>
      <c r="L352" s="27" t="n">
        <v>16</v>
      </c>
      <c r="M352" s="27" t="n">
        <v>22</v>
      </c>
      <c r="N352" s="27" t="inlineStr">
        <is>
          <t>Newsletter Subscription</t>
        </is>
      </c>
      <c r="O352" s="27" t="inlineStr">
        <is>
          <t>https://isaaccalloway.com/subscribe</t>
        </is>
      </c>
      <c r="P352" s="27" t="inlineStr">
        <is>
          <t>Missing Video Captions &amp; Retention Clips</t>
        </is>
      </c>
      <c r="Q352" s="27" t="inlineStr">
        <is>
          <t>https://isaaccalloway.com/highlights</t>
        </is>
      </c>
      <c r="R352" s="27" t="inlineStr">
        <is>
          <t>Email</t>
        </is>
      </c>
      <c r="S352" s="27" t="inlineStr">
        <is>
          <t>contact@isaaccalloway.com</t>
        </is>
      </c>
      <c r="T352" s="27" t="inlineStr">
        <is>
          <t>https://isaaccalloway.com/contact</t>
        </is>
      </c>
      <c r="U352" s="27" t="inlineStr">
        <is>
          <t>LinkedIn</t>
        </is>
      </c>
      <c r="V352" s="27" t="inlineStr">
        <is>
          <t>education &amp; applied coding frameworks, specifically regarding episode 49 on Education &amp; Applied Coding workflow optimization</t>
        </is>
      </c>
      <c r="W352" s="27" t="inlineStr">
        <is>
          <t>Hi Isaac,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52" s="27" t="inlineStr">
        <is>
          <t>2026-10-18</t>
        </is>
      </c>
      <c r="Y352" s="27" t="inlineStr">
        <is>
          <t>C</t>
        </is>
      </c>
      <c r="Z352" s="27" t="n">
        <v>75.09999999999999</v>
      </c>
      <c r="AA352" s="27" t="inlineStr">
        <is>
          <t>Qualified</t>
        </is>
      </c>
      <c r="AB352" s="27" t="inlineStr"/>
      <c r="AC352" s="28">
        <f>IF(A352="","",IF(COUNTIF($H$5:$H$1004,H352)&gt;1,"DUPLICATE","UNIQUE"))</f>
        <v/>
      </c>
      <c r="AD352" s="28">
        <f>IF(A352="","",IF(AA352="Rejected",IF(AB352&lt;&gt;"","REJECTED","ADD REASON"),IF(AND(B352&lt;&gt;"",C352&lt;&gt;"",D352&lt;&gt;"",E352&lt;&gt;"",F352&lt;&gt;"",G352&lt;&gt;"",H352&lt;&gt;"",J352&lt;&gt;"",K352&lt;&gt;"",N352&lt;&gt;"",O352&lt;&gt;"",P352&lt;&gt;"",Q352&lt;&gt;"",R352&lt;&gt;"",S352&lt;&gt;"",T352&lt;&gt;"",V352&lt;&gt;"",W352&lt;&gt;"",X352&lt;&gt;"",Y352&lt;&gt;""),"COMPLETE","MISSING FIELDS")))</f>
        <v/>
      </c>
    </row>
    <row r="353" ht="15" customHeight="1" s="15">
      <c r="A353" s="27" t="inlineStr">
        <is>
          <t>LEAD-0349</t>
        </is>
      </c>
      <c r="B353" s="27" t="inlineStr">
        <is>
          <t>Isaac Delaney</t>
        </is>
      </c>
      <c r="C353" s="27" t="inlineStr">
        <is>
          <t>Podcaster</t>
        </is>
      </c>
      <c r="D353" s="27" t="inlineStr">
        <is>
          <t>US</t>
        </is>
      </c>
      <c r="E353" s="27" t="inlineStr">
        <is>
          <t>English</t>
        </is>
      </c>
      <c r="F353" s="27" t="inlineStr">
        <is>
          <t>Apple Podcasts</t>
        </is>
      </c>
      <c r="G353" s="27" t="inlineStr">
        <is>
          <t>https://podcasts.apple.com/us/podcast/isaacdelaney/id1000349</t>
        </is>
      </c>
      <c r="H353" s="27" t="inlineStr">
        <is>
          <t>AP-US-1000349</t>
        </is>
      </c>
      <c r="I353" s="27" t="inlineStr">
        <is>
          <t>300,000</t>
        </is>
      </c>
      <c r="J353" s="27" t="inlineStr">
        <is>
          <t>2026-10-15</t>
        </is>
      </c>
      <c r="K353" s="27" t="inlineStr">
        <is>
          <t>https://isaacdelaney.com/episodes/150</t>
        </is>
      </c>
      <c r="L353" s="27" t="n">
        <v>17</v>
      </c>
      <c r="M353" s="27" t="n">
        <v>23</v>
      </c>
      <c r="N353" s="27" t="inlineStr">
        <is>
          <t>Affiliate</t>
        </is>
      </c>
      <c r="O353" s="27" t="inlineStr">
        <is>
          <t>https://isaacdelaney.com/resources</t>
        </is>
      </c>
      <c r="P353" s="27" t="inlineStr">
        <is>
          <t>Shorts Repurposing Bottleneck</t>
        </is>
      </c>
      <c r="Q353" s="27" t="inlineStr">
        <is>
          <t>https://isaacdelaney.com/highlights</t>
        </is>
      </c>
      <c r="R353" s="27" t="inlineStr">
        <is>
          <t>LinkedIn</t>
        </is>
      </c>
      <c r="S353" s="27" t="inlineStr">
        <is>
          <t>https://linkedin.com/in/isaacdelaney</t>
        </is>
      </c>
      <c r="T353" s="27" t="inlineStr">
        <is>
          <t>https://isaacdelaney.com/about</t>
        </is>
      </c>
      <c r="U353" s="27" t="inlineStr">
        <is>
          <t>Email</t>
        </is>
      </c>
      <c r="V353" s="27" t="inlineStr">
        <is>
          <t>e-commerce &amp; digital brands frameworks, specifically regarding episode 50 on E-Commerce &amp; Digital Brands workflow optimization</t>
        </is>
      </c>
      <c r="W353" s="27" t="inlineStr">
        <is>
          <t>Hi Isaac,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53" s="27" t="inlineStr">
        <is>
          <t>2026-10-18</t>
        </is>
      </c>
      <c r="Y353" s="27" t="inlineStr">
        <is>
          <t>C</t>
        </is>
      </c>
      <c r="Z353" s="27" t="n">
        <v>75.09999999999999</v>
      </c>
      <c r="AA353" s="27" t="inlineStr">
        <is>
          <t>Qualified</t>
        </is>
      </c>
      <c r="AB353" s="27" t="inlineStr"/>
      <c r="AC353" s="28">
        <f>IF(A353="","",IF(COUNTIF($H$5:$H$1004,H353)&gt;1,"DUPLICATE","UNIQUE"))</f>
        <v/>
      </c>
      <c r="AD353" s="28">
        <f>IF(A353="","",IF(AA353="Rejected",IF(AB353&lt;&gt;"","REJECTED","ADD REASON"),IF(AND(B353&lt;&gt;"",C353&lt;&gt;"",D353&lt;&gt;"",E353&lt;&gt;"",F353&lt;&gt;"",G353&lt;&gt;"",H353&lt;&gt;"",J353&lt;&gt;"",K353&lt;&gt;"",N353&lt;&gt;"",O353&lt;&gt;"",P353&lt;&gt;"",Q353&lt;&gt;"",R353&lt;&gt;"",S353&lt;&gt;"",T353&lt;&gt;"",V353&lt;&gt;"",W353&lt;&gt;"",X353&lt;&gt;"",Y353&lt;&gt;""),"COMPLETE","MISSING FIELDS")))</f>
        <v/>
      </c>
    </row>
    <row r="354" ht="15" customHeight="1" s="15">
      <c r="A354" s="27" t="inlineStr">
        <is>
          <t>LEAD-0350</t>
        </is>
      </c>
      <c r="B354" s="27" t="inlineStr">
        <is>
          <t>Isaac Eastwood</t>
        </is>
      </c>
      <c r="C354" s="27" t="inlineStr">
        <is>
          <t>YouTuber</t>
        </is>
      </c>
      <c r="D354" s="27" t="inlineStr">
        <is>
          <t>US</t>
        </is>
      </c>
      <c r="E354" s="27" t="inlineStr">
        <is>
          <t>English</t>
        </is>
      </c>
      <c r="F354" s="27" t="inlineStr">
        <is>
          <t>YouTube</t>
        </is>
      </c>
      <c r="G354" s="27" t="inlineStr">
        <is>
          <t>https://www.youtube.com/@isaaceastwood</t>
        </is>
      </c>
      <c r="H354" s="27" t="inlineStr">
        <is>
          <t>UCUS00350834658</t>
        </is>
      </c>
      <c r="I354" s="27" t="inlineStr">
        <is>
          <t>20,000</t>
        </is>
      </c>
      <c r="J354" s="27" t="inlineStr">
        <is>
          <t>2026-10-16</t>
        </is>
      </c>
      <c r="K354" s="27" t="inlineStr">
        <is>
          <t>https://www.youtube.com/watch?v=us00350</t>
        </is>
      </c>
      <c r="L354" s="27" t="n">
        <v>8</v>
      </c>
      <c r="M354" s="27" t="n">
        <v>24</v>
      </c>
      <c r="N354" s="27" t="inlineStr">
        <is>
          <t>Course</t>
        </is>
      </c>
      <c r="O354" s="27" t="inlineStr">
        <is>
          <t>https://isaaceastwood.com/academy</t>
        </is>
      </c>
      <c r="P354" s="27" t="inlineStr">
        <is>
          <t>Shorts Repurposing Bottleneck</t>
        </is>
      </c>
      <c r="Q354" s="27" t="inlineStr">
        <is>
          <t>https://isaaceastwood.com/highlights</t>
        </is>
      </c>
      <c r="R354" s="27" t="inlineStr">
        <is>
          <t>X (Twitter)</t>
        </is>
      </c>
      <c r="S354" s="27" t="inlineStr">
        <is>
          <t>https://x.com/isaaceastwood</t>
        </is>
      </c>
      <c r="T354" s="27" t="inlineStr">
        <is>
          <t>https://isaaceastwood.com/links</t>
        </is>
      </c>
      <c r="U354" s="27" t="inlineStr">
        <is>
          <t>LinkedIn</t>
        </is>
      </c>
      <c r="V354" s="27" t="inlineStr">
        <is>
          <t>tech &amp; ai frameworks, specifically regarding episode 1 on Tech &amp; AI workflow optimization</t>
        </is>
      </c>
      <c r="W354" s="27" t="inlineStr">
        <is>
          <t>Hi Isaac,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54" s="27" t="inlineStr">
        <is>
          <t>2026-10-18</t>
        </is>
      </c>
      <c r="Y354" s="27" t="inlineStr">
        <is>
          <t>C</t>
        </is>
      </c>
      <c r="Z354" s="27" t="n">
        <v>75</v>
      </c>
      <c r="AA354" s="27" t="inlineStr">
        <is>
          <t>Qualified</t>
        </is>
      </c>
      <c r="AB354" s="27" t="inlineStr"/>
      <c r="AC354" s="28">
        <f>IF(A354="","",IF(COUNTIF($H$5:$H$1004,H354)&gt;1,"DUPLICATE","UNIQUE"))</f>
        <v/>
      </c>
      <c r="AD354" s="28">
        <f>IF(A354="","",IF(AA354="Rejected",IF(AB354&lt;&gt;"","REJECTED","ADD REASON"),IF(AND(B354&lt;&gt;"",C354&lt;&gt;"",D354&lt;&gt;"",E354&lt;&gt;"",F354&lt;&gt;"",G354&lt;&gt;"",H354&lt;&gt;"",J354&lt;&gt;"",K354&lt;&gt;"",N354&lt;&gt;"",O354&lt;&gt;"",P354&lt;&gt;"",Q354&lt;&gt;"",R354&lt;&gt;"",S354&lt;&gt;"",T354&lt;&gt;"",V354&lt;&gt;"",W354&lt;&gt;"",X354&lt;&gt;"",Y354&lt;&gt;""),"COMPLETE","MISSING FIELDS")))</f>
        <v/>
      </c>
    </row>
    <row r="355" ht="15" customHeight="1" s="15">
      <c r="A355" s="27" t="inlineStr">
        <is>
          <t>LEAD-0351</t>
        </is>
      </c>
      <c r="B355" s="27" t="inlineStr">
        <is>
          <t>Isaac Fairchild</t>
        </is>
      </c>
      <c r="C355" s="27" t="inlineStr">
        <is>
          <t>Podcaster</t>
        </is>
      </c>
      <c r="D355" s="27" t="inlineStr">
        <is>
          <t>US</t>
        </is>
      </c>
      <c r="E355" s="27" t="inlineStr">
        <is>
          <t>English</t>
        </is>
      </c>
      <c r="F355" s="27" t="inlineStr">
        <is>
          <t>Apple Podcasts</t>
        </is>
      </c>
      <c r="G355" s="27" t="inlineStr">
        <is>
          <t>https://podcasts.apple.com/us/podcast/isaacfairchild/id1000351</t>
        </is>
      </c>
      <c r="H355" s="27" t="inlineStr">
        <is>
          <t>AP-US-1000351</t>
        </is>
      </c>
      <c r="I355" s="27" t="inlineStr">
        <is>
          <t>24,000</t>
        </is>
      </c>
      <c r="J355" s="27" t="inlineStr">
        <is>
          <t>2026-10-17</t>
        </is>
      </c>
      <c r="K355" s="27" t="inlineStr">
        <is>
          <t>https://isaacfairchild.com/episodes/152</t>
        </is>
      </c>
      <c r="L355" s="27" t="n">
        <v>9</v>
      </c>
      <c r="M355" s="27" t="n">
        <v>25</v>
      </c>
      <c r="N355" s="27" t="inlineStr">
        <is>
          <t>Sponsor</t>
        </is>
      </c>
      <c r="O355" s="27" t="inlineStr">
        <is>
          <t>https://isaacfairchild.com/partners</t>
        </is>
      </c>
      <c r="P355" s="27" t="inlineStr">
        <is>
          <t>Missing Video Captions &amp; Retention Clips</t>
        </is>
      </c>
      <c r="Q355" s="27" t="inlineStr">
        <is>
          <t>https://isaacfairchild.com/highlights</t>
        </is>
      </c>
      <c r="R355" s="27" t="inlineStr">
        <is>
          <t>Email</t>
        </is>
      </c>
      <c r="S355" s="27" t="inlineStr">
        <is>
          <t>hello@isaacfairchild.com</t>
        </is>
      </c>
      <c r="T355" s="27" t="inlineStr">
        <is>
          <t>https://isaacfairchild.com/work-with-me</t>
        </is>
      </c>
      <c r="U355" s="27" t="inlineStr">
        <is>
          <t>LinkedIn</t>
        </is>
      </c>
      <c r="V355" s="27" t="inlineStr">
        <is>
          <t>saas &amp; product growth frameworks, specifically regarding episode 2 on SaaS &amp; Product Growth workflow optimization</t>
        </is>
      </c>
      <c r="W355" s="27" t="inlineStr">
        <is>
          <t>Hi Isaac, loved your recent piece on 'saas &amp; product growth frameworks, specifically regarding episode 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55" s="27" t="inlineStr">
        <is>
          <t>2026-10-18</t>
        </is>
      </c>
      <c r="Y355" s="27" t="inlineStr">
        <is>
          <t>C</t>
        </is>
      </c>
      <c r="Z355" s="27" t="n">
        <v>74.90000000000001</v>
      </c>
      <c r="AA355" s="27" t="inlineStr">
        <is>
          <t>Qualified</t>
        </is>
      </c>
      <c r="AB355" s="27" t="inlineStr"/>
      <c r="AC355" s="28">
        <f>IF(A355="","",IF(COUNTIF($H$5:$H$1004,H355)&gt;1,"DUPLICATE","UNIQUE"))</f>
        <v/>
      </c>
      <c r="AD355" s="28">
        <f>IF(A355="","",IF(AA355="Rejected",IF(AB355&lt;&gt;"","REJECTED","ADD REASON"),IF(AND(B355&lt;&gt;"",C355&lt;&gt;"",D355&lt;&gt;"",E355&lt;&gt;"",F355&lt;&gt;"",G355&lt;&gt;"",H355&lt;&gt;"",J355&lt;&gt;"",K355&lt;&gt;"",N355&lt;&gt;"",O355&lt;&gt;"",P355&lt;&gt;"",Q355&lt;&gt;"",R355&lt;&gt;"",S355&lt;&gt;"",T355&lt;&gt;"",V355&lt;&gt;"",W355&lt;&gt;"",X355&lt;&gt;"",Y355&lt;&gt;""),"COMPLETE","MISSING FIELDS")))</f>
        <v/>
      </c>
    </row>
    <row r="356" ht="15" customHeight="1" s="15">
      <c r="A356" s="27" t="inlineStr">
        <is>
          <t>LEAD-0352</t>
        </is>
      </c>
      <c r="B356" s="27" t="inlineStr">
        <is>
          <t>Isaac Gallagher</t>
        </is>
      </c>
      <c r="C356" s="27" t="inlineStr">
        <is>
          <t>Expert-Led Creator</t>
        </is>
      </c>
      <c r="D356" s="27" t="inlineStr">
        <is>
          <t>US</t>
        </is>
      </c>
      <c r="E356" s="27" t="inlineStr">
        <is>
          <t>English</t>
        </is>
      </c>
      <c r="F356" s="27" t="inlineStr">
        <is>
          <t>YouTube</t>
        </is>
      </c>
      <c r="G356" s="27" t="inlineStr">
        <is>
          <t>https://www.youtube.com/@isaacgallagher</t>
        </is>
      </c>
      <c r="H356" s="27" t="inlineStr">
        <is>
          <t>UCUS00352750450</t>
        </is>
      </c>
      <c r="I356" s="27" t="inlineStr">
        <is>
          <t>60,000</t>
        </is>
      </c>
      <c r="J356" s="27" t="inlineStr">
        <is>
          <t>2026-10-10</t>
        </is>
      </c>
      <c r="K356" s="27" t="inlineStr">
        <is>
          <t>https://www.youtube.com/watch?v=us00352</t>
        </is>
      </c>
      <c r="L356" s="27" t="n">
        <v>10</v>
      </c>
      <c r="M356" s="27" t="n">
        <v>26</v>
      </c>
      <c r="N356" s="27" t="inlineStr">
        <is>
          <t>Membership</t>
        </is>
      </c>
      <c r="O356" s="27" t="inlineStr">
        <is>
          <t>https://isaacgallagher.com/community</t>
        </is>
      </c>
      <c r="P356" s="27" t="inlineStr">
        <is>
          <t>Editing Backlog &amp; Team Workflow Overhead</t>
        </is>
      </c>
      <c r="Q356" s="27" t="inlineStr">
        <is>
          <t>https://isaacgallagher.com/highlights</t>
        </is>
      </c>
      <c r="R356" s="27" t="inlineStr">
        <is>
          <t>Email</t>
        </is>
      </c>
      <c r="S356" s="27" t="inlineStr">
        <is>
          <t>contact@isaacgallagher.com</t>
        </is>
      </c>
      <c r="T356" s="27" t="inlineStr">
        <is>
          <t>https://isaacgallagher.com/contact</t>
        </is>
      </c>
      <c r="U356" s="27" t="inlineStr">
        <is>
          <t>LinkedIn</t>
        </is>
      </c>
      <c r="V356" s="27" t="inlineStr">
        <is>
          <t>creator business &amp; monetization frameworks, specifically regarding episode 3 on Creator Business &amp; Monetization workflow optimization</t>
        </is>
      </c>
      <c r="W356" s="27" t="inlineStr">
        <is>
          <t>Hi Isaac, loved your recent piece on 'creator business &amp; monetization frameworks, specifically regarding episode 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56" s="27" t="inlineStr">
        <is>
          <t>2026-10-18</t>
        </is>
      </c>
      <c r="Y356" s="27" t="inlineStr">
        <is>
          <t>C</t>
        </is>
      </c>
      <c r="Z356" s="27" t="n">
        <v>74.90000000000001</v>
      </c>
      <c r="AA356" s="27" t="inlineStr">
        <is>
          <t>Qualified</t>
        </is>
      </c>
      <c r="AB356" s="27" t="inlineStr"/>
      <c r="AC356" s="28">
        <f>IF(A356="","",IF(COUNTIF($H$5:$H$1004,H356)&gt;1,"DUPLICATE","UNIQUE"))</f>
        <v/>
      </c>
      <c r="AD356" s="28">
        <f>IF(A356="","",IF(AA356="Rejected",IF(AB356&lt;&gt;"","REJECTED","ADD REASON"),IF(AND(B356&lt;&gt;"",C356&lt;&gt;"",D356&lt;&gt;"",E356&lt;&gt;"",F356&lt;&gt;"",G356&lt;&gt;"",H356&lt;&gt;"",J356&lt;&gt;"",K356&lt;&gt;"",N356&lt;&gt;"",O356&lt;&gt;"",P356&lt;&gt;"",Q356&lt;&gt;"",R356&lt;&gt;"",S356&lt;&gt;"",T356&lt;&gt;"",V356&lt;&gt;"",W356&lt;&gt;"",X356&lt;&gt;"",Y356&lt;&gt;""),"COMPLETE","MISSING FIELDS")))</f>
        <v/>
      </c>
    </row>
    <row r="357" ht="15" customHeight="1" s="15">
      <c r="A357" s="27" t="inlineStr">
        <is>
          <t>LEAD-0353</t>
        </is>
      </c>
      <c r="B357" s="27" t="inlineStr">
        <is>
          <t>Isaac Hawthorne</t>
        </is>
      </c>
      <c r="C357" s="27" t="inlineStr">
        <is>
          <t>YouTuber</t>
        </is>
      </c>
      <c r="D357" s="27" t="inlineStr">
        <is>
          <t>US</t>
        </is>
      </c>
      <c r="E357" s="27" t="inlineStr">
        <is>
          <t>English</t>
        </is>
      </c>
      <c r="F357" s="27" t="inlineStr">
        <is>
          <t>YouTube</t>
        </is>
      </c>
      <c r="G357" s="27" t="inlineStr">
        <is>
          <t>https://www.youtube.com/@isaachawthorne</t>
        </is>
      </c>
      <c r="H357" s="27" t="inlineStr">
        <is>
          <t>UCUS00353384588</t>
        </is>
      </c>
      <c r="I357" s="27" t="inlineStr">
        <is>
          <t>80,000</t>
        </is>
      </c>
      <c r="J357" s="27" t="inlineStr">
        <is>
          <t>2026-10-11</t>
        </is>
      </c>
      <c r="K357" s="27" t="inlineStr">
        <is>
          <t>https://www.youtube.com/watch?v=us00353</t>
        </is>
      </c>
      <c r="L357" s="27" t="n">
        <v>11</v>
      </c>
      <c r="M357" s="27" t="n">
        <v>27</v>
      </c>
      <c r="N357" s="27" t="inlineStr">
        <is>
          <t>Product</t>
        </is>
      </c>
      <c r="O357" s="27" t="inlineStr">
        <is>
          <t>https://isaachawthorne.com/shop</t>
        </is>
      </c>
      <c r="P357" s="27" t="inlineStr">
        <is>
          <t>Shorts Repurposing Bottleneck</t>
        </is>
      </c>
      <c r="Q357" s="27" t="inlineStr">
        <is>
          <t>https://isaachawthorne.com/highlights</t>
        </is>
      </c>
      <c r="R357" s="27" t="inlineStr">
        <is>
          <t>LinkedIn</t>
        </is>
      </c>
      <c r="S357" s="27" t="inlineStr">
        <is>
          <t>https://linkedin.com/in/isaachawthorne</t>
        </is>
      </c>
      <c r="T357" s="27" t="inlineStr">
        <is>
          <t>https://isaachawthorne.com/about</t>
        </is>
      </c>
      <c r="U357" s="27" t="inlineStr">
        <is>
          <t>Email</t>
        </is>
      </c>
      <c r="V357" s="27" t="inlineStr">
        <is>
          <t>productivity &amp; personal systems frameworks, specifically regarding episode 4 on Productivity &amp; Personal Systems workflow optimization</t>
        </is>
      </c>
      <c r="W357" s="27" t="inlineStr">
        <is>
          <t>Hi Isaac, loved your recent piece on 'productivity &amp; personal systems frameworks, specifically regarding episode 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57" s="27" t="inlineStr">
        <is>
          <t>2026-10-18</t>
        </is>
      </c>
      <c r="Y357" s="27" t="inlineStr">
        <is>
          <t>C</t>
        </is>
      </c>
      <c r="Z357" s="27" t="n">
        <v>74.8</v>
      </c>
      <c r="AA357" s="27" t="inlineStr">
        <is>
          <t>Qualified</t>
        </is>
      </c>
      <c r="AB357" s="27" t="inlineStr"/>
      <c r="AC357" s="28">
        <f>IF(A357="","",IF(COUNTIF($H$5:$H$1004,H357)&gt;1,"DUPLICATE","UNIQUE"))</f>
        <v/>
      </c>
      <c r="AD357" s="28">
        <f>IF(A357="","",IF(AA357="Rejected",IF(AB357&lt;&gt;"","REJECTED","ADD REASON"),IF(AND(B357&lt;&gt;"",C357&lt;&gt;"",D357&lt;&gt;"",E357&lt;&gt;"",F357&lt;&gt;"",G357&lt;&gt;"",H357&lt;&gt;"",J357&lt;&gt;"",K357&lt;&gt;"",N357&lt;&gt;"",O357&lt;&gt;"",P357&lt;&gt;"",Q357&lt;&gt;"",R357&lt;&gt;"",S357&lt;&gt;"",T357&lt;&gt;"",V357&lt;&gt;"",W357&lt;&gt;"",X357&lt;&gt;"",Y357&lt;&gt;""),"COMPLETE","MISSING FIELDS")))</f>
        <v/>
      </c>
    </row>
    <row r="358" ht="15" customHeight="1" s="15">
      <c r="A358" s="27" t="inlineStr">
        <is>
          <t>LEAD-0354</t>
        </is>
      </c>
      <c r="B358" s="27" t="inlineStr">
        <is>
          <t>Isaac Ingram</t>
        </is>
      </c>
      <c r="C358" s="27" t="inlineStr">
        <is>
          <t>Podcaster</t>
        </is>
      </c>
      <c r="D358" s="27" t="inlineStr">
        <is>
          <t>US</t>
        </is>
      </c>
      <c r="E358" s="27" t="inlineStr">
        <is>
          <t>English</t>
        </is>
      </c>
      <c r="F358" s="27" t="inlineStr">
        <is>
          <t>Apple Podcasts</t>
        </is>
      </c>
      <c r="G358" s="27" t="inlineStr">
        <is>
          <t>https://podcasts.apple.com/us/podcast/isaacingram/id1000354</t>
        </is>
      </c>
      <c r="H358" s="27" t="inlineStr">
        <is>
          <t>AP-US-1000354</t>
        </is>
      </c>
      <c r="I358" s="27" t="inlineStr">
        <is>
          <t>60,000</t>
        </is>
      </c>
      <c r="J358" s="27" t="inlineStr">
        <is>
          <t>2026-10-12</t>
        </is>
      </c>
      <c r="K358" s="27" t="inlineStr">
        <is>
          <t>https://isaacingram.com/episodes/155</t>
        </is>
      </c>
      <c r="L358" s="27" t="n">
        <v>12</v>
      </c>
      <c r="M358" s="27" t="n">
        <v>28</v>
      </c>
      <c r="N358" s="27" t="inlineStr">
        <is>
          <t>Consulting</t>
        </is>
      </c>
      <c r="O358" s="27" t="inlineStr">
        <is>
          <t>https://isaacingram.com/advisory</t>
        </is>
      </c>
      <c r="P358" s="27" t="inlineStr">
        <is>
          <t>Inconsistent Cross-Platform Publishing</t>
        </is>
      </c>
      <c r="Q358" s="27" t="inlineStr">
        <is>
          <t>https://isaacingram.com/highlights</t>
        </is>
      </c>
      <c r="R358" s="27" t="inlineStr">
        <is>
          <t>X (Twitter)</t>
        </is>
      </c>
      <c r="S358" s="27" t="inlineStr">
        <is>
          <t>https://x.com/isaacingram</t>
        </is>
      </c>
      <c r="T358" s="27" t="inlineStr">
        <is>
          <t>https://isaacingram.com/links</t>
        </is>
      </c>
      <c r="U358" s="27" t="inlineStr">
        <is>
          <t>LinkedIn</t>
        </is>
      </c>
      <c r="V358" s="27" t="inlineStr">
        <is>
          <t>leadership &amp; team ops frameworks, specifically regarding episode 5 on Leadership &amp; Team Ops workflow optimization</t>
        </is>
      </c>
      <c r="W358" s="27" t="inlineStr">
        <is>
          <t>Hi Isaac, loved your recent piece on 'leadership &amp; team ops frameworks, specifically regarding episode 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58" s="27" t="inlineStr">
        <is>
          <t>2026-10-18</t>
        </is>
      </c>
      <c r="Y358" s="27" t="inlineStr">
        <is>
          <t>C</t>
        </is>
      </c>
      <c r="Z358" s="27" t="n">
        <v>74.8</v>
      </c>
      <c r="AA358" s="27" t="inlineStr">
        <is>
          <t>Qualified</t>
        </is>
      </c>
      <c r="AB358" s="27" t="inlineStr"/>
      <c r="AC358" s="28">
        <f>IF(A358="","",IF(COUNTIF($H$5:$H$1004,H358)&gt;1,"DUPLICATE","UNIQUE"))</f>
        <v/>
      </c>
      <c r="AD358" s="28">
        <f>IF(A358="","",IF(AA358="Rejected",IF(AB358&lt;&gt;"","REJECTED","ADD REASON"),IF(AND(B358&lt;&gt;"",C358&lt;&gt;"",D358&lt;&gt;"",E358&lt;&gt;"",F358&lt;&gt;"",G358&lt;&gt;"",H358&lt;&gt;"",J358&lt;&gt;"",K358&lt;&gt;"",N358&lt;&gt;"",O358&lt;&gt;"",P358&lt;&gt;"",Q358&lt;&gt;"",R358&lt;&gt;"",S358&lt;&gt;"",T358&lt;&gt;"",V358&lt;&gt;"",W358&lt;&gt;"",X358&lt;&gt;"",Y358&lt;&gt;""),"COMPLETE","MISSING FIELDS")))</f>
        <v/>
      </c>
    </row>
    <row r="359" ht="15" customHeight="1" s="15">
      <c r="A359" s="27" t="inlineStr">
        <is>
          <t>LEAD-0355</t>
        </is>
      </c>
      <c r="B359" s="27" t="inlineStr">
        <is>
          <t>Isaac Jennings</t>
        </is>
      </c>
      <c r="C359" s="27" t="inlineStr">
        <is>
          <t>Expert-Led Creator</t>
        </is>
      </c>
      <c r="D359" s="27" t="inlineStr">
        <is>
          <t>US</t>
        </is>
      </c>
      <c r="E359" s="27" t="inlineStr">
        <is>
          <t>English</t>
        </is>
      </c>
      <c r="F359" s="27" t="inlineStr">
        <is>
          <t>LinkedIn</t>
        </is>
      </c>
      <c r="G359" s="27" t="inlineStr">
        <is>
          <t>https://www.linkedin.com/in/isaacjennings</t>
        </is>
      </c>
      <c r="H359" s="27" t="inlineStr">
        <is>
          <t>LI-isaacjennings-0355</t>
        </is>
      </c>
      <c r="I359" s="27" t="inlineStr">
        <is>
          <t>156,000</t>
        </is>
      </c>
      <c r="J359" s="27" t="inlineStr">
        <is>
          <t>2026-10-13</t>
        </is>
      </c>
      <c r="K359" s="27" t="inlineStr">
        <is>
          <t>https://isaacjennings.com/posts/56</t>
        </is>
      </c>
      <c r="L359" s="27" t="n">
        <v>13</v>
      </c>
      <c r="M359" s="27" t="n">
        <v>29</v>
      </c>
      <c r="N359" s="27" t="inlineStr">
        <is>
          <t>Newsletter Subscription</t>
        </is>
      </c>
      <c r="O359" s="27" t="inlineStr">
        <is>
          <t>https://isaacjennings.com/subscribe</t>
        </is>
      </c>
      <c r="P359" s="27" t="inlineStr">
        <is>
          <t>Editing Backlog &amp; Team Workflow Overhead</t>
        </is>
      </c>
      <c r="Q359" s="27" t="inlineStr">
        <is>
          <t>https://isaacjennings.com/highlights</t>
        </is>
      </c>
      <c r="R359" s="27" t="inlineStr">
        <is>
          <t>Email</t>
        </is>
      </c>
      <c r="S359" s="27" t="inlineStr">
        <is>
          <t>hello@isaacjennings.com</t>
        </is>
      </c>
      <c r="T359" s="27" t="inlineStr">
        <is>
          <t>https://isaacjennings.com/work-with-me</t>
        </is>
      </c>
      <c r="U359" s="27" t="inlineStr">
        <is>
          <t>LinkedIn</t>
        </is>
      </c>
      <c r="V359" s="27" t="inlineStr">
        <is>
          <t>b2b marketing &amp; sales frameworks, specifically regarding episode 6 on B2B Marketing &amp; Sales workflow optimization</t>
        </is>
      </c>
      <c r="W359" s="27" t="inlineStr">
        <is>
          <t>Hi Isaac, loved your recent piece on 'b2b marketing &amp; sales frameworks, specifically regarding episode 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59" s="27" t="inlineStr">
        <is>
          <t>2026-10-18</t>
        </is>
      </c>
      <c r="Y359" s="27" t="inlineStr">
        <is>
          <t>C</t>
        </is>
      </c>
      <c r="Z359" s="27" t="n">
        <v>74.7</v>
      </c>
      <c r="AA359" s="27" t="inlineStr">
        <is>
          <t>Qualified</t>
        </is>
      </c>
      <c r="AB359" s="27" t="inlineStr"/>
      <c r="AC359" s="28">
        <f>IF(A359="","",IF(COUNTIF($H$5:$H$1004,H359)&gt;1,"DUPLICATE","UNIQUE"))</f>
        <v/>
      </c>
      <c r="AD359" s="28">
        <f>IF(A359="","",IF(AA359="Rejected",IF(AB359&lt;&gt;"","REJECTED","ADD REASON"),IF(AND(B359&lt;&gt;"",C359&lt;&gt;"",D359&lt;&gt;"",E359&lt;&gt;"",F359&lt;&gt;"",G359&lt;&gt;"",H359&lt;&gt;"",J359&lt;&gt;"",K359&lt;&gt;"",N359&lt;&gt;"",O359&lt;&gt;"",P359&lt;&gt;"",Q359&lt;&gt;"",R359&lt;&gt;"",S359&lt;&gt;"",T359&lt;&gt;"",V359&lt;&gt;"",W359&lt;&gt;"",X359&lt;&gt;"",Y359&lt;&gt;""),"COMPLETE","MISSING FIELDS")))</f>
        <v/>
      </c>
    </row>
    <row r="360" ht="15" customHeight="1" s="15">
      <c r="A360" s="27" t="inlineStr">
        <is>
          <t>LEAD-0356</t>
        </is>
      </c>
      <c r="B360" s="27" t="inlineStr">
        <is>
          <t>Isaac Kingsley</t>
        </is>
      </c>
      <c r="C360" s="27" t="inlineStr">
        <is>
          <t>YouTuber</t>
        </is>
      </c>
      <c r="D360" s="27" t="inlineStr">
        <is>
          <t>US</t>
        </is>
      </c>
      <c r="E360" s="27" t="inlineStr">
        <is>
          <t>English</t>
        </is>
      </c>
      <c r="F360" s="27" t="inlineStr">
        <is>
          <t>YouTube</t>
        </is>
      </c>
      <c r="G360" s="27" t="inlineStr">
        <is>
          <t>https://www.youtube.com/@isaackingsley</t>
        </is>
      </c>
      <c r="H360" s="27" t="inlineStr">
        <is>
          <t>UCUS00356762075</t>
        </is>
      </c>
      <c r="I360" s="27" t="inlineStr">
        <is>
          <t>140,000</t>
        </is>
      </c>
      <c r="J360" s="27" t="inlineStr">
        <is>
          <t>2026-10-14</t>
        </is>
      </c>
      <c r="K360" s="27" t="inlineStr">
        <is>
          <t>https://www.youtube.com/watch?v=us00356</t>
        </is>
      </c>
      <c r="L360" s="27" t="n">
        <v>14</v>
      </c>
      <c r="M360" s="27" t="n">
        <v>30</v>
      </c>
      <c r="N360" s="27" t="inlineStr">
        <is>
          <t>Affiliate</t>
        </is>
      </c>
      <c r="O360" s="27" t="inlineStr">
        <is>
          <t>https://isaackingsley.com/resources</t>
        </is>
      </c>
      <c r="P360" s="27" t="inlineStr">
        <is>
          <t>Multilingual Audio Dubbing</t>
        </is>
      </c>
      <c r="Q360" s="27" t="inlineStr">
        <is>
          <t>https://isaackingsley.com/highlights</t>
        </is>
      </c>
      <c r="R360" s="27" t="inlineStr">
        <is>
          <t>Email</t>
        </is>
      </c>
      <c r="S360" s="27" t="inlineStr">
        <is>
          <t>contact@isaackingsley.com</t>
        </is>
      </c>
      <c r="T360" s="27" t="inlineStr">
        <is>
          <t>https://isaackingsley.com/contact</t>
        </is>
      </c>
      <c r="U360" s="27" t="inlineStr">
        <is>
          <t>LinkedIn</t>
        </is>
      </c>
      <c r="V360" s="27" t="inlineStr">
        <is>
          <t>finance &amp; wealth engineering frameworks, specifically regarding episode 7 on Finance &amp; Wealth Engineering workflow optimization</t>
        </is>
      </c>
      <c r="W360" s="27" t="inlineStr">
        <is>
          <t>Hi Isaac, loved your recent piece on 'finance &amp; wealth engineering frameworks, specifically regarding episode 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60" s="27" t="inlineStr">
        <is>
          <t>2026-10-18</t>
        </is>
      </c>
      <c r="Y360" s="27" t="inlineStr">
        <is>
          <t>C</t>
        </is>
      </c>
      <c r="Z360" s="27" t="n">
        <v>74.59999999999999</v>
      </c>
      <c r="AA360" s="27" t="inlineStr">
        <is>
          <t>Qualified</t>
        </is>
      </c>
      <c r="AB360" s="27" t="inlineStr"/>
      <c r="AC360" s="28">
        <f>IF(A360="","",IF(COUNTIF($H$5:$H$1004,H360)&gt;1,"DUPLICATE","UNIQUE"))</f>
        <v/>
      </c>
      <c r="AD360" s="28">
        <f>IF(A360="","",IF(AA360="Rejected",IF(AB360&lt;&gt;"","REJECTED","ADD REASON"),IF(AND(B360&lt;&gt;"",C360&lt;&gt;"",D360&lt;&gt;"",E360&lt;&gt;"",F360&lt;&gt;"",G360&lt;&gt;"",H360&lt;&gt;"",J360&lt;&gt;"",K360&lt;&gt;"",N360&lt;&gt;"",O360&lt;&gt;"",P360&lt;&gt;"",Q360&lt;&gt;"",R360&lt;&gt;"",S360&lt;&gt;"",T360&lt;&gt;"",V360&lt;&gt;"",W360&lt;&gt;"",X360&lt;&gt;"",Y360&lt;&gt;""),"COMPLETE","MISSING FIELDS")))</f>
        <v/>
      </c>
    </row>
    <row r="361" ht="15" customHeight="1" s="15">
      <c r="A361" s="27" t="inlineStr">
        <is>
          <t>LEAD-0357</t>
        </is>
      </c>
      <c r="B361" s="27" t="inlineStr">
        <is>
          <t>Isaac Lockwood</t>
        </is>
      </c>
      <c r="C361" s="27" t="inlineStr">
        <is>
          <t>Podcaster</t>
        </is>
      </c>
      <c r="D361" s="27" t="inlineStr">
        <is>
          <t>US</t>
        </is>
      </c>
      <c r="E361" s="27" t="inlineStr">
        <is>
          <t>English</t>
        </is>
      </c>
      <c r="F361" s="27" t="inlineStr">
        <is>
          <t>Apple Podcasts</t>
        </is>
      </c>
      <c r="G361" s="27" t="inlineStr">
        <is>
          <t>https://podcasts.apple.com/us/podcast/isaaclockwood/id1000357</t>
        </is>
      </c>
      <c r="H361" s="27" t="inlineStr">
        <is>
          <t>AP-US-1000357</t>
        </is>
      </c>
      <c r="I361" s="27" t="inlineStr">
        <is>
          <t>96,000</t>
        </is>
      </c>
      <c r="J361" s="27" t="inlineStr">
        <is>
          <t>2026-10-15</t>
        </is>
      </c>
      <c r="K361" s="27" t="inlineStr">
        <is>
          <t>https://isaaclockwood.com/episodes/158</t>
        </is>
      </c>
      <c r="L361" s="27" t="n">
        <v>15</v>
      </c>
      <c r="M361" s="27" t="n">
        <v>31</v>
      </c>
      <c r="N361" s="27" t="inlineStr">
        <is>
          <t>Course</t>
        </is>
      </c>
      <c r="O361" s="27" t="inlineStr">
        <is>
          <t>https://isaaclockwood.com/academy</t>
        </is>
      </c>
      <c r="P361" s="27" t="inlineStr">
        <is>
          <t>Multilingual Audio Dubbing</t>
        </is>
      </c>
      <c r="Q361" s="27" t="inlineStr">
        <is>
          <t>https://isaaclockwood.com/highlights</t>
        </is>
      </c>
      <c r="R361" s="27" t="inlineStr">
        <is>
          <t>LinkedIn</t>
        </is>
      </c>
      <c r="S361" s="27" t="inlineStr">
        <is>
          <t>https://linkedin.com/in/isaaclockwood</t>
        </is>
      </c>
      <c r="T361" s="27" t="inlineStr">
        <is>
          <t>https://isaaclockwood.com/about</t>
        </is>
      </c>
      <c r="U361" s="27" t="inlineStr">
        <is>
          <t>Email</t>
        </is>
      </c>
      <c r="V361" s="27" t="inlineStr">
        <is>
          <t>health &amp; longevity science frameworks, specifically regarding episode 8 on Health &amp; Longevity Science workflow optimization</t>
        </is>
      </c>
      <c r="W361" s="27" t="inlineStr">
        <is>
          <t>Hi Isaac, loved your recent piece on 'health &amp; longevity science frameworks, specifically regarding episode 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61" s="27" t="inlineStr">
        <is>
          <t>2026-10-18</t>
        </is>
      </c>
      <c r="Y361" s="27" t="inlineStr">
        <is>
          <t>C</t>
        </is>
      </c>
      <c r="Z361" s="27" t="n">
        <v>74.59999999999999</v>
      </c>
      <c r="AA361" s="27" t="inlineStr">
        <is>
          <t>Qualified</t>
        </is>
      </c>
      <c r="AB361" s="27" t="inlineStr"/>
      <c r="AC361" s="28">
        <f>IF(A361="","",IF(COUNTIF($H$5:$H$1004,H361)&gt;1,"DUPLICATE","UNIQUE"))</f>
        <v/>
      </c>
      <c r="AD361" s="28">
        <f>IF(A361="","",IF(AA361="Rejected",IF(AB361&lt;&gt;"","REJECTED","ADD REASON"),IF(AND(B361&lt;&gt;"",C361&lt;&gt;"",D361&lt;&gt;"",E361&lt;&gt;"",F361&lt;&gt;"",G361&lt;&gt;"",H361&lt;&gt;"",J361&lt;&gt;"",K361&lt;&gt;"",N361&lt;&gt;"",O361&lt;&gt;"",P361&lt;&gt;"",Q361&lt;&gt;"",R361&lt;&gt;"",S361&lt;&gt;"",T361&lt;&gt;"",V361&lt;&gt;"",W361&lt;&gt;"",X361&lt;&gt;"",Y361&lt;&gt;""),"COMPLETE","MISSING FIELDS")))</f>
        <v/>
      </c>
    </row>
    <row r="362" ht="15" customHeight="1" s="15">
      <c r="A362" s="27" t="inlineStr">
        <is>
          <t>LEAD-0358</t>
        </is>
      </c>
      <c r="B362" s="27" t="inlineStr">
        <is>
          <t>Isaac Montague</t>
        </is>
      </c>
      <c r="C362" s="27" t="inlineStr">
        <is>
          <t>YouTuber</t>
        </is>
      </c>
      <c r="D362" s="27" t="inlineStr">
        <is>
          <t>US</t>
        </is>
      </c>
      <c r="E362" s="27" t="inlineStr">
        <is>
          <t>English</t>
        </is>
      </c>
      <c r="F362" s="27" t="inlineStr">
        <is>
          <t>YouTube</t>
        </is>
      </c>
      <c r="G362" s="27" t="inlineStr">
        <is>
          <t>https://www.youtube.com/@isaacmontague</t>
        </is>
      </c>
      <c r="H362" s="27" t="inlineStr">
        <is>
          <t>UCUS00358756998</t>
        </is>
      </c>
      <c r="I362" s="27" t="inlineStr">
        <is>
          <t>180,000</t>
        </is>
      </c>
      <c r="J362" s="27" t="inlineStr">
        <is>
          <t>2026-10-16</t>
        </is>
      </c>
      <c r="K362" s="27" t="inlineStr">
        <is>
          <t>https://www.youtube.com/watch?v=us00358</t>
        </is>
      </c>
      <c r="L362" s="27" t="n">
        <v>16</v>
      </c>
      <c r="M362" s="27" t="n">
        <v>32</v>
      </c>
      <c r="N362" s="27" t="inlineStr">
        <is>
          <t>Sponsor</t>
        </is>
      </c>
      <c r="O362" s="27" t="inlineStr">
        <is>
          <t>https://isaacmontague.com/partners</t>
        </is>
      </c>
      <c r="P362" s="27" t="inlineStr">
        <is>
          <t>Missing Video Captions &amp; Retention Clips</t>
        </is>
      </c>
      <c r="Q362" s="27" t="inlineStr">
        <is>
          <t>https://isaacmontague.com/highlights</t>
        </is>
      </c>
      <c r="R362" s="27" t="inlineStr">
        <is>
          <t>X (Twitter)</t>
        </is>
      </c>
      <c r="S362" s="27" t="inlineStr">
        <is>
          <t>https://x.com/isaacmontague</t>
        </is>
      </c>
      <c r="T362" s="27" t="inlineStr">
        <is>
          <t>https://isaacmontague.com/links</t>
        </is>
      </c>
      <c r="U362" s="27" t="inlineStr">
        <is>
          <t>LinkedIn</t>
        </is>
      </c>
      <c r="V362" s="27" t="inlineStr">
        <is>
          <t>education &amp; applied coding frameworks, specifically regarding episode 9 on Education &amp; Applied Coding workflow optimization</t>
        </is>
      </c>
      <c r="W362" s="27" t="inlineStr">
        <is>
          <t>Hi Isaac, loved your recent piece on 'education &amp; applied coding frameworks, specifically regarding episode 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62" s="27" t="inlineStr">
        <is>
          <t>2026-10-18</t>
        </is>
      </c>
      <c r="Y362" s="27" t="inlineStr">
        <is>
          <t>C</t>
        </is>
      </c>
      <c r="Z362" s="27" t="n">
        <v>74.5</v>
      </c>
      <c r="AA362" s="27" t="inlineStr">
        <is>
          <t>Qualified</t>
        </is>
      </c>
      <c r="AB362" s="27" t="inlineStr"/>
      <c r="AC362" s="28">
        <f>IF(A362="","",IF(COUNTIF($H$5:$H$1004,H362)&gt;1,"DUPLICATE","UNIQUE"))</f>
        <v/>
      </c>
      <c r="AD362" s="28">
        <f>IF(A362="","",IF(AA362="Rejected",IF(AB362&lt;&gt;"","REJECTED","ADD REASON"),IF(AND(B362&lt;&gt;"",C362&lt;&gt;"",D362&lt;&gt;"",E362&lt;&gt;"",F362&lt;&gt;"",G362&lt;&gt;"",H362&lt;&gt;"",J362&lt;&gt;"",K362&lt;&gt;"",N362&lt;&gt;"",O362&lt;&gt;"",P362&lt;&gt;"",Q362&lt;&gt;"",R362&lt;&gt;"",S362&lt;&gt;"",T362&lt;&gt;"",V362&lt;&gt;"",W362&lt;&gt;"",X362&lt;&gt;"",Y362&lt;&gt;""),"COMPLETE","MISSING FIELDS")))</f>
        <v/>
      </c>
    </row>
    <row r="363" ht="15" customHeight="1" s="15">
      <c r="A363" s="27" t="inlineStr">
        <is>
          <t>LEAD-0359</t>
        </is>
      </c>
      <c r="B363" s="27" t="inlineStr">
        <is>
          <t>Isaac Northwood</t>
        </is>
      </c>
      <c r="C363" s="27" t="inlineStr">
        <is>
          <t>Podcaster</t>
        </is>
      </c>
      <c r="D363" s="27" t="inlineStr">
        <is>
          <t>US</t>
        </is>
      </c>
      <c r="E363" s="27" t="inlineStr">
        <is>
          <t>English</t>
        </is>
      </c>
      <c r="F363" s="27" t="inlineStr">
        <is>
          <t>Apple Podcasts</t>
        </is>
      </c>
      <c r="G363" s="27" t="inlineStr">
        <is>
          <t>https://podcasts.apple.com/us/podcast/isaacnorthwood/id1000359</t>
        </is>
      </c>
      <c r="H363" s="27" t="inlineStr">
        <is>
          <t>AP-US-1000359</t>
        </is>
      </c>
      <c r="I363" s="27" t="inlineStr">
        <is>
          <t>120,000</t>
        </is>
      </c>
      <c r="J363" s="27" t="inlineStr">
        <is>
          <t>2026-10-17</t>
        </is>
      </c>
      <c r="K363" s="27" t="inlineStr">
        <is>
          <t>https://isaacnorthwood.com/episodes/160</t>
        </is>
      </c>
      <c r="L363" s="27" t="n">
        <v>17</v>
      </c>
      <c r="M363" s="27" t="n">
        <v>33</v>
      </c>
      <c r="N363" s="27" t="inlineStr">
        <is>
          <t>Membership</t>
        </is>
      </c>
      <c r="O363" s="27" t="inlineStr">
        <is>
          <t>https://isaacnorthwood.com/community</t>
        </is>
      </c>
      <c r="P363" s="27" t="inlineStr">
        <is>
          <t>Shorts Repurposing Bottleneck</t>
        </is>
      </c>
      <c r="Q363" s="27" t="inlineStr">
        <is>
          <t>https://isaacnorthwood.com/highlights</t>
        </is>
      </c>
      <c r="R363" s="27" t="inlineStr">
        <is>
          <t>Email</t>
        </is>
      </c>
      <c r="S363" s="27" t="inlineStr">
        <is>
          <t>hello@isaacnorthwood.com</t>
        </is>
      </c>
      <c r="T363" s="27" t="inlineStr">
        <is>
          <t>https://isaacnorthwood.com/work-with-me</t>
        </is>
      </c>
      <c r="U363" s="27" t="inlineStr">
        <is>
          <t>LinkedIn</t>
        </is>
      </c>
      <c r="V363" s="27" t="inlineStr">
        <is>
          <t>e-commerce &amp; digital brands frameworks, specifically regarding episode 10 on E-Commerce &amp; Digital Brands workflow optimization</t>
        </is>
      </c>
      <c r="W363" s="27" t="inlineStr">
        <is>
          <t>Hi Isaac, loved your recent piece on 'e-commerce &amp; digital brands frameworks, specifically regarding episode 10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63" s="27" t="inlineStr">
        <is>
          <t>2026-10-18</t>
        </is>
      </c>
      <c r="Y363" s="27" t="inlineStr">
        <is>
          <t>C</t>
        </is>
      </c>
      <c r="Z363" s="27" t="n">
        <v>74.5</v>
      </c>
      <c r="AA363" s="27" t="inlineStr">
        <is>
          <t>Qualified</t>
        </is>
      </c>
      <c r="AB363" s="27" t="inlineStr"/>
      <c r="AC363" s="28">
        <f>IF(A363="","",IF(COUNTIF($H$5:$H$1004,H363)&gt;1,"DUPLICATE","UNIQUE"))</f>
        <v/>
      </c>
      <c r="AD363" s="28">
        <f>IF(A363="","",IF(AA363="Rejected",IF(AB363&lt;&gt;"","REJECTED","ADD REASON"),IF(AND(B363&lt;&gt;"",C363&lt;&gt;"",D363&lt;&gt;"",E363&lt;&gt;"",F363&lt;&gt;"",G363&lt;&gt;"",H363&lt;&gt;"",J363&lt;&gt;"",K363&lt;&gt;"",N363&lt;&gt;"",O363&lt;&gt;"",P363&lt;&gt;"",Q363&lt;&gt;"",R363&lt;&gt;"",S363&lt;&gt;"",T363&lt;&gt;"",V363&lt;&gt;"",W363&lt;&gt;"",X363&lt;&gt;"",Y363&lt;&gt;""),"COMPLETE","MISSING FIELDS")))</f>
        <v/>
      </c>
    </row>
    <row r="364" ht="15" customHeight="1" s="15">
      <c r="A364" s="27" t="inlineStr">
        <is>
          <t>LEAD-0360</t>
        </is>
      </c>
      <c r="B364" s="27" t="inlineStr">
        <is>
          <t>Isaac Oakley</t>
        </is>
      </c>
      <c r="C364" s="27" t="inlineStr">
        <is>
          <t>YouTuber</t>
        </is>
      </c>
      <c r="D364" s="27" t="inlineStr">
        <is>
          <t>US</t>
        </is>
      </c>
      <c r="E364" s="27" t="inlineStr">
        <is>
          <t>English</t>
        </is>
      </c>
      <c r="F364" s="27" t="inlineStr">
        <is>
          <t>YouTube</t>
        </is>
      </c>
      <c r="G364" s="27" t="inlineStr">
        <is>
          <t>https://www.youtube.com/@isaacoakley</t>
        </is>
      </c>
      <c r="H364" s="27" t="inlineStr">
        <is>
          <t>UCUS00360462534</t>
        </is>
      </c>
      <c r="I364" s="27" t="inlineStr">
        <is>
          <t>220,000</t>
        </is>
      </c>
      <c r="J364" s="27" t="inlineStr">
        <is>
          <t>2026-10-10</t>
        </is>
      </c>
      <c r="K364" s="27" t="inlineStr">
        <is>
          <t>https://www.youtube.com/watch?v=us00360</t>
        </is>
      </c>
      <c r="L364" s="27" t="n">
        <v>8</v>
      </c>
      <c r="M364" s="27" t="n">
        <v>16</v>
      </c>
      <c r="N364" s="27" t="inlineStr">
        <is>
          <t>Product</t>
        </is>
      </c>
      <c r="O364" s="27" t="inlineStr">
        <is>
          <t>https://isaacoakley.com/shop</t>
        </is>
      </c>
      <c r="P364" s="27" t="inlineStr">
        <is>
          <t>Shorts Repurposing Bottleneck</t>
        </is>
      </c>
      <c r="Q364" s="27" t="inlineStr">
        <is>
          <t>https://isaacoakley.com/highlights</t>
        </is>
      </c>
      <c r="R364" s="27" t="inlineStr">
        <is>
          <t>Email</t>
        </is>
      </c>
      <c r="S364" s="27" t="inlineStr">
        <is>
          <t>contact@isaacoakley.com</t>
        </is>
      </c>
      <c r="T364" s="27" t="inlineStr">
        <is>
          <t>https://isaacoakley.com/contact</t>
        </is>
      </c>
      <c r="U364" s="27" t="inlineStr">
        <is>
          <t>LinkedIn</t>
        </is>
      </c>
      <c r="V364" s="27" t="inlineStr">
        <is>
          <t>tech &amp; ai frameworks, specifically regarding episode 11 on Tech &amp; AI workflow optimization</t>
        </is>
      </c>
      <c r="W364" s="27" t="inlineStr">
        <is>
          <t>Hi Isaac, loved your recent piece on 'tech &amp; ai frameworks, specifically regarding episode 11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64" s="27" t="inlineStr">
        <is>
          <t>2026-10-18</t>
        </is>
      </c>
      <c r="Y364" s="27" t="inlineStr">
        <is>
          <t>C</t>
        </is>
      </c>
      <c r="Z364" s="27" t="n">
        <v>74.40000000000001</v>
      </c>
      <c r="AA364" s="27" t="inlineStr">
        <is>
          <t>Qualified</t>
        </is>
      </c>
      <c r="AB364" s="27" t="inlineStr"/>
      <c r="AC364" s="28">
        <f>IF(A364="","",IF(COUNTIF($H$5:$H$1004,H364)&gt;1,"DUPLICATE","UNIQUE"))</f>
        <v/>
      </c>
      <c r="AD364" s="28">
        <f>IF(A364="","",IF(AA364="Rejected",IF(AB364&lt;&gt;"","REJECTED","ADD REASON"),IF(AND(B364&lt;&gt;"",C364&lt;&gt;"",D364&lt;&gt;"",E364&lt;&gt;"",F364&lt;&gt;"",G364&lt;&gt;"",H364&lt;&gt;"",J364&lt;&gt;"",K364&lt;&gt;"",N364&lt;&gt;"",O364&lt;&gt;"",P364&lt;&gt;"",Q364&lt;&gt;"",R364&lt;&gt;"",S364&lt;&gt;"",T364&lt;&gt;"",V364&lt;&gt;"",W364&lt;&gt;"",X364&lt;&gt;"",Y364&lt;&gt;""),"COMPLETE","MISSING FIELDS")))</f>
        <v/>
      </c>
    </row>
    <row r="365" ht="15" customHeight="1" s="15">
      <c r="A365" s="27" t="inlineStr">
        <is>
          <t>LEAD-0361</t>
        </is>
      </c>
      <c r="B365" s="27" t="inlineStr">
        <is>
          <t>Isaac Pemberton</t>
        </is>
      </c>
      <c r="C365" s="27" t="inlineStr">
        <is>
          <t>Podcaster</t>
        </is>
      </c>
      <c r="D365" s="27" t="inlineStr">
        <is>
          <t>US</t>
        </is>
      </c>
      <c r="E365" s="27" t="inlineStr">
        <is>
          <t>English</t>
        </is>
      </c>
      <c r="F365" s="27" t="inlineStr">
        <is>
          <t>Apple Podcasts</t>
        </is>
      </c>
      <c r="G365" s="27" t="inlineStr">
        <is>
          <t>https://podcasts.apple.com/us/podcast/isaacpemberton/id1000361</t>
        </is>
      </c>
      <c r="H365" s="27" t="inlineStr">
        <is>
          <t>AP-US-1000361</t>
        </is>
      </c>
      <c r="I365" s="27" t="inlineStr">
        <is>
          <t>144,000</t>
        </is>
      </c>
      <c r="J365" s="27" t="inlineStr">
        <is>
          <t>2026-10-11</t>
        </is>
      </c>
      <c r="K365" s="27" t="inlineStr">
        <is>
          <t>https://isaacpemberton.com/episodes/162</t>
        </is>
      </c>
      <c r="L365" s="27" t="n">
        <v>9</v>
      </c>
      <c r="M365" s="27" t="n">
        <v>17</v>
      </c>
      <c r="N365" s="27" t="inlineStr">
        <is>
          <t>Consulting</t>
        </is>
      </c>
      <c r="O365" s="27" t="inlineStr">
        <is>
          <t>https://isaacpemberton.com/advisory</t>
        </is>
      </c>
      <c r="P365" s="27" t="inlineStr">
        <is>
          <t>Missing Video Captions &amp; Retention Clips</t>
        </is>
      </c>
      <c r="Q365" s="27" t="inlineStr">
        <is>
          <t>https://isaacpemberton.com/highlights</t>
        </is>
      </c>
      <c r="R365" s="27" t="inlineStr">
        <is>
          <t>LinkedIn</t>
        </is>
      </c>
      <c r="S365" s="27" t="inlineStr">
        <is>
          <t>https://linkedin.com/in/isaacpemberton</t>
        </is>
      </c>
      <c r="T365" s="27" t="inlineStr">
        <is>
          <t>https://isaacpemberton.com/about</t>
        </is>
      </c>
      <c r="U365" s="27" t="inlineStr">
        <is>
          <t>Email</t>
        </is>
      </c>
      <c r="V365" s="27" t="inlineStr">
        <is>
          <t>saas &amp; product growth frameworks, specifically regarding episode 12 on SaaS &amp; Product Growth workflow optimization</t>
        </is>
      </c>
      <c r="W365" s="27" t="inlineStr">
        <is>
          <t>Hi Isaac, loved your recent piece on 'saas &amp; product growth frameworks, specifically regarding episode 12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65" s="27" t="inlineStr">
        <is>
          <t>2026-10-18</t>
        </is>
      </c>
      <c r="Y365" s="27" t="inlineStr">
        <is>
          <t>C</t>
        </is>
      </c>
      <c r="Z365" s="27" t="n">
        <v>74.3</v>
      </c>
      <c r="AA365" s="27" t="inlineStr">
        <is>
          <t>Qualified</t>
        </is>
      </c>
      <c r="AB365" s="27" t="inlineStr"/>
      <c r="AC365" s="28">
        <f>IF(A365="","",IF(COUNTIF($H$5:$H$1004,H365)&gt;1,"DUPLICATE","UNIQUE"))</f>
        <v/>
      </c>
      <c r="AD365" s="28">
        <f>IF(A365="","",IF(AA365="Rejected",IF(AB365&lt;&gt;"","REJECTED","ADD REASON"),IF(AND(B365&lt;&gt;"",C365&lt;&gt;"",D365&lt;&gt;"",E365&lt;&gt;"",F365&lt;&gt;"",G365&lt;&gt;"",H365&lt;&gt;"",J365&lt;&gt;"",K365&lt;&gt;"",N365&lt;&gt;"",O365&lt;&gt;"",P365&lt;&gt;"",Q365&lt;&gt;"",R365&lt;&gt;"",S365&lt;&gt;"",T365&lt;&gt;"",V365&lt;&gt;"",W365&lt;&gt;"",X365&lt;&gt;"",Y365&lt;&gt;""),"COMPLETE","MISSING FIELDS")))</f>
        <v/>
      </c>
    </row>
    <row r="366" ht="15" customHeight="1" s="15">
      <c r="A366" s="27" t="inlineStr">
        <is>
          <t>LEAD-0362</t>
        </is>
      </c>
      <c r="B366" s="27" t="inlineStr">
        <is>
          <t>Isaac Quatermain</t>
        </is>
      </c>
      <c r="C366" s="27" t="inlineStr">
        <is>
          <t>Expert-Led Creator</t>
        </is>
      </c>
      <c r="D366" s="27" t="inlineStr">
        <is>
          <t>US</t>
        </is>
      </c>
      <c r="E366" s="27" t="inlineStr">
        <is>
          <t>English</t>
        </is>
      </c>
      <c r="F366" s="27" t="inlineStr">
        <is>
          <t>YouTube</t>
        </is>
      </c>
      <c r="G366" s="27" t="inlineStr">
        <is>
          <t>https://www.youtube.com/@isaacquatermain</t>
        </is>
      </c>
      <c r="H366" s="27" t="inlineStr">
        <is>
          <t>UCUS00362029324</t>
        </is>
      </c>
      <c r="I366" s="27" t="inlineStr">
        <is>
          <t>260,000</t>
        </is>
      </c>
      <c r="J366" s="27" t="inlineStr">
        <is>
          <t>2026-10-12</t>
        </is>
      </c>
      <c r="K366" s="27" t="inlineStr">
        <is>
          <t>https://www.youtube.com/watch?v=us00362</t>
        </is>
      </c>
      <c r="L366" s="27" t="n">
        <v>10</v>
      </c>
      <c r="M366" s="27" t="n">
        <v>18</v>
      </c>
      <c r="N366" s="27" t="inlineStr">
        <is>
          <t>Newsletter Subscription</t>
        </is>
      </c>
      <c r="O366" s="27" t="inlineStr">
        <is>
          <t>https://isaacquatermain.com/subscribe</t>
        </is>
      </c>
      <c r="P366" s="27" t="inlineStr">
        <is>
          <t>Editing Backlog &amp; Team Workflow Overhead</t>
        </is>
      </c>
      <c r="Q366" s="27" t="inlineStr">
        <is>
          <t>https://isaacquatermain.com/highlights</t>
        </is>
      </c>
      <c r="R366" s="27" t="inlineStr">
        <is>
          <t>X (Twitter)</t>
        </is>
      </c>
      <c r="S366" s="27" t="inlineStr">
        <is>
          <t>https://x.com/isaacquatermain</t>
        </is>
      </c>
      <c r="T366" s="27" t="inlineStr">
        <is>
          <t>https://isaacquatermain.com/links</t>
        </is>
      </c>
      <c r="U366" s="27" t="inlineStr">
        <is>
          <t>LinkedIn</t>
        </is>
      </c>
      <c r="V366" s="27" t="inlineStr">
        <is>
          <t>creator business &amp; monetization frameworks, specifically regarding episode 13 on Creator Business &amp; Monetization workflow optimization</t>
        </is>
      </c>
      <c r="W366" s="27" t="inlineStr">
        <is>
          <t>Hi Isaac, loved your recent piece on 'creator business &amp; monetization frameworks, specifically regarding episode 13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66" s="27" t="inlineStr">
        <is>
          <t>2026-10-18</t>
        </is>
      </c>
      <c r="Y366" s="27" t="inlineStr">
        <is>
          <t>C</t>
        </is>
      </c>
      <c r="Z366" s="27" t="n">
        <v>74.3</v>
      </c>
      <c r="AA366" s="27" t="inlineStr">
        <is>
          <t>Qualified</t>
        </is>
      </c>
      <c r="AB366" s="27" t="inlineStr"/>
      <c r="AC366" s="28">
        <f>IF(A366="","",IF(COUNTIF($H$5:$H$1004,H366)&gt;1,"DUPLICATE","UNIQUE"))</f>
        <v/>
      </c>
      <c r="AD366" s="28">
        <f>IF(A366="","",IF(AA366="Rejected",IF(AB366&lt;&gt;"","REJECTED","ADD REASON"),IF(AND(B366&lt;&gt;"",C366&lt;&gt;"",D366&lt;&gt;"",E366&lt;&gt;"",F366&lt;&gt;"",G366&lt;&gt;"",H366&lt;&gt;"",J366&lt;&gt;"",K366&lt;&gt;"",N366&lt;&gt;"",O366&lt;&gt;"",P366&lt;&gt;"",Q366&lt;&gt;"",R366&lt;&gt;"",S366&lt;&gt;"",T366&lt;&gt;"",V366&lt;&gt;"",W366&lt;&gt;"",X366&lt;&gt;"",Y366&lt;&gt;""),"COMPLETE","MISSING FIELDS")))</f>
        <v/>
      </c>
    </row>
    <row r="367" ht="15" customHeight="1" s="15">
      <c r="A367" s="27" t="inlineStr">
        <is>
          <t>LEAD-0363</t>
        </is>
      </c>
      <c r="B367" s="27" t="inlineStr">
        <is>
          <t>Isaac Radcliffe</t>
        </is>
      </c>
      <c r="C367" s="27" t="inlineStr">
        <is>
          <t>YouTuber</t>
        </is>
      </c>
      <c r="D367" s="27" t="inlineStr">
        <is>
          <t>US</t>
        </is>
      </c>
      <c r="E367" s="27" t="inlineStr">
        <is>
          <t>English</t>
        </is>
      </c>
      <c r="F367" s="27" t="inlineStr">
        <is>
          <t>YouTube</t>
        </is>
      </c>
      <c r="G367" s="27" t="inlineStr">
        <is>
          <t>https://www.youtube.com/@isaacradcliffe</t>
        </is>
      </c>
      <c r="H367" s="27" t="inlineStr">
        <is>
          <t>UCUS00363450710</t>
        </is>
      </c>
      <c r="I367" s="27" t="inlineStr">
        <is>
          <t>280,000</t>
        </is>
      </c>
      <c r="J367" s="27" t="inlineStr">
        <is>
          <t>2026-10-13</t>
        </is>
      </c>
      <c r="K367" s="27" t="inlineStr">
        <is>
          <t>https://www.youtube.com/watch?v=us00363</t>
        </is>
      </c>
      <c r="L367" s="27" t="n">
        <v>11</v>
      </c>
      <c r="M367" s="27" t="n">
        <v>19</v>
      </c>
      <c r="N367" s="27" t="inlineStr">
        <is>
          <t>Affiliate</t>
        </is>
      </c>
      <c r="O367" s="27" t="inlineStr">
        <is>
          <t>https://isaacradcliffe.com/resources</t>
        </is>
      </c>
      <c r="P367" s="27" t="inlineStr">
        <is>
          <t>Shorts Repurposing Bottleneck</t>
        </is>
      </c>
      <c r="Q367" s="27" t="inlineStr">
        <is>
          <t>https://isaacradcliffe.com/highlights</t>
        </is>
      </c>
      <c r="R367" s="27" t="inlineStr">
        <is>
          <t>Email</t>
        </is>
      </c>
      <c r="S367" s="27" t="inlineStr">
        <is>
          <t>hello@isaacradcliffe.com</t>
        </is>
      </c>
      <c r="T367" s="27" t="inlineStr">
        <is>
          <t>https://isaacradcliffe.com/work-with-me</t>
        </is>
      </c>
      <c r="U367" s="27" t="inlineStr">
        <is>
          <t>LinkedIn</t>
        </is>
      </c>
      <c r="V367" s="27" t="inlineStr">
        <is>
          <t>productivity &amp; personal systems frameworks, specifically regarding episode 14 on Productivity &amp; Personal Systems workflow optimization</t>
        </is>
      </c>
      <c r="W367" s="27" t="inlineStr">
        <is>
          <t>Hi Isaac, loved your recent piece on 'productivity &amp; personal systems frameworks, specifically regarding episode 14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67" s="27" t="inlineStr">
        <is>
          <t>2026-10-18</t>
        </is>
      </c>
      <c r="Y367" s="27" t="inlineStr">
        <is>
          <t>C</t>
        </is>
      </c>
      <c r="Z367" s="27" t="n">
        <v>74.2</v>
      </c>
      <c r="AA367" s="27" t="inlineStr">
        <is>
          <t>Qualified</t>
        </is>
      </c>
      <c r="AB367" s="27" t="inlineStr"/>
      <c r="AC367" s="28">
        <f>IF(A367="","",IF(COUNTIF($H$5:$H$1004,H367)&gt;1,"DUPLICATE","UNIQUE"))</f>
        <v/>
      </c>
      <c r="AD367" s="28">
        <f>IF(A367="","",IF(AA367="Rejected",IF(AB367&lt;&gt;"","REJECTED","ADD REASON"),IF(AND(B367&lt;&gt;"",C367&lt;&gt;"",D367&lt;&gt;"",E367&lt;&gt;"",F367&lt;&gt;"",G367&lt;&gt;"",H367&lt;&gt;"",J367&lt;&gt;"",K367&lt;&gt;"",N367&lt;&gt;"",O367&lt;&gt;"",P367&lt;&gt;"",Q367&lt;&gt;"",R367&lt;&gt;"",S367&lt;&gt;"",T367&lt;&gt;"",V367&lt;&gt;"",W367&lt;&gt;"",X367&lt;&gt;"",Y367&lt;&gt;""),"COMPLETE","MISSING FIELDS")))</f>
        <v/>
      </c>
    </row>
    <row r="368" ht="15" customHeight="1" s="15">
      <c r="A368" s="27" t="inlineStr">
        <is>
          <t>LEAD-0364</t>
        </is>
      </c>
      <c r="B368" s="27" t="inlineStr">
        <is>
          <t>Isaac Stanhope</t>
        </is>
      </c>
      <c r="C368" s="27" t="inlineStr">
        <is>
          <t>Podcaster</t>
        </is>
      </c>
      <c r="D368" s="27" t="inlineStr">
        <is>
          <t>US</t>
        </is>
      </c>
      <c r="E368" s="27" t="inlineStr">
        <is>
          <t>English</t>
        </is>
      </c>
      <c r="F368" s="27" t="inlineStr">
        <is>
          <t>Apple Podcasts</t>
        </is>
      </c>
      <c r="G368" s="27" t="inlineStr">
        <is>
          <t>https://podcasts.apple.com/us/podcast/isaacstanhope/id1000364</t>
        </is>
      </c>
      <c r="H368" s="27" t="inlineStr">
        <is>
          <t>AP-US-1000364</t>
        </is>
      </c>
      <c r="I368" s="27" t="inlineStr">
        <is>
          <t>180,000</t>
        </is>
      </c>
      <c r="J368" s="27" t="inlineStr">
        <is>
          <t>2026-10-14</t>
        </is>
      </c>
      <c r="K368" s="27" t="inlineStr">
        <is>
          <t>https://isaacstanhope.com/episodes/165</t>
        </is>
      </c>
      <c r="L368" s="27" t="n">
        <v>12</v>
      </c>
      <c r="M368" s="27" t="n">
        <v>20</v>
      </c>
      <c r="N368" s="27" t="inlineStr">
        <is>
          <t>Course</t>
        </is>
      </c>
      <c r="O368" s="27" t="inlineStr">
        <is>
          <t>https://isaacstanhope.com/academy</t>
        </is>
      </c>
      <c r="P368" s="27" t="inlineStr">
        <is>
          <t>Inconsistent Cross-Platform Publishing</t>
        </is>
      </c>
      <c r="Q368" s="27" t="inlineStr">
        <is>
          <t>https://isaacstanhope.com/highlights</t>
        </is>
      </c>
      <c r="R368" s="27" t="inlineStr">
        <is>
          <t>Email</t>
        </is>
      </c>
      <c r="S368" s="27" t="inlineStr">
        <is>
          <t>contact@isaacstanhope.com</t>
        </is>
      </c>
      <c r="T368" s="27" t="inlineStr">
        <is>
          <t>https://isaacstanhope.com/contact</t>
        </is>
      </c>
      <c r="U368" s="27" t="inlineStr">
        <is>
          <t>LinkedIn</t>
        </is>
      </c>
      <c r="V368" s="27" t="inlineStr">
        <is>
          <t>leadership &amp; team ops frameworks, specifically regarding episode 15 on Leadership &amp; Team Ops workflow optimization</t>
        </is>
      </c>
      <c r="W368" s="27" t="inlineStr">
        <is>
          <t>Hi Isaac, loved your recent piece on 'leadership &amp; team ops frameworks, specifically regarding episode 15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68" s="27" t="inlineStr">
        <is>
          <t>2026-10-18</t>
        </is>
      </c>
      <c r="Y368" s="27" t="inlineStr">
        <is>
          <t>C</t>
        </is>
      </c>
      <c r="Z368" s="27" t="n">
        <v>74.2</v>
      </c>
      <c r="AA368" s="27" t="inlineStr">
        <is>
          <t>Qualified</t>
        </is>
      </c>
      <c r="AB368" s="27" t="inlineStr"/>
      <c r="AC368" s="28">
        <f>IF(A368="","",IF(COUNTIF($H$5:$H$1004,H368)&gt;1,"DUPLICATE","UNIQUE"))</f>
        <v/>
      </c>
      <c r="AD368" s="28">
        <f>IF(A368="","",IF(AA368="Rejected",IF(AB368&lt;&gt;"","REJECTED","ADD REASON"),IF(AND(B368&lt;&gt;"",C368&lt;&gt;"",D368&lt;&gt;"",E368&lt;&gt;"",F368&lt;&gt;"",G368&lt;&gt;"",H368&lt;&gt;"",J368&lt;&gt;"",K368&lt;&gt;"",N368&lt;&gt;"",O368&lt;&gt;"",P368&lt;&gt;"",Q368&lt;&gt;"",R368&lt;&gt;"",S368&lt;&gt;"",T368&lt;&gt;"",V368&lt;&gt;"",W368&lt;&gt;"",X368&lt;&gt;"",Y368&lt;&gt;""),"COMPLETE","MISSING FIELDS")))</f>
        <v/>
      </c>
    </row>
    <row r="369" ht="15" customHeight="1" s="15">
      <c r="A369" s="27" t="inlineStr">
        <is>
          <t>LEAD-0365</t>
        </is>
      </c>
      <c r="B369" s="27" t="inlineStr">
        <is>
          <t>Isaac Thackery</t>
        </is>
      </c>
      <c r="C369" s="27" t="inlineStr">
        <is>
          <t>Expert-Led Creator</t>
        </is>
      </c>
      <c r="D369" s="27" t="inlineStr">
        <is>
          <t>US</t>
        </is>
      </c>
      <c r="E369" s="27" t="inlineStr">
        <is>
          <t>English</t>
        </is>
      </c>
      <c r="F369" s="27" t="inlineStr">
        <is>
          <t>LinkedIn</t>
        </is>
      </c>
      <c r="G369" s="27" t="inlineStr">
        <is>
          <t>https://www.linkedin.com/in/isaacthackery</t>
        </is>
      </c>
      <c r="H369" s="27" t="inlineStr">
        <is>
          <t>LI-isaacthackery-0365</t>
        </is>
      </c>
      <c r="I369" s="27" t="inlineStr">
        <is>
          <t>36,000</t>
        </is>
      </c>
      <c r="J369" s="27" t="inlineStr">
        <is>
          <t>2026-10-15</t>
        </is>
      </c>
      <c r="K369" s="27" t="inlineStr">
        <is>
          <t>https://isaacthackery.com/posts/66</t>
        </is>
      </c>
      <c r="L369" s="27" t="n">
        <v>13</v>
      </c>
      <c r="M369" s="27" t="n">
        <v>21</v>
      </c>
      <c r="N369" s="27" t="inlineStr">
        <is>
          <t>Sponsor</t>
        </is>
      </c>
      <c r="O369" s="27" t="inlineStr">
        <is>
          <t>https://isaacthackery.com/partners</t>
        </is>
      </c>
      <c r="P369" s="27" t="inlineStr">
        <is>
          <t>Editing Backlog &amp; Team Workflow Overhead</t>
        </is>
      </c>
      <c r="Q369" s="27" t="inlineStr">
        <is>
          <t>https://isaacthackery.com/highlights</t>
        </is>
      </c>
      <c r="R369" s="27" t="inlineStr">
        <is>
          <t>LinkedIn</t>
        </is>
      </c>
      <c r="S369" s="27" t="inlineStr">
        <is>
          <t>https://linkedin.com/in/isaacthackery</t>
        </is>
      </c>
      <c r="T369" s="27" t="inlineStr">
        <is>
          <t>https://isaacthackery.com/about</t>
        </is>
      </c>
      <c r="U369" s="27" t="inlineStr">
        <is>
          <t>Email</t>
        </is>
      </c>
      <c r="V369" s="27" t="inlineStr">
        <is>
          <t>b2b marketing &amp; sales frameworks, specifically regarding episode 16 on B2B Marketing &amp; Sales workflow optimization</t>
        </is>
      </c>
      <c r="W369" s="27" t="inlineStr">
        <is>
          <t>Hi Isaac, loved your recent piece on 'b2b marketing &amp; sales frameworks, specifically regarding episode 16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69" s="27" t="inlineStr">
        <is>
          <t>2026-10-18</t>
        </is>
      </c>
      <c r="Y369" s="27" t="inlineStr">
        <is>
          <t>C</t>
        </is>
      </c>
      <c r="Z369" s="27" t="n">
        <v>74.09999999999999</v>
      </c>
      <c r="AA369" s="27" t="inlineStr">
        <is>
          <t>Qualified</t>
        </is>
      </c>
      <c r="AB369" s="27" t="inlineStr"/>
      <c r="AC369" s="28">
        <f>IF(A369="","",IF(COUNTIF($H$5:$H$1004,H369)&gt;1,"DUPLICATE","UNIQUE"))</f>
        <v/>
      </c>
      <c r="AD369" s="28">
        <f>IF(A369="","",IF(AA369="Rejected",IF(AB369&lt;&gt;"","REJECTED","ADD REASON"),IF(AND(B369&lt;&gt;"",C369&lt;&gt;"",D369&lt;&gt;"",E369&lt;&gt;"",F369&lt;&gt;"",G369&lt;&gt;"",H369&lt;&gt;"",J369&lt;&gt;"",K369&lt;&gt;"",N369&lt;&gt;"",O369&lt;&gt;"",P369&lt;&gt;"",Q369&lt;&gt;"",R369&lt;&gt;"",S369&lt;&gt;"",T369&lt;&gt;"",V369&lt;&gt;"",W369&lt;&gt;"",X369&lt;&gt;"",Y369&lt;&gt;""),"COMPLETE","MISSING FIELDS")))</f>
        <v/>
      </c>
    </row>
    <row r="370" ht="15" customHeight="1" s="15">
      <c r="A370" s="27" t="inlineStr">
        <is>
          <t>LEAD-0366</t>
        </is>
      </c>
      <c r="B370" s="27" t="inlineStr">
        <is>
          <t>Isaac Underwood</t>
        </is>
      </c>
      <c r="C370" s="27" t="inlineStr">
        <is>
          <t>YouTuber</t>
        </is>
      </c>
      <c r="D370" s="27" t="inlineStr">
        <is>
          <t>US</t>
        </is>
      </c>
      <c r="E370" s="27" t="inlineStr">
        <is>
          <t>English</t>
        </is>
      </c>
      <c r="F370" s="27" t="inlineStr">
        <is>
          <t>YouTube</t>
        </is>
      </c>
      <c r="G370" s="27" t="inlineStr">
        <is>
          <t>https://www.youtube.com/@isaacunderwood</t>
        </is>
      </c>
      <c r="H370" s="27" t="inlineStr">
        <is>
          <t>UCUS00366825897</t>
        </is>
      </c>
      <c r="I370" s="27" t="inlineStr">
        <is>
          <t>340,000</t>
        </is>
      </c>
      <c r="J370" s="27" t="inlineStr">
        <is>
          <t>2026-10-16</t>
        </is>
      </c>
      <c r="K370" s="27" t="inlineStr">
        <is>
          <t>https://www.youtube.com/watch?v=us00366</t>
        </is>
      </c>
      <c r="L370" s="27" t="n">
        <v>14</v>
      </c>
      <c r="M370" s="27" t="n">
        <v>22</v>
      </c>
      <c r="N370" s="27" t="inlineStr">
        <is>
          <t>Membership</t>
        </is>
      </c>
      <c r="O370" s="27" t="inlineStr">
        <is>
          <t>https://isaacunderwood.com/community</t>
        </is>
      </c>
      <c r="P370" s="27" t="inlineStr">
        <is>
          <t>Multilingual Audio Dubbing</t>
        </is>
      </c>
      <c r="Q370" s="27" t="inlineStr">
        <is>
          <t>https://isaacunderwood.com/highlights</t>
        </is>
      </c>
      <c r="R370" s="27" t="inlineStr">
        <is>
          <t>X (Twitter)</t>
        </is>
      </c>
      <c r="S370" s="27" t="inlineStr">
        <is>
          <t>https://x.com/isaacunderwood</t>
        </is>
      </c>
      <c r="T370" s="27" t="inlineStr">
        <is>
          <t>https://isaacunderwood.com/links</t>
        </is>
      </c>
      <c r="U370" s="27" t="inlineStr">
        <is>
          <t>LinkedIn</t>
        </is>
      </c>
      <c r="V370" s="27" t="inlineStr">
        <is>
          <t>finance &amp; wealth engineering frameworks, specifically regarding episode 17 on Finance &amp; Wealth Engineering workflow optimization</t>
        </is>
      </c>
      <c r="W370" s="27" t="inlineStr">
        <is>
          <t>Hi Isaac, loved your recent piece on 'finance &amp; wealth engineering frameworks, specifically regarding episode 17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70" s="27" t="inlineStr">
        <is>
          <t>2026-10-18</t>
        </is>
      </c>
      <c r="Y370" s="27" t="inlineStr">
        <is>
          <t>C</t>
        </is>
      </c>
      <c r="Z370" s="27" t="n">
        <v>74</v>
      </c>
      <c r="AA370" s="27" t="inlineStr">
        <is>
          <t>Qualified</t>
        </is>
      </c>
      <c r="AB370" s="27" t="inlineStr"/>
      <c r="AC370" s="28">
        <f>IF(A370="","",IF(COUNTIF($H$5:$H$1004,H370)&gt;1,"DUPLICATE","UNIQUE"))</f>
        <v/>
      </c>
      <c r="AD370" s="28">
        <f>IF(A370="","",IF(AA370="Rejected",IF(AB370&lt;&gt;"","REJECTED","ADD REASON"),IF(AND(B370&lt;&gt;"",C370&lt;&gt;"",D370&lt;&gt;"",E370&lt;&gt;"",F370&lt;&gt;"",G370&lt;&gt;"",H370&lt;&gt;"",J370&lt;&gt;"",K370&lt;&gt;"",N370&lt;&gt;"",O370&lt;&gt;"",P370&lt;&gt;"",Q370&lt;&gt;"",R370&lt;&gt;"",S370&lt;&gt;"",T370&lt;&gt;"",V370&lt;&gt;"",W370&lt;&gt;"",X370&lt;&gt;"",Y370&lt;&gt;""),"COMPLETE","MISSING FIELDS")))</f>
        <v/>
      </c>
    </row>
    <row r="371" ht="15" customHeight="1" s="15">
      <c r="A371" s="27" t="inlineStr">
        <is>
          <t>LEAD-0367</t>
        </is>
      </c>
      <c r="B371" s="27" t="inlineStr">
        <is>
          <t>Isaac Vanguard</t>
        </is>
      </c>
      <c r="C371" s="27" t="inlineStr">
        <is>
          <t>Podcaster</t>
        </is>
      </c>
      <c r="D371" s="27" t="inlineStr">
        <is>
          <t>US</t>
        </is>
      </c>
      <c r="E371" s="27" t="inlineStr">
        <is>
          <t>English</t>
        </is>
      </c>
      <c r="F371" s="27" t="inlineStr">
        <is>
          <t>Apple Podcasts</t>
        </is>
      </c>
      <c r="G371" s="27" t="inlineStr">
        <is>
          <t>https://podcasts.apple.com/us/podcast/isaacvanguard/id1000367</t>
        </is>
      </c>
      <c r="H371" s="27" t="inlineStr">
        <is>
          <t>AP-US-1000367</t>
        </is>
      </c>
      <c r="I371" s="27" t="inlineStr">
        <is>
          <t>216,000</t>
        </is>
      </c>
      <c r="J371" s="27" t="inlineStr">
        <is>
          <t>2026-10-17</t>
        </is>
      </c>
      <c r="K371" s="27" t="inlineStr">
        <is>
          <t>https://isaacvanguard.com/episodes/168</t>
        </is>
      </c>
      <c r="L371" s="27" t="n">
        <v>15</v>
      </c>
      <c r="M371" s="27" t="n">
        <v>23</v>
      </c>
      <c r="N371" s="27" t="inlineStr">
        <is>
          <t>Product</t>
        </is>
      </c>
      <c r="O371" s="27" t="inlineStr">
        <is>
          <t>https://isaacvanguard.com/shop</t>
        </is>
      </c>
      <c r="P371" s="27" t="inlineStr">
        <is>
          <t>Multilingual Audio Dubbing</t>
        </is>
      </c>
      <c r="Q371" s="27" t="inlineStr">
        <is>
          <t>https://isaacvanguard.com/highlights</t>
        </is>
      </c>
      <c r="R371" s="27" t="inlineStr">
        <is>
          <t>Email</t>
        </is>
      </c>
      <c r="S371" s="27" t="inlineStr">
        <is>
          <t>hello@isaacvanguard.com</t>
        </is>
      </c>
      <c r="T371" s="27" t="inlineStr">
        <is>
          <t>https://isaacvanguard.com/work-with-me</t>
        </is>
      </c>
      <c r="U371" s="27" t="inlineStr">
        <is>
          <t>LinkedIn</t>
        </is>
      </c>
      <c r="V371" s="27" t="inlineStr">
        <is>
          <t>health &amp; longevity science frameworks, specifically regarding episode 18 on Health &amp; Longevity Science workflow optimization</t>
        </is>
      </c>
      <c r="W371" s="27" t="inlineStr">
        <is>
          <t>Hi Isaac, loved your recent piece on 'health &amp; longevity science frameworks, specifically regarding episode 18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71" s="27" t="inlineStr">
        <is>
          <t>2026-10-18</t>
        </is>
      </c>
      <c r="Y371" s="27" t="inlineStr">
        <is>
          <t>C</t>
        </is>
      </c>
      <c r="Z371" s="27" t="n">
        <v>74</v>
      </c>
      <c r="AA371" s="27" t="inlineStr">
        <is>
          <t>Qualified</t>
        </is>
      </c>
      <c r="AB371" s="27" t="inlineStr"/>
      <c r="AC371" s="28">
        <f>IF(A371="","",IF(COUNTIF($H$5:$H$1004,H371)&gt;1,"DUPLICATE","UNIQUE"))</f>
        <v/>
      </c>
      <c r="AD371" s="28">
        <f>IF(A371="","",IF(AA371="Rejected",IF(AB371&lt;&gt;"","REJECTED","ADD REASON"),IF(AND(B371&lt;&gt;"",C371&lt;&gt;"",D371&lt;&gt;"",E371&lt;&gt;"",F371&lt;&gt;"",G371&lt;&gt;"",H371&lt;&gt;"",J371&lt;&gt;"",K371&lt;&gt;"",N371&lt;&gt;"",O371&lt;&gt;"",P371&lt;&gt;"",Q371&lt;&gt;"",R371&lt;&gt;"",S371&lt;&gt;"",T371&lt;&gt;"",V371&lt;&gt;"",W371&lt;&gt;"",X371&lt;&gt;"",Y371&lt;&gt;""),"COMPLETE","MISSING FIELDS")))</f>
        <v/>
      </c>
    </row>
    <row r="372" ht="15" customHeight="1" s="15">
      <c r="A372" s="27" t="inlineStr">
        <is>
          <t>LEAD-0368</t>
        </is>
      </c>
      <c r="B372" s="27" t="inlineStr">
        <is>
          <t>Isaac Waverly</t>
        </is>
      </c>
      <c r="C372" s="27" t="inlineStr">
        <is>
          <t>YouTuber</t>
        </is>
      </c>
      <c r="D372" s="27" t="inlineStr">
        <is>
          <t>US</t>
        </is>
      </c>
      <c r="E372" s="27" t="inlineStr">
        <is>
          <t>English</t>
        </is>
      </c>
      <c r="F372" s="27" t="inlineStr">
        <is>
          <t>YouTube</t>
        </is>
      </c>
      <c r="G372" s="27" t="inlineStr">
        <is>
          <t>https://www.youtube.com/@isaacwaverly</t>
        </is>
      </c>
      <c r="H372" s="27" t="inlineStr">
        <is>
          <t>UCUS00368267041</t>
        </is>
      </c>
      <c r="I372" s="27" t="inlineStr">
        <is>
          <t>380,000</t>
        </is>
      </c>
      <c r="J372" s="27" t="inlineStr">
        <is>
          <t>2026-10-10</t>
        </is>
      </c>
      <c r="K372" s="27" t="inlineStr">
        <is>
          <t>https://www.youtube.com/watch?v=us00368</t>
        </is>
      </c>
      <c r="L372" s="27" t="n">
        <v>16</v>
      </c>
      <c r="M372" s="27" t="n">
        <v>24</v>
      </c>
      <c r="N372" s="27" t="inlineStr">
        <is>
          <t>Consulting</t>
        </is>
      </c>
      <c r="O372" s="27" t="inlineStr">
        <is>
          <t>https://isaacwaverly.com/advisory</t>
        </is>
      </c>
      <c r="P372" s="27" t="inlineStr">
        <is>
          <t>Missing Video Captions &amp; Retention Clips</t>
        </is>
      </c>
      <c r="Q372" s="27" t="inlineStr">
        <is>
          <t>https://isaacwaverly.com/highlights</t>
        </is>
      </c>
      <c r="R372" s="27" t="inlineStr">
        <is>
          <t>Email</t>
        </is>
      </c>
      <c r="S372" s="27" t="inlineStr">
        <is>
          <t>contact@isaacwaverly.com</t>
        </is>
      </c>
      <c r="T372" s="27" t="inlineStr">
        <is>
          <t>https://isaacwaverly.com/contact</t>
        </is>
      </c>
      <c r="U372" s="27" t="inlineStr">
        <is>
          <t>LinkedIn</t>
        </is>
      </c>
      <c r="V372" s="27" t="inlineStr">
        <is>
          <t>education &amp; applied coding frameworks, specifically regarding episode 19 on Education &amp; Applied Coding workflow optimization</t>
        </is>
      </c>
      <c r="W372" s="27" t="inlineStr">
        <is>
          <t>Hi Isaac, loved your recent piece on 'education &amp; applied coding frameworks, specifically regarding episode 19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72" s="27" t="inlineStr">
        <is>
          <t>2026-10-18</t>
        </is>
      </c>
      <c r="Y372" s="27" t="inlineStr">
        <is>
          <t>C</t>
        </is>
      </c>
      <c r="Z372" s="27" t="n">
        <v>73.90000000000001</v>
      </c>
      <c r="AA372" s="27" t="inlineStr">
        <is>
          <t>Qualified</t>
        </is>
      </c>
      <c r="AB372" s="27" t="inlineStr"/>
      <c r="AC372" s="28">
        <f>IF(A372="","",IF(COUNTIF($H$5:$H$1004,H372)&gt;1,"DUPLICATE","UNIQUE"))</f>
        <v/>
      </c>
      <c r="AD372" s="28">
        <f>IF(A372="","",IF(AA372="Rejected",IF(AB372&lt;&gt;"","REJECTED","ADD REASON"),IF(AND(B372&lt;&gt;"",C372&lt;&gt;"",D372&lt;&gt;"",E372&lt;&gt;"",F372&lt;&gt;"",G372&lt;&gt;"",H372&lt;&gt;"",J372&lt;&gt;"",K372&lt;&gt;"",N372&lt;&gt;"",O372&lt;&gt;"",P372&lt;&gt;"",Q372&lt;&gt;"",R372&lt;&gt;"",S372&lt;&gt;"",T372&lt;&gt;"",V372&lt;&gt;"",W372&lt;&gt;"",X372&lt;&gt;"",Y372&lt;&gt;""),"COMPLETE","MISSING FIELDS")))</f>
        <v/>
      </c>
    </row>
    <row r="373" ht="15" customHeight="1" s="15">
      <c r="A373" s="27" t="inlineStr">
        <is>
          <t>LEAD-0369</t>
        </is>
      </c>
      <c r="B373" s="27" t="inlineStr">
        <is>
          <t>Isaac Yardley</t>
        </is>
      </c>
      <c r="C373" s="27" t="inlineStr">
        <is>
          <t>Podcaster</t>
        </is>
      </c>
      <c r="D373" s="27" t="inlineStr">
        <is>
          <t>US</t>
        </is>
      </c>
      <c r="E373" s="27" t="inlineStr">
        <is>
          <t>English</t>
        </is>
      </c>
      <c r="F373" s="27" t="inlineStr">
        <is>
          <t>Apple Podcasts</t>
        </is>
      </c>
      <c r="G373" s="27" t="inlineStr">
        <is>
          <t>https://podcasts.apple.com/us/podcast/isaacyardley/id1000369</t>
        </is>
      </c>
      <c r="H373" s="27" t="inlineStr">
        <is>
          <t>AP-US-1000369</t>
        </is>
      </c>
      <c r="I373" s="27" t="inlineStr">
        <is>
          <t>240,000</t>
        </is>
      </c>
      <c r="J373" s="27" t="inlineStr">
        <is>
          <t>2026-10-11</t>
        </is>
      </c>
      <c r="K373" s="27" t="inlineStr">
        <is>
          <t>https://isaacyardley.com/episodes/170</t>
        </is>
      </c>
      <c r="L373" s="27" t="n">
        <v>17</v>
      </c>
      <c r="M373" s="27" t="n">
        <v>25</v>
      </c>
      <c r="N373" s="27" t="inlineStr">
        <is>
          <t>Newsletter Subscription</t>
        </is>
      </c>
      <c r="O373" s="27" t="inlineStr">
        <is>
          <t>https://isaacyardley.com/subscribe</t>
        </is>
      </c>
      <c r="P373" s="27" t="inlineStr">
        <is>
          <t>Shorts Repurposing Bottleneck</t>
        </is>
      </c>
      <c r="Q373" s="27" t="inlineStr">
        <is>
          <t>https://isaacyardley.com/highlights</t>
        </is>
      </c>
      <c r="R373" s="27" t="inlineStr">
        <is>
          <t>LinkedIn</t>
        </is>
      </c>
      <c r="S373" s="27" t="inlineStr">
        <is>
          <t>https://linkedin.com/in/isaacyardley</t>
        </is>
      </c>
      <c r="T373" s="27" t="inlineStr">
        <is>
          <t>https://isaacyardley.com/about</t>
        </is>
      </c>
      <c r="U373" s="27" t="inlineStr">
        <is>
          <t>Email</t>
        </is>
      </c>
      <c r="V373" s="27" t="inlineStr">
        <is>
          <t>e-commerce &amp; digital brands frameworks, specifically regarding episode 20 on E-Commerce &amp; Digital Brands workflow optimization</t>
        </is>
      </c>
      <c r="W373" s="27" t="inlineStr">
        <is>
          <t>Hi Isaac, loved your recent piece on 'e-commerce &amp; digital brands frameworks, specifically regarding episode 20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73" s="27" t="inlineStr">
        <is>
          <t>2026-10-18</t>
        </is>
      </c>
      <c r="Y373" s="27" t="inlineStr">
        <is>
          <t>C</t>
        </is>
      </c>
      <c r="Z373" s="27" t="n">
        <v>73.90000000000001</v>
      </c>
      <c r="AA373" s="27" t="inlineStr">
        <is>
          <t>Qualified</t>
        </is>
      </c>
      <c r="AB373" s="27" t="inlineStr"/>
      <c r="AC373" s="28">
        <f>IF(A373="","",IF(COUNTIF($H$5:$H$1004,H373)&gt;1,"DUPLICATE","UNIQUE"))</f>
        <v/>
      </c>
      <c r="AD373" s="28">
        <f>IF(A373="","",IF(AA373="Rejected",IF(AB373&lt;&gt;"","REJECTED","ADD REASON"),IF(AND(B373&lt;&gt;"",C373&lt;&gt;"",D373&lt;&gt;"",E373&lt;&gt;"",F373&lt;&gt;"",G373&lt;&gt;"",H373&lt;&gt;"",J373&lt;&gt;"",K373&lt;&gt;"",N373&lt;&gt;"",O373&lt;&gt;"",P373&lt;&gt;"",Q373&lt;&gt;"",R373&lt;&gt;"",S373&lt;&gt;"",T373&lt;&gt;"",V373&lt;&gt;"",W373&lt;&gt;"",X373&lt;&gt;"",Y373&lt;&gt;""),"COMPLETE","MISSING FIELDS")))</f>
        <v/>
      </c>
    </row>
    <row r="374" ht="15" customHeight="1" s="15">
      <c r="A374" s="27" t="inlineStr">
        <is>
          <t>LEAD-0370</t>
        </is>
      </c>
      <c r="B374" s="27" t="inlineStr">
        <is>
          <t>Isaac Zimmerman</t>
        </is>
      </c>
      <c r="C374" s="27" t="inlineStr">
        <is>
          <t>YouTuber</t>
        </is>
      </c>
      <c r="D374" s="27" t="inlineStr">
        <is>
          <t>US</t>
        </is>
      </c>
      <c r="E374" s="27" t="inlineStr">
        <is>
          <t>English</t>
        </is>
      </c>
      <c r="F374" s="27" t="inlineStr">
        <is>
          <t>YouTube</t>
        </is>
      </c>
      <c r="G374" s="27" t="inlineStr">
        <is>
          <t>https://www.youtube.com/@isaaczimmerman</t>
        </is>
      </c>
      <c r="H374" s="27" t="inlineStr">
        <is>
          <t>UCUS00370762768</t>
        </is>
      </c>
      <c r="I374" s="27" t="inlineStr">
        <is>
          <t>420,000</t>
        </is>
      </c>
      <c r="J374" s="27" t="inlineStr">
        <is>
          <t>2026-10-12</t>
        </is>
      </c>
      <c r="K374" s="27" t="inlineStr">
        <is>
          <t>https://www.youtube.com/watch?v=us00370</t>
        </is>
      </c>
      <c r="L374" s="27" t="n">
        <v>8</v>
      </c>
      <c r="M374" s="27" t="n">
        <v>26</v>
      </c>
      <c r="N374" s="27" t="inlineStr">
        <is>
          <t>Affiliate</t>
        </is>
      </c>
      <c r="O374" s="27" t="inlineStr">
        <is>
          <t>https://isaaczimmerman.com/resources</t>
        </is>
      </c>
      <c r="P374" s="27" t="inlineStr">
        <is>
          <t>Shorts Repurposing Bottleneck</t>
        </is>
      </c>
      <c r="Q374" s="27" t="inlineStr">
        <is>
          <t>https://isaaczimmerman.com/highlights</t>
        </is>
      </c>
      <c r="R374" s="27" t="inlineStr">
        <is>
          <t>X (Twitter)</t>
        </is>
      </c>
      <c r="S374" s="27" t="inlineStr">
        <is>
          <t>https://x.com/isaaczimmerman</t>
        </is>
      </c>
      <c r="T374" s="27" t="inlineStr">
        <is>
          <t>https://isaaczimmerman.com/links</t>
        </is>
      </c>
      <c r="U374" s="27" t="inlineStr">
        <is>
          <t>LinkedIn</t>
        </is>
      </c>
      <c r="V374" s="27" t="inlineStr">
        <is>
          <t>tech &amp; ai frameworks, specifically regarding episode 21 on Tech &amp; AI workflow optimization</t>
        </is>
      </c>
      <c r="W374" s="27" t="inlineStr">
        <is>
          <t>Hi Isaac, loved your recent piece on 'tech &amp; ai frameworks, specifically regarding episode 21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74" s="27" t="inlineStr">
        <is>
          <t>2026-10-18</t>
        </is>
      </c>
      <c r="Y374" s="27" t="inlineStr">
        <is>
          <t>C</t>
        </is>
      </c>
      <c r="Z374" s="27" t="n">
        <v>73.8</v>
      </c>
      <c r="AA374" s="27" t="inlineStr">
        <is>
          <t>Qualified</t>
        </is>
      </c>
      <c r="AB374" s="27" t="inlineStr"/>
      <c r="AC374" s="28">
        <f>IF(A374="","",IF(COUNTIF($H$5:$H$1004,H374)&gt;1,"DUPLICATE","UNIQUE"))</f>
        <v/>
      </c>
      <c r="AD374" s="28">
        <f>IF(A374="","",IF(AA374="Rejected",IF(AB374&lt;&gt;"","REJECTED","ADD REASON"),IF(AND(B374&lt;&gt;"",C374&lt;&gt;"",D374&lt;&gt;"",E374&lt;&gt;"",F374&lt;&gt;"",G374&lt;&gt;"",H374&lt;&gt;"",J374&lt;&gt;"",K374&lt;&gt;"",N374&lt;&gt;"",O374&lt;&gt;"",P374&lt;&gt;"",Q374&lt;&gt;"",R374&lt;&gt;"",S374&lt;&gt;"",T374&lt;&gt;"",V374&lt;&gt;"",W374&lt;&gt;"",X374&lt;&gt;"",Y374&lt;&gt;""),"COMPLETE","MISSING FIELDS")))</f>
        <v/>
      </c>
    </row>
    <row r="375" ht="15" customHeight="1" s="15">
      <c r="A375" s="27" t="inlineStr">
        <is>
          <t>LEAD-0371</t>
        </is>
      </c>
      <c r="B375" s="27" t="inlineStr">
        <is>
          <t>Isaac Sterling</t>
        </is>
      </c>
      <c r="C375" s="27" t="inlineStr">
        <is>
          <t>Podcaster</t>
        </is>
      </c>
      <c r="D375" s="27" t="inlineStr">
        <is>
          <t>US</t>
        </is>
      </c>
      <c r="E375" s="27" t="inlineStr">
        <is>
          <t>English</t>
        </is>
      </c>
      <c r="F375" s="27" t="inlineStr">
        <is>
          <t>Apple Podcasts</t>
        </is>
      </c>
      <c r="G375" s="27" t="inlineStr">
        <is>
          <t>https://podcasts.apple.com/us/podcast/isaacsterling/id1000371</t>
        </is>
      </c>
      <c r="H375" s="27" t="inlineStr">
        <is>
          <t>AP-US-1000371</t>
        </is>
      </c>
      <c r="I375" s="27" t="inlineStr">
        <is>
          <t>264,000</t>
        </is>
      </c>
      <c r="J375" s="27" t="inlineStr">
        <is>
          <t>2026-10-13</t>
        </is>
      </c>
      <c r="K375" s="27" t="inlineStr">
        <is>
          <t>https://isaacsterling.com/episodes/172</t>
        </is>
      </c>
      <c r="L375" s="27" t="n">
        <v>9</v>
      </c>
      <c r="M375" s="27" t="n">
        <v>27</v>
      </c>
      <c r="N375" s="27" t="inlineStr">
        <is>
          <t>Course</t>
        </is>
      </c>
      <c r="O375" s="27" t="inlineStr">
        <is>
          <t>https://isaacsterling.com/academy</t>
        </is>
      </c>
      <c r="P375" s="27" t="inlineStr">
        <is>
          <t>Missing Video Captions &amp; Retention Clips</t>
        </is>
      </c>
      <c r="Q375" s="27" t="inlineStr">
        <is>
          <t>https://isaacsterling.com/highlights</t>
        </is>
      </c>
      <c r="R375" s="27" t="inlineStr">
        <is>
          <t>Email</t>
        </is>
      </c>
      <c r="S375" s="27" t="inlineStr">
        <is>
          <t>hello@isaacsterling.com</t>
        </is>
      </c>
      <c r="T375" s="27" t="inlineStr">
        <is>
          <t>https://isaacsterling.com/work-with-me</t>
        </is>
      </c>
      <c r="U375" s="27" t="inlineStr">
        <is>
          <t>LinkedIn</t>
        </is>
      </c>
      <c r="V375" s="27" t="inlineStr">
        <is>
          <t>saas &amp; product growth frameworks, specifically regarding episode 22 on SaaS &amp; Product Growth workflow optimization</t>
        </is>
      </c>
      <c r="W375" s="27" t="inlineStr">
        <is>
          <t>Hi Isaac, loved your recent piece on 'saas &amp; product growth frameworks, specifically regarding episode 22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75" s="27" t="inlineStr">
        <is>
          <t>2026-10-18</t>
        </is>
      </c>
      <c r="Y375" s="27" t="inlineStr">
        <is>
          <t>C</t>
        </is>
      </c>
      <c r="Z375" s="27" t="n">
        <v>73.7</v>
      </c>
      <c r="AA375" s="27" t="inlineStr">
        <is>
          <t>Qualified</t>
        </is>
      </c>
      <c r="AB375" s="27" t="inlineStr"/>
      <c r="AC375" s="28">
        <f>IF(A375="","",IF(COUNTIF($H$5:$H$1004,H375)&gt;1,"DUPLICATE","UNIQUE"))</f>
        <v/>
      </c>
      <c r="AD375" s="28">
        <f>IF(A375="","",IF(AA375="Rejected",IF(AB375&lt;&gt;"","REJECTED","ADD REASON"),IF(AND(B375&lt;&gt;"",C375&lt;&gt;"",D375&lt;&gt;"",E375&lt;&gt;"",F375&lt;&gt;"",G375&lt;&gt;"",H375&lt;&gt;"",J375&lt;&gt;"",K375&lt;&gt;"",N375&lt;&gt;"",O375&lt;&gt;"",P375&lt;&gt;"",Q375&lt;&gt;"",R375&lt;&gt;"",S375&lt;&gt;"",T375&lt;&gt;"",V375&lt;&gt;"",W375&lt;&gt;"",X375&lt;&gt;"",Y375&lt;&gt;""),"COMPLETE","MISSING FIELDS")))</f>
        <v/>
      </c>
    </row>
    <row r="376" ht="15" customHeight="1" s="15">
      <c r="A376" s="27" t="inlineStr">
        <is>
          <t>LEAD-0372</t>
        </is>
      </c>
      <c r="B376" s="27" t="inlineStr">
        <is>
          <t>Isaac Cross</t>
        </is>
      </c>
      <c r="C376" s="27" t="inlineStr">
        <is>
          <t>Expert-Led Creator</t>
        </is>
      </c>
      <c r="D376" s="27" t="inlineStr">
        <is>
          <t>US</t>
        </is>
      </c>
      <c r="E376" s="27" t="inlineStr">
        <is>
          <t>English</t>
        </is>
      </c>
      <c r="F376" s="27" t="inlineStr">
        <is>
          <t>YouTube</t>
        </is>
      </c>
      <c r="G376" s="27" t="inlineStr">
        <is>
          <t>https://www.youtube.com/@isaaccross</t>
        </is>
      </c>
      <c r="H376" s="27" t="inlineStr">
        <is>
          <t>UCUS00372614918</t>
        </is>
      </c>
      <c r="I376" s="27" t="inlineStr">
        <is>
          <t>460,000</t>
        </is>
      </c>
      <c r="J376" s="27" t="inlineStr">
        <is>
          <t>2026-10-14</t>
        </is>
      </c>
      <c r="K376" s="27" t="inlineStr">
        <is>
          <t>https://www.youtube.com/watch?v=us00372</t>
        </is>
      </c>
      <c r="L376" s="27" t="n">
        <v>10</v>
      </c>
      <c r="M376" s="27" t="n">
        <v>28</v>
      </c>
      <c r="N376" s="27" t="inlineStr">
        <is>
          <t>Sponsor</t>
        </is>
      </c>
      <c r="O376" s="27" t="inlineStr">
        <is>
          <t>https://isaaccross.com/partners</t>
        </is>
      </c>
      <c r="P376" s="27" t="inlineStr">
        <is>
          <t>Editing Backlog &amp; Team Workflow Overhead</t>
        </is>
      </c>
      <c r="Q376" s="27" t="inlineStr">
        <is>
          <t>https://isaaccross.com/highlights</t>
        </is>
      </c>
      <c r="R376" s="27" t="inlineStr">
        <is>
          <t>Email</t>
        </is>
      </c>
      <c r="S376" s="27" t="inlineStr">
        <is>
          <t>contact@isaaccross.com</t>
        </is>
      </c>
      <c r="T376" s="27" t="inlineStr">
        <is>
          <t>https://isaaccross.com/contact</t>
        </is>
      </c>
      <c r="U376" s="27" t="inlineStr">
        <is>
          <t>LinkedIn</t>
        </is>
      </c>
      <c r="V376" s="27" t="inlineStr">
        <is>
          <t>creator business &amp; monetization frameworks, specifically regarding episode 23 on Creator Business &amp; Monetization workflow optimization</t>
        </is>
      </c>
      <c r="W376" s="27" t="inlineStr">
        <is>
          <t>Hi Isaac, loved your recent piece on 'creator business &amp; monetization frameworks, specifically regarding episode 23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76" s="27" t="inlineStr">
        <is>
          <t>2026-10-18</t>
        </is>
      </c>
      <c r="Y376" s="27" t="inlineStr">
        <is>
          <t>C</t>
        </is>
      </c>
      <c r="Z376" s="27" t="n">
        <v>73.7</v>
      </c>
      <c r="AA376" s="27" t="inlineStr">
        <is>
          <t>Qualified</t>
        </is>
      </c>
      <c r="AB376" s="27" t="inlineStr"/>
      <c r="AC376" s="28">
        <f>IF(A376="","",IF(COUNTIF($H$5:$H$1004,H376)&gt;1,"DUPLICATE","UNIQUE"))</f>
        <v/>
      </c>
      <c r="AD376" s="28">
        <f>IF(A376="","",IF(AA376="Rejected",IF(AB376&lt;&gt;"","REJECTED","ADD REASON"),IF(AND(B376&lt;&gt;"",C376&lt;&gt;"",D376&lt;&gt;"",E376&lt;&gt;"",F376&lt;&gt;"",G376&lt;&gt;"",H376&lt;&gt;"",J376&lt;&gt;"",K376&lt;&gt;"",N376&lt;&gt;"",O376&lt;&gt;"",P376&lt;&gt;"",Q376&lt;&gt;"",R376&lt;&gt;"",S376&lt;&gt;"",T376&lt;&gt;"",V376&lt;&gt;"",W376&lt;&gt;"",X376&lt;&gt;"",Y376&lt;&gt;""),"COMPLETE","MISSING FIELDS")))</f>
        <v/>
      </c>
    </row>
    <row r="377" ht="15" customHeight="1" s="15">
      <c r="A377" s="27" t="inlineStr">
        <is>
          <t>LEAD-0373</t>
        </is>
      </c>
      <c r="B377" s="27" t="inlineStr">
        <is>
          <t>Isaac Vance</t>
        </is>
      </c>
      <c r="C377" s="27" t="inlineStr">
        <is>
          <t>YouTuber</t>
        </is>
      </c>
      <c r="D377" s="27" t="inlineStr">
        <is>
          <t>US</t>
        </is>
      </c>
      <c r="E377" s="27" t="inlineStr">
        <is>
          <t>English</t>
        </is>
      </c>
      <c r="F377" s="27" t="inlineStr">
        <is>
          <t>YouTube</t>
        </is>
      </c>
      <c r="G377" s="27" t="inlineStr">
        <is>
          <t>https://www.youtube.com/@isaacvance</t>
        </is>
      </c>
      <c r="H377" s="27" t="inlineStr">
        <is>
          <t>UCUS00373614618</t>
        </is>
      </c>
      <c r="I377" s="27" t="inlineStr">
        <is>
          <t>480,000</t>
        </is>
      </c>
      <c r="J377" s="27" t="inlineStr">
        <is>
          <t>2026-10-15</t>
        </is>
      </c>
      <c r="K377" s="27" t="inlineStr">
        <is>
          <t>https://www.youtube.com/watch?v=us00373</t>
        </is>
      </c>
      <c r="L377" s="27" t="n">
        <v>11</v>
      </c>
      <c r="M377" s="27" t="n">
        <v>29</v>
      </c>
      <c r="N377" s="27" t="inlineStr">
        <is>
          <t>Membership</t>
        </is>
      </c>
      <c r="O377" s="27" t="inlineStr">
        <is>
          <t>https://isaacvance.com/community</t>
        </is>
      </c>
      <c r="P377" s="27" t="inlineStr">
        <is>
          <t>Shorts Repurposing Bottleneck</t>
        </is>
      </c>
      <c r="Q377" s="27" t="inlineStr">
        <is>
          <t>https://isaacvance.com/highlights</t>
        </is>
      </c>
      <c r="R377" s="27" t="inlineStr">
        <is>
          <t>LinkedIn</t>
        </is>
      </c>
      <c r="S377" s="27" t="inlineStr">
        <is>
          <t>https://linkedin.com/in/isaacvance</t>
        </is>
      </c>
      <c r="T377" s="27" t="inlineStr">
        <is>
          <t>https://isaacvance.com/about</t>
        </is>
      </c>
      <c r="U377" s="27" t="inlineStr">
        <is>
          <t>Email</t>
        </is>
      </c>
      <c r="V377" s="27" t="inlineStr">
        <is>
          <t>productivity &amp; personal systems frameworks, specifically regarding episode 24 on Productivity &amp; Personal Systems workflow optimization</t>
        </is>
      </c>
      <c r="W377" s="27" t="inlineStr">
        <is>
          <t>Hi Isaac, loved your recent piece on 'productivity &amp; personal systems frameworks, specifically regarding episode 24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77" s="27" t="inlineStr">
        <is>
          <t>2026-10-18</t>
        </is>
      </c>
      <c r="Y377" s="27" t="inlineStr">
        <is>
          <t>C</t>
        </is>
      </c>
      <c r="Z377" s="27" t="n">
        <v>73.59999999999999</v>
      </c>
      <c r="AA377" s="27" t="inlineStr">
        <is>
          <t>Qualified</t>
        </is>
      </c>
      <c r="AB377" s="27" t="inlineStr"/>
      <c r="AC377" s="28">
        <f>IF(A377="","",IF(COUNTIF($H$5:$H$1004,H377)&gt;1,"DUPLICATE","UNIQUE"))</f>
        <v/>
      </c>
      <c r="AD377" s="28">
        <f>IF(A377="","",IF(AA377="Rejected",IF(AB377&lt;&gt;"","REJECTED","ADD REASON"),IF(AND(B377&lt;&gt;"",C377&lt;&gt;"",D377&lt;&gt;"",E377&lt;&gt;"",F377&lt;&gt;"",G377&lt;&gt;"",H377&lt;&gt;"",J377&lt;&gt;"",K377&lt;&gt;"",N377&lt;&gt;"",O377&lt;&gt;"",P377&lt;&gt;"",Q377&lt;&gt;"",R377&lt;&gt;"",S377&lt;&gt;"",T377&lt;&gt;"",V377&lt;&gt;"",W377&lt;&gt;"",X377&lt;&gt;"",Y377&lt;&gt;""),"COMPLETE","MISSING FIELDS")))</f>
        <v/>
      </c>
    </row>
    <row r="378" ht="15" customHeight="1" s="15">
      <c r="A378" s="27" t="inlineStr">
        <is>
          <t>LEAD-0374</t>
        </is>
      </c>
      <c r="B378" s="27" t="inlineStr">
        <is>
          <t>Isaac Mercer</t>
        </is>
      </c>
      <c r="C378" s="27" t="inlineStr">
        <is>
          <t>Podcaster</t>
        </is>
      </c>
      <c r="D378" s="27" t="inlineStr">
        <is>
          <t>US</t>
        </is>
      </c>
      <c r="E378" s="27" t="inlineStr">
        <is>
          <t>English</t>
        </is>
      </c>
      <c r="F378" s="27" t="inlineStr">
        <is>
          <t>Apple Podcasts</t>
        </is>
      </c>
      <c r="G378" s="27" t="inlineStr">
        <is>
          <t>https://podcasts.apple.com/us/podcast/isaacmercer/id1000374</t>
        </is>
      </c>
      <c r="H378" s="27" t="inlineStr">
        <is>
          <t>AP-US-1000374</t>
        </is>
      </c>
      <c r="I378" s="27" t="inlineStr">
        <is>
          <t>300,000</t>
        </is>
      </c>
      <c r="J378" s="27" t="inlineStr">
        <is>
          <t>2026-10-16</t>
        </is>
      </c>
      <c r="K378" s="27" t="inlineStr">
        <is>
          <t>https://isaacmercer.com/episodes/175</t>
        </is>
      </c>
      <c r="L378" s="27" t="n">
        <v>12</v>
      </c>
      <c r="M378" s="27" t="n">
        <v>30</v>
      </c>
      <c r="N378" s="27" t="inlineStr">
        <is>
          <t>Product</t>
        </is>
      </c>
      <c r="O378" s="27" t="inlineStr">
        <is>
          <t>https://isaacmercer.com/shop</t>
        </is>
      </c>
      <c r="P378" s="27" t="inlineStr">
        <is>
          <t>Inconsistent Cross-Platform Publishing</t>
        </is>
      </c>
      <c r="Q378" s="27" t="inlineStr">
        <is>
          <t>https://isaacmercer.com/highlights</t>
        </is>
      </c>
      <c r="R378" s="27" t="inlineStr">
        <is>
          <t>X (Twitter)</t>
        </is>
      </c>
      <c r="S378" s="27" t="inlineStr">
        <is>
          <t>https://x.com/isaacmercer</t>
        </is>
      </c>
      <c r="T378" s="27" t="inlineStr">
        <is>
          <t>https://isaacmercer.com/links</t>
        </is>
      </c>
      <c r="U378" s="27" t="inlineStr">
        <is>
          <t>LinkedIn</t>
        </is>
      </c>
      <c r="V378" s="27" t="inlineStr">
        <is>
          <t>leadership &amp; team ops frameworks, specifically regarding episode 25 on Leadership &amp; Team Ops workflow optimization</t>
        </is>
      </c>
      <c r="W378" s="27" t="inlineStr">
        <is>
          <t>Hi Isaac, loved your recent piece on 'leadership &amp; team ops frameworks, specifically regarding episode 25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78" s="27" t="inlineStr">
        <is>
          <t>2026-10-18</t>
        </is>
      </c>
      <c r="Y378" s="27" t="inlineStr">
        <is>
          <t>C</t>
        </is>
      </c>
      <c r="Z378" s="27" t="n">
        <v>73.59999999999999</v>
      </c>
      <c r="AA378" s="27" t="inlineStr">
        <is>
          <t>Qualified</t>
        </is>
      </c>
      <c r="AB378" s="27" t="inlineStr"/>
      <c r="AC378" s="28">
        <f>IF(A378="","",IF(COUNTIF($H$5:$H$1004,H378)&gt;1,"DUPLICATE","UNIQUE"))</f>
        <v/>
      </c>
      <c r="AD378" s="28">
        <f>IF(A378="","",IF(AA378="Rejected",IF(AB378&lt;&gt;"","REJECTED","ADD REASON"),IF(AND(B378&lt;&gt;"",C378&lt;&gt;"",D378&lt;&gt;"",E378&lt;&gt;"",F378&lt;&gt;"",G378&lt;&gt;"",H378&lt;&gt;"",J378&lt;&gt;"",K378&lt;&gt;"",N378&lt;&gt;"",O378&lt;&gt;"",P378&lt;&gt;"",Q378&lt;&gt;"",R378&lt;&gt;"",S378&lt;&gt;"",T378&lt;&gt;"",V378&lt;&gt;"",W378&lt;&gt;"",X378&lt;&gt;"",Y378&lt;&gt;""),"COMPLETE","MISSING FIELDS")))</f>
        <v/>
      </c>
    </row>
    <row r="379" ht="15" customHeight="1" s="15">
      <c r="A379" s="27" t="inlineStr">
        <is>
          <t>LEAD-0375</t>
        </is>
      </c>
      <c r="B379" s="27" t="inlineStr">
        <is>
          <t>Isaac Sinclair</t>
        </is>
      </c>
      <c r="C379" s="27" t="inlineStr">
        <is>
          <t>Expert-Led Creator</t>
        </is>
      </c>
      <c r="D379" s="27" t="inlineStr">
        <is>
          <t>US</t>
        </is>
      </c>
      <c r="E379" s="27" t="inlineStr">
        <is>
          <t>English</t>
        </is>
      </c>
      <c r="F379" s="27" t="inlineStr">
        <is>
          <t>LinkedIn</t>
        </is>
      </c>
      <c r="G379" s="27" t="inlineStr">
        <is>
          <t>https://www.linkedin.com/in/isaacsinclair</t>
        </is>
      </c>
      <c r="H379" s="27" t="inlineStr">
        <is>
          <t>LI-isaacsinclair-0375</t>
        </is>
      </c>
      <c r="I379" s="27" t="inlineStr">
        <is>
          <t>96,000</t>
        </is>
      </c>
      <c r="J379" s="27" t="inlineStr">
        <is>
          <t>2026-10-17</t>
        </is>
      </c>
      <c r="K379" s="27" t="inlineStr">
        <is>
          <t>https://isaacsinclair.com/posts/76</t>
        </is>
      </c>
      <c r="L379" s="27" t="n">
        <v>13</v>
      </c>
      <c r="M379" s="27" t="n">
        <v>31</v>
      </c>
      <c r="N379" s="27" t="inlineStr">
        <is>
          <t>Consulting</t>
        </is>
      </c>
      <c r="O379" s="27" t="inlineStr">
        <is>
          <t>https://isaacsinclair.com/advisory</t>
        </is>
      </c>
      <c r="P379" s="27" t="inlineStr">
        <is>
          <t>Editing Backlog &amp; Team Workflow Overhead</t>
        </is>
      </c>
      <c r="Q379" s="27" t="inlineStr">
        <is>
          <t>https://isaacsinclair.com/highlights</t>
        </is>
      </c>
      <c r="R379" s="27" t="inlineStr">
        <is>
          <t>Email</t>
        </is>
      </c>
      <c r="S379" s="27" t="inlineStr">
        <is>
          <t>hello@isaacsinclair.com</t>
        </is>
      </c>
      <c r="T379" s="27" t="inlineStr">
        <is>
          <t>https://isaacsinclair.com/work-with-me</t>
        </is>
      </c>
      <c r="U379" s="27" t="inlineStr">
        <is>
          <t>LinkedIn</t>
        </is>
      </c>
      <c r="V379" s="27" t="inlineStr">
        <is>
          <t>b2b marketing &amp; sales frameworks, specifically regarding episode 26 on B2B Marketing &amp; Sales workflow optimization</t>
        </is>
      </c>
      <c r="W379" s="27" t="inlineStr">
        <is>
          <t>Hi Isaac, loved your recent piece on 'b2b marketing &amp; sales frameworks, specifically regarding episode 26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79" s="27" t="inlineStr">
        <is>
          <t>2026-10-18</t>
        </is>
      </c>
      <c r="Y379" s="27" t="inlineStr">
        <is>
          <t>C</t>
        </is>
      </c>
      <c r="Z379" s="27" t="n">
        <v>73.5</v>
      </c>
      <c r="AA379" s="27" t="inlineStr">
        <is>
          <t>Qualified</t>
        </is>
      </c>
      <c r="AB379" s="27" t="inlineStr"/>
      <c r="AC379" s="28">
        <f>IF(A379="","",IF(COUNTIF($H$5:$H$1004,H379)&gt;1,"DUPLICATE","UNIQUE"))</f>
        <v/>
      </c>
      <c r="AD379" s="28">
        <f>IF(A379="","",IF(AA379="Rejected",IF(AB379&lt;&gt;"","REJECTED","ADD REASON"),IF(AND(B379&lt;&gt;"",C379&lt;&gt;"",D379&lt;&gt;"",E379&lt;&gt;"",F379&lt;&gt;"",G379&lt;&gt;"",H379&lt;&gt;"",J379&lt;&gt;"",K379&lt;&gt;"",N379&lt;&gt;"",O379&lt;&gt;"",P379&lt;&gt;"",Q379&lt;&gt;"",R379&lt;&gt;"",S379&lt;&gt;"",T379&lt;&gt;"",V379&lt;&gt;"",W379&lt;&gt;"",X379&lt;&gt;"",Y379&lt;&gt;""),"COMPLETE","MISSING FIELDS")))</f>
        <v/>
      </c>
    </row>
    <row r="380" ht="15" customHeight="1" s="15">
      <c r="A380" s="27" t="inlineStr">
        <is>
          <t>LEAD-0376</t>
        </is>
      </c>
      <c r="B380" s="27" t="inlineStr">
        <is>
          <t>Isaac Carrington</t>
        </is>
      </c>
      <c r="C380" s="27" t="inlineStr">
        <is>
          <t>YouTuber</t>
        </is>
      </c>
      <c r="D380" s="27" t="inlineStr">
        <is>
          <t>US</t>
        </is>
      </c>
      <c r="E380" s="27" t="inlineStr">
        <is>
          <t>English</t>
        </is>
      </c>
      <c r="F380" s="27" t="inlineStr">
        <is>
          <t>YouTube</t>
        </is>
      </c>
      <c r="G380" s="27" t="inlineStr">
        <is>
          <t>https://www.youtube.com/@isaaccarrington</t>
        </is>
      </c>
      <c r="H380" s="27" t="inlineStr">
        <is>
          <t>UCUS00376349408</t>
        </is>
      </c>
      <c r="I380" s="27" t="inlineStr">
        <is>
          <t>540,000</t>
        </is>
      </c>
      <c r="J380" s="27" t="inlineStr">
        <is>
          <t>2026-10-10</t>
        </is>
      </c>
      <c r="K380" s="27" t="inlineStr">
        <is>
          <t>https://www.youtube.com/watch?v=us00376</t>
        </is>
      </c>
      <c r="L380" s="27" t="n">
        <v>14</v>
      </c>
      <c r="M380" s="27" t="n">
        <v>32</v>
      </c>
      <c r="N380" s="27" t="inlineStr">
        <is>
          <t>Newsletter Subscription</t>
        </is>
      </c>
      <c r="O380" s="27" t="inlineStr">
        <is>
          <t>https://isaaccarrington.com/subscribe</t>
        </is>
      </c>
      <c r="P380" s="27" t="inlineStr">
        <is>
          <t>Multilingual Audio Dubbing</t>
        </is>
      </c>
      <c r="Q380" s="27" t="inlineStr">
        <is>
          <t>https://isaaccarrington.com/highlights</t>
        </is>
      </c>
      <c r="R380" s="27" t="inlineStr">
        <is>
          <t>Email</t>
        </is>
      </c>
      <c r="S380" s="27" t="inlineStr">
        <is>
          <t>contact@isaaccarrington.com</t>
        </is>
      </c>
      <c r="T380" s="27" t="inlineStr">
        <is>
          <t>https://isaaccarrington.com/contact</t>
        </is>
      </c>
      <c r="U380" s="27" t="inlineStr">
        <is>
          <t>LinkedIn</t>
        </is>
      </c>
      <c r="V380" s="27" t="inlineStr">
        <is>
          <t>finance &amp; wealth engineering frameworks, specifically regarding episode 27 on Finance &amp; Wealth Engineering workflow optimization</t>
        </is>
      </c>
      <c r="W380" s="27" t="inlineStr">
        <is>
          <t>Hi Isaac,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80" s="27" t="inlineStr">
        <is>
          <t>2026-10-18</t>
        </is>
      </c>
      <c r="Y380" s="27" t="inlineStr">
        <is>
          <t>C</t>
        </is>
      </c>
      <c r="Z380" s="27" t="n">
        <v>73.40000000000001</v>
      </c>
      <c r="AA380" s="27" t="inlineStr">
        <is>
          <t>Qualified</t>
        </is>
      </c>
      <c r="AB380" s="27" t="inlineStr"/>
      <c r="AC380" s="28">
        <f>IF(A380="","",IF(COUNTIF($H$5:$H$1004,H380)&gt;1,"DUPLICATE","UNIQUE"))</f>
        <v/>
      </c>
      <c r="AD380" s="28">
        <f>IF(A380="","",IF(AA380="Rejected",IF(AB380&lt;&gt;"","REJECTED","ADD REASON"),IF(AND(B380&lt;&gt;"",C380&lt;&gt;"",D380&lt;&gt;"",E380&lt;&gt;"",F380&lt;&gt;"",G380&lt;&gt;"",H380&lt;&gt;"",J380&lt;&gt;"",K380&lt;&gt;"",N380&lt;&gt;"",O380&lt;&gt;"",P380&lt;&gt;"",Q380&lt;&gt;"",R380&lt;&gt;"",S380&lt;&gt;"",T380&lt;&gt;"",V380&lt;&gt;"",W380&lt;&gt;"",X380&lt;&gt;"",Y380&lt;&gt;""),"COMPLETE","MISSING FIELDS")))</f>
        <v/>
      </c>
    </row>
    <row r="381" ht="15" customHeight="1" s="15">
      <c r="A381" s="27" t="inlineStr">
        <is>
          <t>LEAD-0377</t>
        </is>
      </c>
      <c r="B381" s="27" t="inlineStr">
        <is>
          <t>Isaac Prescott</t>
        </is>
      </c>
      <c r="C381" s="27" t="inlineStr">
        <is>
          <t>Podcaster</t>
        </is>
      </c>
      <c r="D381" s="27" t="inlineStr">
        <is>
          <t>US</t>
        </is>
      </c>
      <c r="E381" s="27" t="inlineStr">
        <is>
          <t>English</t>
        </is>
      </c>
      <c r="F381" s="27" t="inlineStr">
        <is>
          <t>Apple Podcasts</t>
        </is>
      </c>
      <c r="G381" s="27" t="inlineStr">
        <is>
          <t>https://podcasts.apple.com/us/podcast/isaacprescott/id1000377</t>
        </is>
      </c>
      <c r="H381" s="27" t="inlineStr">
        <is>
          <t>AP-US-1000377</t>
        </is>
      </c>
      <c r="I381" s="27" t="inlineStr">
        <is>
          <t>36,000</t>
        </is>
      </c>
      <c r="J381" s="27" t="inlineStr">
        <is>
          <t>2026-10-11</t>
        </is>
      </c>
      <c r="K381" s="27" t="inlineStr">
        <is>
          <t>https://isaacprescott.com/episodes/178</t>
        </is>
      </c>
      <c r="L381" s="27" t="n">
        <v>15</v>
      </c>
      <c r="M381" s="27" t="n">
        <v>33</v>
      </c>
      <c r="N381" s="27" t="inlineStr">
        <is>
          <t>Affiliate</t>
        </is>
      </c>
      <c r="O381" s="27" t="inlineStr">
        <is>
          <t>https://isaacprescott.com/resources</t>
        </is>
      </c>
      <c r="P381" s="27" t="inlineStr">
        <is>
          <t>Multilingual Audio Dubbing</t>
        </is>
      </c>
      <c r="Q381" s="27" t="inlineStr">
        <is>
          <t>https://isaacprescott.com/highlights</t>
        </is>
      </c>
      <c r="R381" s="27" t="inlineStr">
        <is>
          <t>LinkedIn</t>
        </is>
      </c>
      <c r="S381" s="27" t="inlineStr">
        <is>
          <t>https://linkedin.com/in/isaacprescott</t>
        </is>
      </c>
      <c r="T381" s="27" t="inlineStr">
        <is>
          <t>https://isaacprescott.com/about</t>
        </is>
      </c>
      <c r="U381" s="27" t="inlineStr">
        <is>
          <t>Email</t>
        </is>
      </c>
      <c r="V381" s="27" t="inlineStr">
        <is>
          <t>health &amp; longevity science frameworks, specifically regarding episode 28 on Health &amp; Longevity Science workflow optimization</t>
        </is>
      </c>
      <c r="W381" s="27" t="inlineStr">
        <is>
          <t>Hi Isaac,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81" s="27" t="inlineStr">
        <is>
          <t>2026-10-18</t>
        </is>
      </c>
      <c r="Y381" s="27" t="inlineStr">
        <is>
          <t>C</t>
        </is>
      </c>
      <c r="Z381" s="27" t="n">
        <v>73.40000000000001</v>
      </c>
      <c r="AA381" s="27" t="inlineStr">
        <is>
          <t>Qualified</t>
        </is>
      </c>
      <c r="AB381" s="27" t="inlineStr"/>
      <c r="AC381" s="28">
        <f>IF(A381="","",IF(COUNTIF($H$5:$H$1004,H381)&gt;1,"DUPLICATE","UNIQUE"))</f>
        <v/>
      </c>
      <c r="AD381" s="28">
        <f>IF(A381="","",IF(AA381="Rejected",IF(AB381&lt;&gt;"","REJECTED","ADD REASON"),IF(AND(B381&lt;&gt;"",C381&lt;&gt;"",D381&lt;&gt;"",E381&lt;&gt;"",F381&lt;&gt;"",G381&lt;&gt;"",H381&lt;&gt;"",J381&lt;&gt;"",K381&lt;&gt;"",N381&lt;&gt;"",O381&lt;&gt;"",P381&lt;&gt;"",Q381&lt;&gt;"",R381&lt;&gt;"",S381&lt;&gt;"",T381&lt;&gt;"",V381&lt;&gt;"",W381&lt;&gt;"",X381&lt;&gt;"",Y381&lt;&gt;""),"COMPLETE","MISSING FIELDS")))</f>
        <v/>
      </c>
    </row>
    <row r="382" ht="15" customHeight="1" s="15">
      <c r="A382" s="27" t="inlineStr">
        <is>
          <t>LEAD-0378</t>
        </is>
      </c>
      <c r="B382" s="27" t="inlineStr">
        <is>
          <t>Isaac Winslow</t>
        </is>
      </c>
      <c r="C382" s="27" t="inlineStr">
        <is>
          <t>YouTuber</t>
        </is>
      </c>
      <c r="D382" s="27" t="inlineStr">
        <is>
          <t>US</t>
        </is>
      </c>
      <c r="E382" s="27" t="inlineStr">
        <is>
          <t>English</t>
        </is>
      </c>
      <c r="F382" s="27" t="inlineStr">
        <is>
          <t>YouTube</t>
        </is>
      </c>
      <c r="G382" s="27" t="inlineStr">
        <is>
          <t>https://www.youtube.com/@isaacwinslow</t>
        </is>
      </c>
      <c r="H382" s="27" t="inlineStr">
        <is>
          <t>UCUS00378341567</t>
        </is>
      </c>
      <c r="I382" s="27" t="inlineStr">
        <is>
          <t>580,000</t>
        </is>
      </c>
      <c r="J382" s="27" t="inlineStr">
        <is>
          <t>2026-10-12</t>
        </is>
      </c>
      <c r="K382" s="27" t="inlineStr">
        <is>
          <t>https://www.youtube.com/watch?v=us00378</t>
        </is>
      </c>
      <c r="L382" s="27" t="n">
        <v>16</v>
      </c>
      <c r="M382" s="27" t="n">
        <v>16</v>
      </c>
      <c r="N382" s="27" t="inlineStr">
        <is>
          <t>Course</t>
        </is>
      </c>
      <c r="O382" s="27" t="inlineStr">
        <is>
          <t>https://isaacwinslow.com/academy</t>
        </is>
      </c>
      <c r="P382" s="27" t="inlineStr">
        <is>
          <t>Missing Video Captions &amp; Retention Clips</t>
        </is>
      </c>
      <c r="Q382" s="27" t="inlineStr">
        <is>
          <t>https://isaacwinslow.com/highlights</t>
        </is>
      </c>
      <c r="R382" s="27" t="inlineStr">
        <is>
          <t>X (Twitter)</t>
        </is>
      </c>
      <c r="S382" s="27" t="inlineStr">
        <is>
          <t>https://x.com/isaacwinslow</t>
        </is>
      </c>
      <c r="T382" s="27" t="inlineStr">
        <is>
          <t>https://isaacwinslow.com/links</t>
        </is>
      </c>
      <c r="U382" s="27" t="inlineStr">
        <is>
          <t>LinkedIn</t>
        </is>
      </c>
      <c r="V382" s="27" t="inlineStr">
        <is>
          <t>education &amp; applied coding frameworks, specifically regarding episode 29 on Education &amp; Applied Coding workflow optimization</t>
        </is>
      </c>
      <c r="W382" s="27" t="inlineStr">
        <is>
          <t>Hi Isaac,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82" s="27" t="inlineStr">
        <is>
          <t>2026-10-18</t>
        </is>
      </c>
      <c r="Y382" s="27" t="inlineStr">
        <is>
          <t>C</t>
        </is>
      </c>
      <c r="Z382" s="27" t="n">
        <v>73.3</v>
      </c>
      <c r="AA382" s="27" t="inlineStr">
        <is>
          <t>Qualified</t>
        </is>
      </c>
      <c r="AB382" s="27" t="inlineStr"/>
      <c r="AC382" s="28">
        <f>IF(A382="","",IF(COUNTIF($H$5:$H$1004,H382)&gt;1,"DUPLICATE","UNIQUE"))</f>
        <v/>
      </c>
      <c r="AD382" s="28">
        <f>IF(A382="","",IF(AA382="Rejected",IF(AB382&lt;&gt;"","REJECTED","ADD REASON"),IF(AND(B382&lt;&gt;"",C382&lt;&gt;"",D382&lt;&gt;"",E382&lt;&gt;"",F382&lt;&gt;"",G382&lt;&gt;"",H382&lt;&gt;"",J382&lt;&gt;"",K382&lt;&gt;"",N382&lt;&gt;"",O382&lt;&gt;"",P382&lt;&gt;"",Q382&lt;&gt;"",R382&lt;&gt;"",S382&lt;&gt;"",T382&lt;&gt;"",V382&lt;&gt;"",W382&lt;&gt;"",X382&lt;&gt;"",Y382&lt;&gt;""),"COMPLETE","MISSING FIELDS")))</f>
        <v/>
      </c>
    </row>
    <row r="383" ht="15" customHeight="1" s="15">
      <c r="A383" s="27" t="inlineStr">
        <is>
          <t>LEAD-0379</t>
        </is>
      </c>
      <c r="B383" s="27" t="inlineStr">
        <is>
          <t>Isaac Bradford</t>
        </is>
      </c>
      <c r="C383" s="27" t="inlineStr">
        <is>
          <t>Podcaster</t>
        </is>
      </c>
      <c r="D383" s="27" t="inlineStr">
        <is>
          <t>US</t>
        </is>
      </c>
      <c r="E383" s="27" t="inlineStr">
        <is>
          <t>English</t>
        </is>
      </c>
      <c r="F383" s="27" t="inlineStr">
        <is>
          <t>Apple Podcasts</t>
        </is>
      </c>
      <c r="G383" s="27" t="inlineStr">
        <is>
          <t>https://podcasts.apple.com/us/podcast/isaacbradford/id1000379</t>
        </is>
      </c>
      <c r="H383" s="27" t="inlineStr">
        <is>
          <t>AP-US-1000379</t>
        </is>
      </c>
      <c r="I383" s="27" t="inlineStr">
        <is>
          <t>60,000</t>
        </is>
      </c>
      <c r="J383" s="27" t="inlineStr">
        <is>
          <t>2026-10-13</t>
        </is>
      </c>
      <c r="K383" s="27" t="inlineStr">
        <is>
          <t>https://isaacbradford.com/episodes/180</t>
        </is>
      </c>
      <c r="L383" s="27" t="n">
        <v>17</v>
      </c>
      <c r="M383" s="27" t="n">
        <v>17</v>
      </c>
      <c r="N383" s="27" t="inlineStr">
        <is>
          <t>Sponsor</t>
        </is>
      </c>
      <c r="O383" s="27" t="inlineStr">
        <is>
          <t>https://isaacbradford.com/partners</t>
        </is>
      </c>
      <c r="P383" s="27" t="inlineStr">
        <is>
          <t>Shorts Repurposing Bottleneck</t>
        </is>
      </c>
      <c r="Q383" s="27" t="inlineStr">
        <is>
          <t>https://isaacbradford.com/highlights</t>
        </is>
      </c>
      <c r="R383" s="27" t="inlineStr">
        <is>
          <t>Email</t>
        </is>
      </c>
      <c r="S383" s="27" t="inlineStr">
        <is>
          <t>hello@isaacbradford.com</t>
        </is>
      </c>
      <c r="T383" s="27" t="inlineStr">
        <is>
          <t>https://isaacbradford.com/work-with-me</t>
        </is>
      </c>
      <c r="U383" s="27" t="inlineStr">
        <is>
          <t>LinkedIn</t>
        </is>
      </c>
      <c r="V383" s="27" t="inlineStr">
        <is>
          <t>e-commerce &amp; digital brands frameworks, specifically regarding episode 30 on E-Commerce &amp; Digital Brands workflow optimization</t>
        </is>
      </c>
      <c r="W383" s="27" t="inlineStr">
        <is>
          <t>Hi Isaac,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83" s="27" t="inlineStr">
        <is>
          <t>2026-10-18</t>
        </is>
      </c>
      <c r="Y383" s="27" t="inlineStr">
        <is>
          <t>C</t>
        </is>
      </c>
      <c r="Z383" s="27" t="n">
        <v>73.3</v>
      </c>
      <c r="AA383" s="27" t="inlineStr">
        <is>
          <t>Qualified</t>
        </is>
      </c>
      <c r="AB383" s="27" t="inlineStr"/>
      <c r="AC383" s="28">
        <f>IF(A383="","",IF(COUNTIF($H$5:$H$1004,H383)&gt;1,"DUPLICATE","UNIQUE"))</f>
        <v/>
      </c>
      <c r="AD383" s="28">
        <f>IF(A383="","",IF(AA383="Rejected",IF(AB383&lt;&gt;"","REJECTED","ADD REASON"),IF(AND(B383&lt;&gt;"",C383&lt;&gt;"",D383&lt;&gt;"",E383&lt;&gt;"",F383&lt;&gt;"",G383&lt;&gt;"",H383&lt;&gt;"",J383&lt;&gt;"",K383&lt;&gt;"",N383&lt;&gt;"",O383&lt;&gt;"",P383&lt;&gt;"",Q383&lt;&gt;"",R383&lt;&gt;"",S383&lt;&gt;"",T383&lt;&gt;"",V383&lt;&gt;"",W383&lt;&gt;"",X383&lt;&gt;"",Y383&lt;&gt;""),"COMPLETE","MISSING FIELDS")))</f>
        <v/>
      </c>
    </row>
    <row r="384" ht="15" customHeight="1" s="15">
      <c r="A384" s="27" t="inlineStr">
        <is>
          <t>LEAD-0380</t>
        </is>
      </c>
      <c r="B384" s="27" t="inlineStr">
        <is>
          <t>Isaac Kensington</t>
        </is>
      </c>
      <c r="C384" s="27" t="inlineStr">
        <is>
          <t>YouTuber</t>
        </is>
      </c>
      <c r="D384" s="27" t="inlineStr">
        <is>
          <t>US</t>
        </is>
      </c>
      <c r="E384" s="27" t="inlineStr">
        <is>
          <t>English</t>
        </is>
      </c>
      <c r="F384" s="27" t="inlineStr">
        <is>
          <t>YouTube</t>
        </is>
      </c>
      <c r="G384" s="27" t="inlineStr">
        <is>
          <t>https://www.youtube.com/@isaackensington</t>
        </is>
      </c>
      <c r="H384" s="27" t="inlineStr">
        <is>
          <t>UCUS00380142445</t>
        </is>
      </c>
      <c r="I384" s="27" t="inlineStr">
        <is>
          <t>620,000</t>
        </is>
      </c>
      <c r="J384" s="27" t="inlineStr">
        <is>
          <t>2026-10-14</t>
        </is>
      </c>
      <c r="K384" s="27" t="inlineStr">
        <is>
          <t>https://www.youtube.com/watch?v=us00380</t>
        </is>
      </c>
      <c r="L384" s="27" t="n">
        <v>8</v>
      </c>
      <c r="M384" s="27" t="n">
        <v>18</v>
      </c>
      <c r="N384" s="27" t="inlineStr">
        <is>
          <t>Membership</t>
        </is>
      </c>
      <c r="O384" s="27" t="inlineStr">
        <is>
          <t>https://isaackensington.com/community</t>
        </is>
      </c>
      <c r="P384" s="27" t="inlineStr">
        <is>
          <t>Shorts Repurposing Bottleneck</t>
        </is>
      </c>
      <c r="Q384" s="27" t="inlineStr">
        <is>
          <t>https://isaackensington.com/highlights</t>
        </is>
      </c>
      <c r="R384" s="27" t="inlineStr">
        <is>
          <t>Email</t>
        </is>
      </c>
      <c r="S384" s="27" t="inlineStr">
        <is>
          <t>contact@isaackensington.com</t>
        </is>
      </c>
      <c r="T384" s="27" t="inlineStr">
        <is>
          <t>https://isaackensington.com/contact</t>
        </is>
      </c>
      <c r="U384" s="27" t="inlineStr">
        <is>
          <t>LinkedIn</t>
        </is>
      </c>
      <c r="V384" s="27" t="inlineStr">
        <is>
          <t>tech &amp; ai frameworks, specifically regarding episode 31 on Tech &amp; AI workflow optimization</t>
        </is>
      </c>
      <c r="W384" s="27" t="inlineStr">
        <is>
          <t>Hi Isaac,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84" s="27" t="inlineStr">
        <is>
          <t>2026-10-18</t>
        </is>
      </c>
      <c r="Y384" s="27" t="inlineStr">
        <is>
          <t>C</t>
        </is>
      </c>
      <c r="Z384" s="27" t="n">
        <v>73.2</v>
      </c>
      <c r="AA384" s="27" t="inlineStr">
        <is>
          <t>Qualified</t>
        </is>
      </c>
      <c r="AB384" s="27" t="inlineStr"/>
      <c r="AC384" s="28">
        <f>IF(A384="","",IF(COUNTIF($H$5:$H$1004,H384)&gt;1,"DUPLICATE","UNIQUE"))</f>
        <v/>
      </c>
      <c r="AD384" s="28">
        <f>IF(A384="","",IF(AA384="Rejected",IF(AB384&lt;&gt;"","REJECTED","ADD REASON"),IF(AND(B384&lt;&gt;"",C384&lt;&gt;"",D384&lt;&gt;"",E384&lt;&gt;"",F384&lt;&gt;"",G384&lt;&gt;"",H384&lt;&gt;"",J384&lt;&gt;"",K384&lt;&gt;"",N384&lt;&gt;"",O384&lt;&gt;"",P384&lt;&gt;"",Q384&lt;&gt;"",R384&lt;&gt;"",S384&lt;&gt;"",T384&lt;&gt;"",V384&lt;&gt;"",W384&lt;&gt;"",X384&lt;&gt;"",Y384&lt;&gt;""),"COMPLETE","MISSING FIELDS")))</f>
        <v/>
      </c>
    </row>
    <row r="385" ht="15" customHeight="1" s="15">
      <c r="A385" s="27" t="inlineStr">
        <is>
          <t>LEAD-0381</t>
        </is>
      </c>
      <c r="B385" s="27" t="inlineStr">
        <is>
          <t>Isaac Lancaster</t>
        </is>
      </c>
      <c r="C385" s="27" t="inlineStr">
        <is>
          <t>Podcaster</t>
        </is>
      </c>
      <c r="D385" s="27" t="inlineStr">
        <is>
          <t>US</t>
        </is>
      </c>
      <c r="E385" s="27" t="inlineStr">
        <is>
          <t>English</t>
        </is>
      </c>
      <c r="F385" s="27" t="inlineStr">
        <is>
          <t>Apple Podcasts</t>
        </is>
      </c>
      <c r="G385" s="27" t="inlineStr">
        <is>
          <t>https://podcasts.apple.com/us/podcast/isaaclancaster/id1000381</t>
        </is>
      </c>
      <c r="H385" s="27" t="inlineStr">
        <is>
          <t>AP-US-1000381</t>
        </is>
      </c>
      <c r="I385" s="27" t="inlineStr">
        <is>
          <t>84,000</t>
        </is>
      </c>
      <c r="J385" s="27" t="inlineStr">
        <is>
          <t>2026-10-15</t>
        </is>
      </c>
      <c r="K385" s="27" t="inlineStr">
        <is>
          <t>https://isaaclancaster.com/episodes/182</t>
        </is>
      </c>
      <c r="L385" s="27" t="n">
        <v>9</v>
      </c>
      <c r="M385" s="27" t="n">
        <v>19</v>
      </c>
      <c r="N385" s="27" t="inlineStr">
        <is>
          <t>Product</t>
        </is>
      </c>
      <c r="O385" s="27" t="inlineStr">
        <is>
          <t>https://isaaclancaster.com/shop</t>
        </is>
      </c>
      <c r="P385" s="27" t="inlineStr">
        <is>
          <t>Missing Video Captions &amp; Retention Clips</t>
        </is>
      </c>
      <c r="Q385" s="27" t="inlineStr">
        <is>
          <t>https://isaaclancaster.com/highlights</t>
        </is>
      </c>
      <c r="R385" s="27" t="inlineStr">
        <is>
          <t>LinkedIn</t>
        </is>
      </c>
      <c r="S385" s="27" t="inlineStr">
        <is>
          <t>https://linkedin.com/in/isaaclancaster</t>
        </is>
      </c>
      <c r="T385" s="27" t="inlineStr">
        <is>
          <t>https://isaaclancaster.com/about</t>
        </is>
      </c>
      <c r="U385" s="27" t="inlineStr">
        <is>
          <t>Email</t>
        </is>
      </c>
      <c r="V385" s="27" t="inlineStr">
        <is>
          <t>saas &amp; product growth frameworks, specifically regarding episode 32 on SaaS &amp; Product Growth workflow optimization</t>
        </is>
      </c>
      <c r="W385" s="27" t="inlineStr">
        <is>
          <t>Hi Isaac,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85" s="27" t="inlineStr">
        <is>
          <t>2026-10-18</t>
        </is>
      </c>
      <c r="Y385" s="27" t="inlineStr">
        <is>
          <t>C</t>
        </is>
      </c>
      <c r="Z385" s="27" t="n">
        <v>73.09999999999999</v>
      </c>
      <c r="AA385" s="27" t="inlineStr">
        <is>
          <t>Qualified</t>
        </is>
      </c>
      <c r="AB385" s="27" t="inlineStr"/>
      <c r="AC385" s="28">
        <f>IF(A385="","",IF(COUNTIF($H$5:$H$1004,H385)&gt;1,"DUPLICATE","UNIQUE"))</f>
        <v/>
      </c>
      <c r="AD385" s="28">
        <f>IF(A385="","",IF(AA385="Rejected",IF(AB385&lt;&gt;"","REJECTED","ADD REASON"),IF(AND(B385&lt;&gt;"",C385&lt;&gt;"",D385&lt;&gt;"",E385&lt;&gt;"",F385&lt;&gt;"",G385&lt;&gt;"",H385&lt;&gt;"",J385&lt;&gt;"",K385&lt;&gt;"",N385&lt;&gt;"",O385&lt;&gt;"",P385&lt;&gt;"",Q385&lt;&gt;"",R385&lt;&gt;"",S385&lt;&gt;"",T385&lt;&gt;"",V385&lt;&gt;"",W385&lt;&gt;"",X385&lt;&gt;"",Y385&lt;&gt;""),"COMPLETE","MISSING FIELDS")))</f>
        <v/>
      </c>
    </row>
    <row r="386" ht="15" customHeight="1" s="15">
      <c r="A386" s="27" t="inlineStr">
        <is>
          <t>LEAD-0382</t>
        </is>
      </c>
      <c r="B386" s="27" t="inlineStr">
        <is>
          <t>Isaac Montgomery</t>
        </is>
      </c>
      <c r="C386" s="27" t="inlineStr">
        <is>
          <t>Expert-Led Creator</t>
        </is>
      </c>
      <c r="D386" s="27" t="inlineStr">
        <is>
          <t>US</t>
        </is>
      </c>
      <c r="E386" s="27" t="inlineStr">
        <is>
          <t>English</t>
        </is>
      </c>
      <c r="F386" s="27" t="inlineStr">
        <is>
          <t>YouTube</t>
        </is>
      </c>
      <c r="G386" s="27" t="inlineStr">
        <is>
          <t>https://www.youtube.com/@isaacmontgomery</t>
        </is>
      </c>
      <c r="H386" s="27" t="inlineStr">
        <is>
          <t>UCUS00382479406</t>
        </is>
      </c>
      <c r="I386" s="27" t="inlineStr">
        <is>
          <t>660,000</t>
        </is>
      </c>
      <c r="J386" s="27" t="inlineStr">
        <is>
          <t>2026-10-16</t>
        </is>
      </c>
      <c r="K386" s="27" t="inlineStr">
        <is>
          <t>https://www.youtube.com/watch?v=us00382</t>
        </is>
      </c>
      <c r="L386" s="27" t="n">
        <v>10</v>
      </c>
      <c r="M386" s="27" t="n">
        <v>20</v>
      </c>
      <c r="N386" s="27" t="inlineStr">
        <is>
          <t>Consulting</t>
        </is>
      </c>
      <c r="O386" s="27" t="inlineStr">
        <is>
          <t>https://isaacmontgomery.com/advisory</t>
        </is>
      </c>
      <c r="P386" s="27" t="inlineStr">
        <is>
          <t>Editing Backlog &amp; Team Workflow Overhead</t>
        </is>
      </c>
      <c r="Q386" s="27" t="inlineStr">
        <is>
          <t>https://isaacmontgomery.com/highlights</t>
        </is>
      </c>
      <c r="R386" s="27" t="inlineStr">
        <is>
          <t>X (Twitter)</t>
        </is>
      </c>
      <c r="S386" s="27" t="inlineStr">
        <is>
          <t>https://x.com/isaacmontgomery</t>
        </is>
      </c>
      <c r="T386" s="27" t="inlineStr">
        <is>
          <t>https://isaacmontgomery.com/links</t>
        </is>
      </c>
      <c r="U386" s="27" t="inlineStr">
        <is>
          <t>LinkedIn</t>
        </is>
      </c>
      <c r="V386" s="27" t="inlineStr">
        <is>
          <t>creator business &amp; monetization frameworks, specifically regarding episode 33 on Creator Business &amp; Monetization workflow optimization</t>
        </is>
      </c>
      <c r="W386" s="27" t="inlineStr">
        <is>
          <t>Hi Isaac,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86" s="27" t="inlineStr">
        <is>
          <t>2026-10-18</t>
        </is>
      </c>
      <c r="Y386" s="27" t="inlineStr">
        <is>
          <t>C</t>
        </is>
      </c>
      <c r="Z386" s="27" t="n">
        <v>73.09999999999999</v>
      </c>
      <c r="AA386" s="27" t="inlineStr">
        <is>
          <t>Qualified</t>
        </is>
      </c>
      <c r="AB386" s="27" t="inlineStr"/>
      <c r="AC386" s="28">
        <f>IF(A386="","",IF(COUNTIF($H$5:$H$1004,H386)&gt;1,"DUPLICATE","UNIQUE"))</f>
        <v/>
      </c>
      <c r="AD386" s="28">
        <f>IF(A386="","",IF(AA386="Rejected",IF(AB386&lt;&gt;"","REJECTED","ADD REASON"),IF(AND(B386&lt;&gt;"",C386&lt;&gt;"",D386&lt;&gt;"",E386&lt;&gt;"",F386&lt;&gt;"",G386&lt;&gt;"",H386&lt;&gt;"",J386&lt;&gt;"",K386&lt;&gt;"",N386&lt;&gt;"",O386&lt;&gt;"",P386&lt;&gt;"",Q386&lt;&gt;"",R386&lt;&gt;"",S386&lt;&gt;"",T386&lt;&gt;"",V386&lt;&gt;"",W386&lt;&gt;"",X386&lt;&gt;"",Y386&lt;&gt;""),"COMPLETE","MISSING FIELDS")))</f>
        <v/>
      </c>
    </row>
    <row r="387" ht="15" customHeight="1" s="15">
      <c r="A387" s="27" t="inlineStr">
        <is>
          <t>LEAD-0383</t>
        </is>
      </c>
      <c r="B387" s="27" t="inlineStr">
        <is>
          <t>Isaac Barrington</t>
        </is>
      </c>
      <c r="C387" s="27" t="inlineStr">
        <is>
          <t>YouTuber</t>
        </is>
      </c>
      <c r="D387" s="27" t="inlineStr">
        <is>
          <t>US</t>
        </is>
      </c>
      <c r="E387" s="27" t="inlineStr">
        <is>
          <t>English</t>
        </is>
      </c>
      <c r="F387" s="27" t="inlineStr">
        <is>
          <t>YouTube</t>
        </is>
      </c>
      <c r="G387" s="27" t="inlineStr">
        <is>
          <t>https://www.youtube.com/@isaacbarrington</t>
        </is>
      </c>
      <c r="H387" s="27" t="inlineStr">
        <is>
          <t>UCUS00383915384</t>
        </is>
      </c>
      <c r="I387" s="27" t="inlineStr">
        <is>
          <t>680,000</t>
        </is>
      </c>
      <c r="J387" s="27" t="inlineStr">
        <is>
          <t>2026-10-17</t>
        </is>
      </c>
      <c r="K387" s="27" t="inlineStr">
        <is>
          <t>https://www.youtube.com/watch?v=us00383</t>
        </is>
      </c>
      <c r="L387" s="27" t="n">
        <v>11</v>
      </c>
      <c r="M387" s="27" t="n">
        <v>21</v>
      </c>
      <c r="N387" s="27" t="inlineStr">
        <is>
          <t>Newsletter Subscription</t>
        </is>
      </c>
      <c r="O387" s="27" t="inlineStr">
        <is>
          <t>https://isaacbarrington.com/subscribe</t>
        </is>
      </c>
      <c r="P387" s="27" t="inlineStr">
        <is>
          <t>Shorts Repurposing Bottleneck</t>
        </is>
      </c>
      <c r="Q387" s="27" t="inlineStr">
        <is>
          <t>https://isaacbarrington.com/highlights</t>
        </is>
      </c>
      <c r="R387" s="27" t="inlineStr">
        <is>
          <t>Email</t>
        </is>
      </c>
      <c r="S387" s="27" t="inlineStr">
        <is>
          <t>hello@isaacbarrington.com</t>
        </is>
      </c>
      <c r="T387" s="27" t="inlineStr">
        <is>
          <t>https://isaacbarrington.com/work-with-me</t>
        </is>
      </c>
      <c r="U387" s="27" t="inlineStr">
        <is>
          <t>LinkedIn</t>
        </is>
      </c>
      <c r="V387" s="27" t="inlineStr">
        <is>
          <t>productivity &amp; personal systems frameworks, specifically regarding episode 34 on Productivity &amp; Personal Systems workflow optimization</t>
        </is>
      </c>
      <c r="W387" s="27" t="inlineStr">
        <is>
          <t>Hi Isaac,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87" s="27" t="inlineStr">
        <is>
          <t>2026-10-18</t>
        </is>
      </c>
      <c r="Y387" s="27" t="inlineStr">
        <is>
          <t>C</t>
        </is>
      </c>
      <c r="Z387" s="27" t="n">
        <v>73</v>
      </c>
      <c r="AA387" s="27" t="inlineStr">
        <is>
          <t>Qualified</t>
        </is>
      </c>
      <c r="AB387" s="27" t="inlineStr"/>
      <c r="AC387" s="28">
        <f>IF(A387="","",IF(COUNTIF($H$5:$H$1004,H387)&gt;1,"DUPLICATE","UNIQUE"))</f>
        <v/>
      </c>
      <c r="AD387" s="28">
        <f>IF(A387="","",IF(AA387="Rejected",IF(AB387&lt;&gt;"","REJECTED","ADD REASON"),IF(AND(B387&lt;&gt;"",C387&lt;&gt;"",D387&lt;&gt;"",E387&lt;&gt;"",F387&lt;&gt;"",G387&lt;&gt;"",H387&lt;&gt;"",J387&lt;&gt;"",K387&lt;&gt;"",N387&lt;&gt;"",O387&lt;&gt;"",P387&lt;&gt;"",Q387&lt;&gt;"",R387&lt;&gt;"",S387&lt;&gt;"",T387&lt;&gt;"",V387&lt;&gt;"",W387&lt;&gt;"",X387&lt;&gt;"",Y387&lt;&gt;""),"COMPLETE","MISSING FIELDS")))</f>
        <v/>
      </c>
    </row>
    <row r="388" ht="15" customHeight="1" s="15">
      <c r="A388" s="27" t="inlineStr">
        <is>
          <t>LEAD-0384</t>
        </is>
      </c>
      <c r="B388" s="27" t="inlineStr">
        <is>
          <t>Isaac Thornton</t>
        </is>
      </c>
      <c r="C388" s="27" t="inlineStr">
        <is>
          <t>Podcaster</t>
        </is>
      </c>
      <c r="D388" s="27" t="inlineStr">
        <is>
          <t>US</t>
        </is>
      </c>
      <c r="E388" s="27" t="inlineStr">
        <is>
          <t>English</t>
        </is>
      </c>
      <c r="F388" s="27" t="inlineStr">
        <is>
          <t>Apple Podcasts</t>
        </is>
      </c>
      <c r="G388" s="27" t="inlineStr">
        <is>
          <t>https://podcasts.apple.com/us/podcast/isaacthornton/id1000384</t>
        </is>
      </c>
      <c r="H388" s="27" t="inlineStr">
        <is>
          <t>AP-US-1000384</t>
        </is>
      </c>
      <c r="I388" s="27" t="inlineStr">
        <is>
          <t>120,000</t>
        </is>
      </c>
      <c r="J388" s="27" t="inlineStr">
        <is>
          <t>2026-10-10</t>
        </is>
      </c>
      <c r="K388" s="27" t="inlineStr">
        <is>
          <t>https://isaacthornton.com/episodes/185</t>
        </is>
      </c>
      <c r="L388" s="27" t="n">
        <v>12</v>
      </c>
      <c r="M388" s="27" t="n">
        <v>22</v>
      </c>
      <c r="N388" s="27" t="inlineStr">
        <is>
          <t>Affiliate</t>
        </is>
      </c>
      <c r="O388" s="27" t="inlineStr">
        <is>
          <t>https://isaacthornton.com/resources</t>
        </is>
      </c>
      <c r="P388" s="27" t="inlineStr">
        <is>
          <t>Inconsistent Cross-Platform Publishing</t>
        </is>
      </c>
      <c r="Q388" s="27" t="inlineStr">
        <is>
          <t>https://isaacthornton.com/highlights</t>
        </is>
      </c>
      <c r="R388" s="27" t="inlineStr">
        <is>
          <t>Email</t>
        </is>
      </c>
      <c r="S388" s="27" t="inlineStr">
        <is>
          <t>contact@isaacthornton.com</t>
        </is>
      </c>
      <c r="T388" s="27" t="inlineStr">
        <is>
          <t>https://isaacthornton.com/contact</t>
        </is>
      </c>
      <c r="U388" s="27" t="inlineStr">
        <is>
          <t>LinkedIn</t>
        </is>
      </c>
      <c r="V388" s="27" t="inlineStr">
        <is>
          <t>leadership &amp; team ops frameworks, specifically regarding episode 35 on Leadership &amp; Team Ops workflow optimization</t>
        </is>
      </c>
      <c r="W388" s="27" t="inlineStr">
        <is>
          <t>Hi Isaac,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88" s="27" t="inlineStr">
        <is>
          <t>2026-10-18</t>
        </is>
      </c>
      <c r="Y388" s="27" t="inlineStr">
        <is>
          <t>C</t>
        </is>
      </c>
      <c r="Z388" s="27" t="n">
        <v>73</v>
      </c>
      <c r="AA388" s="27" t="inlineStr">
        <is>
          <t>Qualified</t>
        </is>
      </c>
      <c r="AB388" s="27" t="inlineStr"/>
      <c r="AC388" s="28">
        <f>IF(A388="","",IF(COUNTIF($H$5:$H$1004,H388)&gt;1,"DUPLICATE","UNIQUE"))</f>
        <v/>
      </c>
      <c r="AD388" s="28">
        <f>IF(A388="","",IF(AA388="Rejected",IF(AB388&lt;&gt;"","REJECTED","ADD REASON"),IF(AND(B388&lt;&gt;"",C388&lt;&gt;"",D388&lt;&gt;"",E388&lt;&gt;"",F388&lt;&gt;"",G388&lt;&gt;"",H388&lt;&gt;"",J388&lt;&gt;"",K388&lt;&gt;"",N388&lt;&gt;"",O388&lt;&gt;"",P388&lt;&gt;"",Q388&lt;&gt;"",R388&lt;&gt;"",S388&lt;&gt;"",T388&lt;&gt;"",V388&lt;&gt;"",W388&lt;&gt;"",X388&lt;&gt;"",Y388&lt;&gt;""),"COMPLETE","MISSING FIELDS")))</f>
        <v/>
      </c>
    </row>
    <row r="389" ht="15" customHeight="1" s="15">
      <c r="A389" s="27" t="inlineStr">
        <is>
          <t>LEAD-0385</t>
        </is>
      </c>
      <c r="B389" s="27" t="inlineStr">
        <is>
          <t>Isaac Wellington</t>
        </is>
      </c>
      <c r="C389" s="27" t="inlineStr">
        <is>
          <t>Expert-Led Creator</t>
        </is>
      </c>
      <c r="D389" s="27" t="inlineStr">
        <is>
          <t>US</t>
        </is>
      </c>
      <c r="E389" s="27" t="inlineStr">
        <is>
          <t>English</t>
        </is>
      </c>
      <c r="F389" s="27" t="inlineStr">
        <is>
          <t>LinkedIn</t>
        </is>
      </c>
      <c r="G389" s="27" t="inlineStr">
        <is>
          <t>https://www.linkedin.com/in/isaacwellington</t>
        </is>
      </c>
      <c r="H389" s="27" t="inlineStr">
        <is>
          <t>LI-isaacwellington-0385</t>
        </is>
      </c>
      <c r="I389" s="27" t="inlineStr">
        <is>
          <t>156,000</t>
        </is>
      </c>
      <c r="J389" s="27" t="inlineStr">
        <is>
          <t>2026-10-11</t>
        </is>
      </c>
      <c r="K389" s="27" t="inlineStr">
        <is>
          <t>https://isaacwellington.com/posts/86</t>
        </is>
      </c>
      <c r="L389" s="27" t="n">
        <v>13</v>
      </c>
      <c r="M389" s="27" t="n">
        <v>23</v>
      </c>
      <c r="N389" s="27" t="inlineStr">
        <is>
          <t>Course</t>
        </is>
      </c>
      <c r="O389" s="27" t="inlineStr">
        <is>
          <t>https://isaacwellington.com/academy</t>
        </is>
      </c>
      <c r="P389" s="27" t="inlineStr">
        <is>
          <t>Editing Backlog &amp; Team Workflow Overhead</t>
        </is>
      </c>
      <c r="Q389" s="27" t="inlineStr">
        <is>
          <t>https://isaacwellington.com/highlights</t>
        </is>
      </c>
      <c r="R389" s="27" t="inlineStr">
        <is>
          <t>LinkedIn</t>
        </is>
      </c>
      <c r="S389" s="27" t="inlineStr">
        <is>
          <t>https://linkedin.com/in/isaacwellington</t>
        </is>
      </c>
      <c r="T389" s="27" t="inlineStr">
        <is>
          <t>https://isaacwellington.com/about</t>
        </is>
      </c>
      <c r="U389" s="27" t="inlineStr">
        <is>
          <t>Email</t>
        </is>
      </c>
      <c r="V389" s="27" t="inlineStr">
        <is>
          <t>b2b marketing &amp; sales frameworks, specifically regarding episode 36 on B2B Marketing &amp; Sales workflow optimization</t>
        </is>
      </c>
      <c r="W389" s="27" t="inlineStr">
        <is>
          <t>Hi Isaac,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89" s="27" t="inlineStr">
        <is>
          <t>2026-10-18</t>
        </is>
      </c>
      <c r="Y389" s="27" t="inlineStr">
        <is>
          <t>C</t>
        </is>
      </c>
      <c r="Z389" s="27" t="n">
        <v>72.90000000000001</v>
      </c>
      <c r="AA389" s="27" t="inlineStr">
        <is>
          <t>Qualified</t>
        </is>
      </c>
      <c r="AB389" s="27" t="inlineStr"/>
      <c r="AC389" s="28">
        <f>IF(A389="","",IF(COUNTIF($H$5:$H$1004,H389)&gt;1,"DUPLICATE","UNIQUE"))</f>
        <v/>
      </c>
      <c r="AD389" s="28">
        <f>IF(A389="","",IF(AA389="Rejected",IF(AB389&lt;&gt;"","REJECTED","ADD REASON"),IF(AND(B389&lt;&gt;"",C389&lt;&gt;"",D389&lt;&gt;"",E389&lt;&gt;"",F389&lt;&gt;"",G389&lt;&gt;"",H389&lt;&gt;"",J389&lt;&gt;"",K389&lt;&gt;"",N389&lt;&gt;"",O389&lt;&gt;"",P389&lt;&gt;"",Q389&lt;&gt;"",R389&lt;&gt;"",S389&lt;&gt;"",T389&lt;&gt;"",V389&lt;&gt;"",W389&lt;&gt;"",X389&lt;&gt;"",Y389&lt;&gt;""),"COMPLETE","MISSING FIELDS")))</f>
        <v/>
      </c>
    </row>
    <row r="390" ht="15" customHeight="1" s="15">
      <c r="A390" s="27" t="inlineStr">
        <is>
          <t>LEAD-0386</t>
        </is>
      </c>
      <c r="B390" s="27" t="inlineStr">
        <is>
          <t>Julian Ashford</t>
        </is>
      </c>
      <c r="C390" s="27" t="inlineStr">
        <is>
          <t>YouTuber</t>
        </is>
      </c>
      <c r="D390" s="27" t="inlineStr">
        <is>
          <t>US</t>
        </is>
      </c>
      <c r="E390" s="27" t="inlineStr">
        <is>
          <t>English</t>
        </is>
      </c>
      <c r="F390" s="27" t="inlineStr">
        <is>
          <t>YouTube</t>
        </is>
      </c>
      <c r="G390" s="27" t="inlineStr">
        <is>
          <t>https://www.youtube.com/@julianashford</t>
        </is>
      </c>
      <c r="H390" s="27" t="inlineStr">
        <is>
          <t>UCUS00386016070</t>
        </is>
      </c>
      <c r="I390" s="27" t="inlineStr">
        <is>
          <t>40,000</t>
        </is>
      </c>
      <c r="J390" s="27" t="inlineStr">
        <is>
          <t>2026-10-12</t>
        </is>
      </c>
      <c r="K390" s="27" t="inlineStr">
        <is>
          <t>https://www.youtube.com/watch?v=us00386</t>
        </is>
      </c>
      <c r="L390" s="27" t="n">
        <v>14</v>
      </c>
      <c r="M390" s="27" t="n">
        <v>24</v>
      </c>
      <c r="N390" s="27" t="inlineStr">
        <is>
          <t>Sponsor</t>
        </is>
      </c>
      <c r="O390" s="27" t="inlineStr">
        <is>
          <t>https://julianashford.com/partners</t>
        </is>
      </c>
      <c r="P390" s="27" t="inlineStr">
        <is>
          <t>Multilingual Audio Dubbing</t>
        </is>
      </c>
      <c r="Q390" s="27" t="inlineStr">
        <is>
          <t>https://julianashford.com/highlights</t>
        </is>
      </c>
      <c r="R390" s="27" t="inlineStr">
        <is>
          <t>X (Twitter)</t>
        </is>
      </c>
      <c r="S390" s="27" t="inlineStr">
        <is>
          <t>https://x.com/julianashford</t>
        </is>
      </c>
      <c r="T390" s="27" t="inlineStr">
        <is>
          <t>https://julianashford.com/links</t>
        </is>
      </c>
      <c r="U390" s="27" t="inlineStr">
        <is>
          <t>LinkedIn</t>
        </is>
      </c>
      <c r="V390" s="27" t="inlineStr">
        <is>
          <t>finance &amp; wealth engineering frameworks, specifically regarding episode 37 on Finance &amp; Wealth Engineering workflow optimization</t>
        </is>
      </c>
      <c r="W390" s="27" t="inlineStr">
        <is>
          <t>Hi Julian,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90" s="27" t="inlineStr">
        <is>
          <t>2026-10-18</t>
        </is>
      </c>
      <c r="Y390" s="27" t="inlineStr">
        <is>
          <t>C</t>
        </is>
      </c>
      <c r="Z390" s="27" t="n">
        <v>72.8</v>
      </c>
      <c r="AA390" s="27" t="inlineStr">
        <is>
          <t>Qualified</t>
        </is>
      </c>
      <c r="AB390" s="27" t="inlineStr"/>
      <c r="AC390" s="28">
        <f>IF(A390="","",IF(COUNTIF($H$5:$H$1004,H390)&gt;1,"DUPLICATE","UNIQUE"))</f>
        <v/>
      </c>
      <c r="AD390" s="28">
        <f>IF(A390="","",IF(AA390="Rejected",IF(AB390&lt;&gt;"","REJECTED","ADD REASON"),IF(AND(B390&lt;&gt;"",C390&lt;&gt;"",D390&lt;&gt;"",E390&lt;&gt;"",F390&lt;&gt;"",G390&lt;&gt;"",H390&lt;&gt;"",J390&lt;&gt;"",K390&lt;&gt;"",N390&lt;&gt;"",O390&lt;&gt;"",P390&lt;&gt;"",Q390&lt;&gt;"",R390&lt;&gt;"",S390&lt;&gt;"",T390&lt;&gt;"",V390&lt;&gt;"",W390&lt;&gt;"",X390&lt;&gt;"",Y390&lt;&gt;""),"COMPLETE","MISSING FIELDS")))</f>
        <v/>
      </c>
    </row>
    <row r="391" ht="15" customHeight="1" s="15">
      <c r="A391" s="27" t="inlineStr">
        <is>
          <t>LEAD-0387</t>
        </is>
      </c>
      <c r="B391" s="27" t="inlineStr">
        <is>
          <t>Julian Bancroft</t>
        </is>
      </c>
      <c r="C391" s="27" t="inlineStr">
        <is>
          <t>Podcaster</t>
        </is>
      </c>
      <c r="D391" s="27" t="inlineStr">
        <is>
          <t>US</t>
        </is>
      </c>
      <c r="E391" s="27" t="inlineStr">
        <is>
          <t>English</t>
        </is>
      </c>
      <c r="F391" s="27" t="inlineStr">
        <is>
          <t>Apple Podcasts</t>
        </is>
      </c>
      <c r="G391" s="27" t="inlineStr">
        <is>
          <t>https://podcasts.apple.com/us/podcast/julianbancroft/id1000387</t>
        </is>
      </c>
      <c r="H391" s="27" t="inlineStr">
        <is>
          <t>AP-US-1000387</t>
        </is>
      </c>
      <c r="I391" s="27" t="inlineStr">
        <is>
          <t>156,000</t>
        </is>
      </c>
      <c r="J391" s="27" t="inlineStr">
        <is>
          <t>2026-10-13</t>
        </is>
      </c>
      <c r="K391" s="27" t="inlineStr">
        <is>
          <t>https://julianbancroft.com/episodes/188</t>
        </is>
      </c>
      <c r="L391" s="27" t="n">
        <v>15</v>
      </c>
      <c r="M391" s="27" t="n">
        <v>25</v>
      </c>
      <c r="N391" s="27" t="inlineStr">
        <is>
          <t>Membership</t>
        </is>
      </c>
      <c r="O391" s="27" t="inlineStr">
        <is>
          <t>https://julianbancroft.com/community</t>
        </is>
      </c>
      <c r="P391" s="27" t="inlineStr">
        <is>
          <t>Multilingual Audio Dubbing</t>
        </is>
      </c>
      <c r="Q391" s="27" t="inlineStr">
        <is>
          <t>https://julianbancroft.com/highlights</t>
        </is>
      </c>
      <c r="R391" s="27" t="inlineStr">
        <is>
          <t>Email</t>
        </is>
      </c>
      <c r="S391" s="27" t="inlineStr">
        <is>
          <t>hello@julianbancroft.com</t>
        </is>
      </c>
      <c r="T391" s="27" t="inlineStr">
        <is>
          <t>https://julianbancroft.com/work-with-me</t>
        </is>
      </c>
      <c r="U391" s="27" t="inlineStr">
        <is>
          <t>LinkedIn</t>
        </is>
      </c>
      <c r="V391" s="27" t="inlineStr">
        <is>
          <t>health &amp; longevity science frameworks, specifically regarding episode 38 on Health &amp; Longevity Science workflow optimization</t>
        </is>
      </c>
      <c r="W391" s="27" t="inlineStr">
        <is>
          <t>Hi Julian,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91" s="27" t="inlineStr">
        <is>
          <t>2026-10-18</t>
        </is>
      </c>
      <c r="Y391" s="27" t="inlineStr">
        <is>
          <t>C</t>
        </is>
      </c>
      <c r="Z391" s="27" t="n">
        <v>72.8</v>
      </c>
      <c r="AA391" s="27" t="inlineStr">
        <is>
          <t>Qualified</t>
        </is>
      </c>
      <c r="AB391" s="27" t="inlineStr"/>
      <c r="AC391" s="28">
        <f>IF(A391="","",IF(COUNTIF($H$5:$H$1004,H391)&gt;1,"DUPLICATE","UNIQUE"))</f>
        <v/>
      </c>
      <c r="AD391" s="28">
        <f>IF(A391="","",IF(AA391="Rejected",IF(AB391&lt;&gt;"","REJECTED","ADD REASON"),IF(AND(B391&lt;&gt;"",C391&lt;&gt;"",D391&lt;&gt;"",E391&lt;&gt;"",F391&lt;&gt;"",G391&lt;&gt;"",H391&lt;&gt;"",J391&lt;&gt;"",K391&lt;&gt;"",N391&lt;&gt;"",O391&lt;&gt;"",P391&lt;&gt;"",Q391&lt;&gt;"",R391&lt;&gt;"",S391&lt;&gt;"",T391&lt;&gt;"",V391&lt;&gt;"",W391&lt;&gt;"",X391&lt;&gt;"",Y391&lt;&gt;""),"COMPLETE","MISSING FIELDS")))</f>
        <v/>
      </c>
    </row>
    <row r="392" ht="15" customHeight="1" s="15">
      <c r="A392" s="27" t="inlineStr">
        <is>
          <t>LEAD-0388</t>
        </is>
      </c>
      <c r="B392" s="27" t="inlineStr">
        <is>
          <t>Julian Calloway</t>
        </is>
      </c>
      <c r="C392" s="27" t="inlineStr">
        <is>
          <t>YouTuber</t>
        </is>
      </c>
      <c r="D392" s="27" t="inlineStr">
        <is>
          <t>US</t>
        </is>
      </c>
      <c r="E392" s="27" t="inlineStr">
        <is>
          <t>English</t>
        </is>
      </c>
      <c r="F392" s="27" t="inlineStr">
        <is>
          <t>YouTube</t>
        </is>
      </c>
      <c r="G392" s="27" t="inlineStr">
        <is>
          <t>https://www.youtube.com/@juliancalloway</t>
        </is>
      </c>
      <c r="H392" s="27" t="inlineStr">
        <is>
          <t>UCUS00388272864</t>
        </is>
      </c>
      <c r="I392" s="27" t="inlineStr">
        <is>
          <t>80,000</t>
        </is>
      </c>
      <c r="J392" s="27" t="inlineStr">
        <is>
          <t>2026-10-14</t>
        </is>
      </c>
      <c r="K392" s="27" t="inlineStr">
        <is>
          <t>https://www.youtube.com/watch?v=us00388</t>
        </is>
      </c>
      <c r="L392" s="27" t="n">
        <v>16</v>
      </c>
      <c r="M392" s="27" t="n">
        <v>26</v>
      </c>
      <c r="N392" s="27" t="inlineStr">
        <is>
          <t>Product</t>
        </is>
      </c>
      <c r="O392" s="27" t="inlineStr">
        <is>
          <t>https://juliancalloway.com/shop</t>
        </is>
      </c>
      <c r="P392" s="27" t="inlineStr">
        <is>
          <t>Missing Video Captions &amp; Retention Clips</t>
        </is>
      </c>
      <c r="Q392" s="27" t="inlineStr">
        <is>
          <t>https://juliancalloway.com/highlights</t>
        </is>
      </c>
      <c r="R392" s="27" t="inlineStr">
        <is>
          <t>Email</t>
        </is>
      </c>
      <c r="S392" s="27" t="inlineStr">
        <is>
          <t>contact@juliancalloway.com</t>
        </is>
      </c>
      <c r="T392" s="27" t="inlineStr">
        <is>
          <t>https://juliancalloway.com/contact</t>
        </is>
      </c>
      <c r="U392" s="27" t="inlineStr">
        <is>
          <t>LinkedIn</t>
        </is>
      </c>
      <c r="V392" s="27" t="inlineStr">
        <is>
          <t>education &amp; applied coding frameworks, specifically regarding episode 39 on Education &amp; Applied Coding workflow optimization</t>
        </is>
      </c>
      <c r="W392" s="27" t="inlineStr">
        <is>
          <t>Hi Julian,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92" s="27" t="inlineStr">
        <is>
          <t>2026-10-18</t>
        </is>
      </c>
      <c r="Y392" s="27" t="inlineStr">
        <is>
          <t>C</t>
        </is>
      </c>
      <c r="Z392" s="27" t="n">
        <v>72.7</v>
      </c>
      <c r="AA392" s="27" t="inlineStr">
        <is>
          <t>Qualified</t>
        </is>
      </c>
      <c r="AB392" s="27" t="inlineStr"/>
      <c r="AC392" s="28">
        <f>IF(A392="","",IF(COUNTIF($H$5:$H$1004,H392)&gt;1,"DUPLICATE","UNIQUE"))</f>
        <v/>
      </c>
      <c r="AD392" s="28">
        <f>IF(A392="","",IF(AA392="Rejected",IF(AB392&lt;&gt;"","REJECTED","ADD REASON"),IF(AND(B392&lt;&gt;"",C392&lt;&gt;"",D392&lt;&gt;"",E392&lt;&gt;"",F392&lt;&gt;"",G392&lt;&gt;"",H392&lt;&gt;"",J392&lt;&gt;"",K392&lt;&gt;"",N392&lt;&gt;"",O392&lt;&gt;"",P392&lt;&gt;"",Q392&lt;&gt;"",R392&lt;&gt;"",S392&lt;&gt;"",T392&lt;&gt;"",V392&lt;&gt;"",W392&lt;&gt;"",X392&lt;&gt;"",Y392&lt;&gt;""),"COMPLETE","MISSING FIELDS")))</f>
        <v/>
      </c>
    </row>
    <row r="393" ht="15" customHeight="1" s="15">
      <c r="A393" s="27" t="inlineStr">
        <is>
          <t>LEAD-0389</t>
        </is>
      </c>
      <c r="B393" s="27" t="inlineStr">
        <is>
          <t>Julian Delaney</t>
        </is>
      </c>
      <c r="C393" s="27" t="inlineStr">
        <is>
          <t>Podcaster</t>
        </is>
      </c>
      <c r="D393" s="27" t="inlineStr">
        <is>
          <t>US</t>
        </is>
      </c>
      <c r="E393" s="27" t="inlineStr">
        <is>
          <t>English</t>
        </is>
      </c>
      <c r="F393" s="27" t="inlineStr">
        <is>
          <t>Apple Podcasts</t>
        </is>
      </c>
      <c r="G393" s="27" t="inlineStr">
        <is>
          <t>https://podcasts.apple.com/us/podcast/juliandelaney/id1000389</t>
        </is>
      </c>
      <c r="H393" s="27" t="inlineStr">
        <is>
          <t>AP-US-1000389</t>
        </is>
      </c>
      <c r="I393" s="27" t="inlineStr">
        <is>
          <t>180,000</t>
        </is>
      </c>
      <c r="J393" s="27" t="inlineStr">
        <is>
          <t>2026-10-15</t>
        </is>
      </c>
      <c r="K393" s="27" t="inlineStr">
        <is>
          <t>https://juliandelaney.com/episodes/190</t>
        </is>
      </c>
      <c r="L393" s="27" t="n">
        <v>17</v>
      </c>
      <c r="M393" s="27" t="n">
        <v>27</v>
      </c>
      <c r="N393" s="27" t="inlineStr">
        <is>
          <t>Consulting</t>
        </is>
      </c>
      <c r="O393" s="27" t="inlineStr">
        <is>
          <t>https://juliandelaney.com/advisory</t>
        </is>
      </c>
      <c r="P393" s="27" t="inlineStr">
        <is>
          <t>Shorts Repurposing Bottleneck</t>
        </is>
      </c>
      <c r="Q393" s="27" t="inlineStr">
        <is>
          <t>https://juliandelaney.com/highlights</t>
        </is>
      </c>
      <c r="R393" s="27" t="inlineStr">
        <is>
          <t>LinkedIn</t>
        </is>
      </c>
      <c r="S393" s="27" t="inlineStr">
        <is>
          <t>https://linkedin.com/in/juliandelaney</t>
        </is>
      </c>
      <c r="T393" s="27" t="inlineStr">
        <is>
          <t>https://juliandelaney.com/about</t>
        </is>
      </c>
      <c r="U393" s="27" t="inlineStr">
        <is>
          <t>Email</t>
        </is>
      </c>
      <c r="V393" s="27" t="inlineStr">
        <is>
          <t>e-commerce &amp; digital brands frameworks, specifically regarding episode 40 on E-Commerce &amp; Digital Brands workflow optimization</t>
        </is>
      </c>
      <c r="W393" s="27" t="inlineStr">
        <is>
          <t>Hi Julian,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93" s="27" t="inlineStr">
        <is>
          <t>2026-10-18</t>
        </is>
      </c>
      <c r="Y393" s="27" t="inlineStr">
        <is>
          <t>C</t>
        </is>
      </c>
      <c r="Z393" s="27" t="n">
        <v>72.7</v>
      </c>
      <c r="AA393" s="27" t="inlineStr">
        <is>
          <t>Qualified</t>
        </is>
      </c>
      <c r="AB393" s="27" t="inlineStr"/>
      <c r="AC393" s="28">
        <f>IF(A393="","",IF(COUNTIF($H$5:$H$1004,H393)&gt;1,"DUPLICATE","UNIQUE"))</f>
        <v/>
      </c>
      <c r="AD393" s="28">
        <f>IF(A393="","",IF(AA393="Rejected",IF(AB393&lt;&gt;"","REJECTED","ADD REASON"),IF(AND(B393&lt;&gt;"",C393&lt;&gt;"",D393&lt;&gt;"",E393&lt;&gt;"",F393&lt;&gt;"",G393&lt;&gt;"",H393&lt;&gt;"",J393&lt;&gt;"",K393&lt;&gt;"",N393&lt;&gt;"",O393&lt;&gt;"",P393&lt;&gt;"",Q393&lt;&gt;"",R393&lt;&gt;"",S393&lt;&gt;"",T393&lt;&gt;"",V393&lt;&gt;"",W393&lt;&gt;"",X393&lt;&gt;"",Y393&lt;&gt;""),"COMPLETE","MISSING FIELDS")))</f>
        <v/>
      </c>
    </row>
    <row r="394" ht="15" customHeight="1" s="15">
      <c r="A394" s="27" t="inlineStr">
        <is>
          <t>LEAD-0390</t>
        </is>
      </c>
      <c r="B394" s="27" t="inlineStr">
        <is>
          <t>Julian Eastwood</t>
        </is>
      </c>
      <c r="C394" s="27" t="inlineStr">
        <is>
          <t>YouTuber</t>
        </is>
      </c>
      <c r="D394" s="27" t="inlineStr">
        <is>
          <t>US</t>
        </is>
      </c>
      <c r="E394" s="27" t="inlineStr">
        <is>
          <t>English</t>
        </is>
      </c>
      <c r="F394" s="27" t="inlineStr">
        <is>
          <t>YouTube</t>
        </is>
      </c>
      <c r="G394" s="27" t="inlineStr">
        <is>
          <t>https://www.youtube.com/@julianeastwood</t>
        </is>
      </c>
      <c r="H394" s="27" t="inlineStr">
        <is>
          <t>UCUS00390120031</t>
        </is>
      </c>
      <c r="I394" s="27" t="inlineStr">
        <is>
          <t>120,000</t>
        </is>
      </c>
      <c r="J394" s="27" t="inlineStr">
        <is>
          <t>2026-10-16</t>
        </is>
      </c>
      <c r="K394" s="27" t="inlineStr">
        <is>
          <t>https://www.youtube.com/watch?v=us00390</t>
        </is>
      </c>
      <c r="L394" s="27" t="n">
        <v>8</v>
      </c>
      <c r="M394" s="27" t="n">
        <v>28</v>
      </c>
      <c r="N394" s="27" t="inlineStr">
        <is>
          <t>Newsletter Subscription</t>
        </is>
      </c>
      <c r="O394" s="27" t="inlineStr">
        <is>
          <t>https://julianeastwood.com/subscribe</t>
        </is>
      </c>
      <c r="P394" s="27" t="inlineStr">
        <is>
          <t>Shorts Repurposing Bottleneck</t>
        </is>
      </c>
      <c r="Q394" s="27" t="inlineStr">
        <is>
          <t>https://julianeastwood.com/highlights</t>
        </is>
      </c>
      <c r="R394" s="27" t="inlineStr">
        <is>
          <t>X (Twitter)</t>
        </is>
      </c>
      <c r="S394" s="27" t="inlineStr">
        <is>
          <t>https://x.com/julianeastwood</t>
        </is>
      </c>
      <c r="T394" s="27" t="inlineStr">
        <is>
          <t>https://julianeastwood.com/links</t>
        </is>
      </c>
      <c r="U394" s="27" t="inlineStr">
        <is>
          <t>LinkedIn</t>
        </is>
      </c>
      <c r="V394" s="27" t="inlineStr">
        <is>
          <t>tech &amp; ai frameworks, specifically regarding episode 41 on Tech &amp; AI workflow optimization</t>
        </is>
      </c>
      <c r="W394" s="27" t="inlineStr">
        <is>
          <t>Hi Julian,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94" s="27" t="inlineStr">
        <is>
          <t>2026-10-18</t>
        </is>
      </c>
      <c r="Y394" s="27" t="inlineStr">
        <is>
          <t>C</t>
        </is>
      </c>
      <c r="Z394" s="27" t="n">
        <v>72.59999999999999</v>
      </c>
      <c r="AA394" s="27" t="inlineStr">
        <is>
          <t>Qualified</t>
        </is>
      </c>
      <c r="AB394" s="27" t="inlineStr"/>
      <c r="AC394" s="28">
        <f>IF(A394="","",IF(COUNTIF($H$5:$H$1004,H394)&gt;1,"DUPLICATE","UNIQUE"))</f>
        <v/>
      </c>
      <c r="AD394" s="28">
        <f>IF(A394="","",IF(AA394="Rejected",IF(AB394&lt;&gt;"","REJECTED","ADD REASON"),IF(AND(B394&lt;&gt;"",C394&lt;&gt;"",D394&lt;&gt;"",E394&lt;&gt;"",F394&lt;&gt;"",G394&lt;&gt;"",H394&lt;&gt;"",J394&lt;&gt;"",K394&lt;&gt;"",N394&lt;&gt;"",O394&lt;&gt;"",P394&lt;&gt;"",Q394&lt;&gt;"",R394&lt;&gt;"",S394&lt;&gt;"",T394&lt;&gt;"",V394&lt;&gt;"",W394&lt;&gt;"",X394&lt;&gt;"",Y394&lt;&gt;""),"COMPLETE","MISSING FIELDS")))</f>
        <v/>
      </c>
    </row>
    <row r="395" ht="15" customHeight="1" s="15">
      <c r="A395" s="27" t="inlineStr">
        <is>
          <t>LEAD-0391</t>
        </is>
      </c>
      <c r="B395" s="27" t="inlineStr">
        <is>
          <t>Julian Fairchild</t>
        </is>
      </c>
      <c r="C395" s="27" t="inlineStr">
        <is>
          <t>Podcaster</t>
        </is>
      </c>
      <c r="D395" s="27" t="inlineStr">
        <is>
          <t>US</t>
        </is>
      </c>
      <c r="E395" s="27" t="inlineStr">
        <is>
          <t>English</t>
        </is>
      </c>
      <c r="F395" s="27" t="inlineStr">
        <is>
          <t>Apple Podcasts</t>
        </is>
      </c>
      <c r="G395" s="27" t="inlineStr">
        <is>
          <t>https://podcasts.apple.com/us/podcast/julianfairchild/id1000391</t>
        </is>
      </c>
      <c r="H395" s="27" t="inlineStr">
        <is>
          <t>AP-US-1000391</t>
        </is>
      </c>
      <c r="I395" s="27" t="inlineStr">
        <is>
          <t>204,000</t>
        </is>
      </c>
      <c r="J395" s="27" t="inlineStr">
        <is>
          <t>2026-10-17</t>
        </is>
      </c>
      <c r="K395" s="27" t="inlineStr">
        <is>
          <t>https://julianfairchild.com/episodes/192</t>
        </is>
      </c>
      <c r="L395" s="27" t="n">
        <v>9</v>
      </c>
      <c r="M395" s="27" t="n">
        <v>29</v>
      </c>
      <c r="N395" s="27" t="inlineStr">
        <is>
          <t>Affiliate</t>
        </is>
      </c>
      <c r="O395" s="27" t="inlineStr">
        <is>
          <t>https://julianfairchild.com/resources</t>
        </is>
      </c>
      <c r="P395" s="27" t="inlineStr">
        <is>
          <t>Missing Video Captions &amp; Retention Clips</t>
        </is>
      </c>
      <c r="Q395" s="27" t="inlineStr">
        <is>
          <t>https://julianfairchild.com/highlights</t>
        </is>
      </c>
      <c r="R395" s="27" t="inlineStr">
        <is>
          <t>Email</t>
        </is>
      </c>
      <c r="S395" s="27" t="inlineStr">
        <is>
          <t>hello@julianfairchild.com</t>
        </is>
      </c>
      <c r="T395" s="27" t="inlineStr">
        <is>
          <t>https://julianfairchild.com/work-with-me</t>
        </is>
      </c>
      <c r="U395" s="27" t="inlineStr">
        <is>
          <t>LinkedIn</t>
        </is>
      </c>
      <c r="V395" s="27" t="inlineStr">
        <is>
          <t>saas &amp; product growth frameworks, specifically regarding episode 42 on SaaS &amp; Product Growth workflow optimization</t>
        </is>
      </c>
      <c r="W395" s="27" t="inlineStr">
        <is>
          <t>Hi Julian,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95" s="27" t="inlineStr">
        <is>
          <t>2026-10-18</t>
        </is>
      </c>
      <c r="Y395" s="27" t="inlineStr">
        <is>
          <t>C</t>
        </is>
      </c>
      <c r="Z395" s="27" t="n">
        <v>72.5</v>
      </c>
      <c r="AA395" s="27" t="inlineStr">
        <is>
          <t>Qualified</t>
        </is>
      </c>
      <c r="AB395" s="27" t="inlineStr"/>
      <c r="AC395" s="28">
        <f>IF(A395="","",IF(COUNTIF($H$5:$H$1004,H395)&gt;1,"DUPLICATE","UNIQUE"))</f>
        <v/>
      </c>
      <c r="AD395" s="28">
        <f>IF(A395="","",IF(AA395="Rejected",IF(AB395&lt;&gt;"","REJECTED","ADD REASON"),IF(AND(B395&lt;&gt;"",C395&lt;&gt;"",D395&lt;&gt;"",E395&lt;&gt;"",F395&lt;&gt;"",G395&lt;&gt;"",H395&lt;&gt;"",J395&lt;&gt;"",K395&lt;&gt;"",N395&lt;&gt;"",O395&lt;&gt;"",P395&lt;&gt;"",Q395&lt;&gt;"",R395&lt;&gt;"",S395&lt;&gt;"",T395&lt;&gt;"",V395&lt;&gt;"",W395&lt;&gt;"",X395&lt;&gt;"",Y395&lt;&gt;""),"COMPLETE","MISSING FIELDS")))</f>
        <v/>
      </c>
    </row>
    <row r="396" ht="15" customHeight="1" s="15">
      <c r="A396" s="27" t="inlineStr">
        <is>
          <t>LEAD-0392</t>
        </is>
      </c>
      <c r="B396" s="27" t="inlineStr">
        <is>
          <t>Julian Gallagher</t>
        </is>
      </c>
      <c r="C396" s="27" t="inlineStr">
        <is>
          <t>Expert-Led Creator</t>
        </is>
      </c>
      <c r="D396" s="27" t="inlineStr">
        <is>
          <t>US</t>
        </is>
      </c>
      <c r="E396" s="27" t="inlineStr">
        <is>
          <t>English</t>
        </is>
      </c>
      <c r="F396" s="27" t="inlineStr">
        <is>
          <t>YouTube</t>
        </is>
      </c>
      <c r="G396" s="27" t="inlineStr">
        <is>
          <t>https://www.youtube.com/@juliangallagher</t>
        </is>
      </c>
      <c r="H396" s="27" t="inlineStr">
        <is>
          <t>UCUS00392426885</t>
        </is>
      </c>
      <c r="I396" s="27" t="inlineStr">
        <is>
          <t>160,000</t>
        </is>
      </c>
      <c r="J396" s="27" t="inlineStr">
        <is>
          <t>2026-10-10</t>
        </is>
      </c>
      <c r="K396" s="27" t="inlineStr">
        <is>
          <t>https://www.youtube.com/watch?v=us00392</t>
        </is>
      </c>
      <c r="L396" s="27" t="n">
        <v>10</v>
      </c>
      <c r="M396" s="27" t="n">
        <v>30</v>
      </c>
      <c r="N396" s="27" t="inlineStr">
        <is>
          <t>Course</t>
        </is>
      </c>
      <c r="O396" s="27" t="inlineStr">
        <is>
          <t>https://juliangallagher.com/academy</t>
        </is>
      </c>
      <c r="P396" s="27" t="inlineStr">
        <is>
          <t>Editing Backlog &amp; Team Workflow Overhead</t>
        </is>
      </c>
      <c r="Q396" s="27" t="inlineStr">
        <is>
          <t>https://juliangallagher.com/highlights</t>
        </is>
      </c>
      <c r="R396" s="27" t="inlineStr">
        <is>
          <t>Email</t>
        </is>
      </c>
      <c r="S396" s="27" t="inlineStr">
        <is>
          <t>contact@juliangallagher.com</t>
        </is>
      </c>
      <c r="T396" s="27" t="inlineStr">
        <is>
          <t>https://juliangallagher.com/contact</t>
        </is>
      </c>
      <c r="U396" s="27" t="inlineStr">
        <is>
          <t>LinkedIn</t>
        </is>
      </c>
      <c r="V396" s="27" t="inlineStr">
        <is>
          <t>creator business &amp; monetization frameworks, specifically regarding episode 43 on Creator Business &amp; Monetization workflow optimization</t>
        </is>
      </c>
      <c r="W396" s="27" t="inlineStr">
        <is>
          <t>Hi Julian,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96" s="27" t="inlineStr">
        <is>
          <t>2026-10-18</t>
        </is>
      </c>
      <c r="Y396" s="27" t="inlineStr">
        <is>
          <t>C</t>
        </is>
      </c>
      <c r="Z396" s="27" t="n">
        <v>72.5</v>
      </c>
      <c r="AA396" s="27" t="inlineStr">
        <is>
          <t>Qualified</t>
        </is>
      </c>
      <c r="AB396" s="27" t="inlineStr"/>
      <c r="AC396" s="28">
        <f>IF(A396="","",IF(COUNTIF($H$5:$H$1004,H396)&gt;1,"DUPLICATE","UNIQUE"))</f>
        <v/>
      </c>
      <c r="AD396" s="28">
        <f>IF(A396="","",IF(AA396="Rejected",IF(AB396&lt;&gt;"","REJECTED","ADD REASON"),IF(AND(B396&lt;&gt;"",C396&lt;&gt;"",D396&lt;&gt;"",E396&lt;&gt;"",F396&lt;&gt;"",G396&lt;&gt;"",H396&lt;&gt;"",J396&lt;&gt;"",K396&lt;&gt;"",N396&lt;&gt;"",O396&lt;&gt;"",P396&lt;&gt;"",Q396&lt;&gt;"",R396&lt;&gt;"",S396&lt;&gt;"",T396&lt;&gt;"",V396&lt;&gt;"",W396&lt;&gt;"",X396&lt;&gt;"",Y396&lt;&gt;""),"COMPLETE","MISSING FIELDS")))</f>
        <v/>
      </c>
    </row>
    <row r="397" ht="15" customHeight="1" s="15">
      <c r="A397" s="27" t="inlineStr">
        <is>
          <t>LEAD-0393</t>
        </is>
      </c>
      <c r="B397" s="27" t="inlineStr">
        <is>
          <t>Julian Hawthorne</t>
        </is>
      </c>
      <c r="C397" s="27" t="inlineStr">
        <is>
          <t>YouTuber</t>
        </is>
      </c>
      <c r="D397" s="27" t="inlineStr">
        <is>
          <t>US</t>
        </is>
      </c>
      <c r="E397" s="27" t="inlineStr">
        <is>
          <t>English</t>
        </is>
      </c>
      <c r="F397" s="27" t="inlineStr">
        <is>
          <t>YouTube</t>
        </is>
      </c>
      <c r="G397" s="27" t="inlineStr">
        <is>
          <t>https://www.youtube.com/@julianhawthorne</t>
        </is>
      </c>
      <c r="H397" s="27" t="inlineStr">
        <is>
          <t>UCUS00393808218</t>
        </is>
      </c>
      <c r="I397" s="27" t="inlineStr">
        <is>
          <t>180,000</t>
        </is>
      </c>
      <c r="J397" s="27" t="inlineStr">
        <is>
          <t>2026-10-11</t>
        </is>
      </c>
      <c r="K397" s="27" t="inlineStr">
        <is>
          <t>https://www.youtube.com/watch?v=us00393</t>
        </is>
      </c>
      <c r="L397" s="27" t="n">
        <v>11</v>
      </c>
      <c r="M397" s="27" t="n">
        <v>31</v>
      </c>
      <c r="N397" s="27" t="inlineStr">
        <is>
          <t>Sponsor</t>
        </is>
      </c>
      <c r="O397" s="27" t="inlineStr">
        <is>
          <t>https://julianhawthorne.com/partners</t>
        </is>
      </c>
      <c r="P397" s="27" t="inlineStr">
        <is>
          <t>Shorts Repurposing Bottleneck</t>
        </is>
      </c>
      <c r="Q397" s="27" t="inlineStr">
        <is>
          <t>https://julianhawthorne.com/highlights</t>
        </is>
      </c>
      <c r="R397" s="27" t="inlineStr">
        <is>
          <t>LinkedIn</t>
        </is>
      </c>
      <c r="S397" s="27" t="inlineStr">
        <is>
          <t>https://linkedin.com/in/julianhawthorne</t>
        </is>
      </c>
      <c r="T397" s="27" t="inlineStr">
        <is>
          <t>https://julianhawthorne.com/about</t>
        </is>
      </c>
      <c r="U397" s="27" t="inlineStr">
        <is>
          <t>Email</t>
        </is>
      </c>
      <c r="V397" s="27" t="inlineStr">
        <is>
          <t>productivity &amp; personal systems frameworks, specifically regarding episode 44 on Productivity &amp; Personal Systems workflow optimization</t>
        </is>
      </c>
      <c r="W397" s="27" t="inlineStr">
        <is>
          <t>Hi Julian,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97" s="27" t="inlineStr">
        <is>
          <t>2026-10-18</t>
        </is>
      </c>
      <c r="Y397" s="27" t="inlineStr">
        <is>
          <t>C</t>
        </is>
      </c>
      <c r="Z397" s="27" t="n">
        <v>72.40000000000001</v>
      </c>
      <c r="AA397" s="27" t="inlineStr">
        <is>
          <t>Qualified</t>
        </is>
      </c>
      <c r="AB397" s="27" t="inlineStr"/>
      <c r="AC397" s="28">
        <f>IF(A397="","",IF(COUNTIF($H$5:$H$1004,H397)&gt;1,"DUPLICATE","UNIQUE"))</f>
        <v/>
      </c>
      <c r="AD397" s="28">
        <f>IF(A397="","",IF(AA397="Rejected",IF(AB397&lt;&gt;"","REJECTED","ADD REASON"),IF(AND(B397&lt;&gt;"",C397&lt;&gt;"",D397&lt;&gt;"",E397&lt;&gt;"",F397&lt;&gt;"",G397&lt;&gt;"",H397&lt;&gt;"",J397&lt;&gt;"",K397&lt;&gt;"",N397&lt;&gt;"",O397&lt;&gt;"",P397&lt;&gt;"",Q397&lt;&gt;"",R397&lt;&gt;"",S397&lt;&gt;"",T397&lt;&gt;"",V397&lt;&gt;"",W397&lt;&gt;"",X397&lt;&gt;"",Y397&lt;&gt;""),"COMPLETE","MISSING FIELDS")))</f>
        <v/>
      </c>
    </row>
    <row r="398" ht="15" customHeight="1" s="15">
      <c r="A398" s="27" t="inlineStr">
        <is>
          <t>LEAD-0394</t>
        </is>
      </c>
      <c r="B398" s="27" t="inlineStr">
        <is>
          <t>Julian Ingram</t>
        </is>
      </c>
      <c r="C398" s="27" t="inlineStr">
        <is>
          <t>Podcaster</t>
        </is>
      </c>
      <c r="D398" s="27" t="inlineStr">
        <is>
          <t>US</t>
        </is>
      </c>
      <c r="E398" s="27" t="inlineStr">
        <is>
          <t>English</t>
        </is>
      </c>
      <c r="F398" s="27" t="inlineStr">
        <is>
          <t>Apple Podcasts</t>
        </is>
      </c>
      <c r="G398" s="27" t="inlineStr">
        <is>
          <t>https://podcasts.apple.com/us/podcast/julianingram/id1000394</t>
        </is>
      </c>
      <c r="H398" s="27" t="inlineStr">
        <is>
          <t>AP-US-1000394</t>
        </is>
      </c>
      <c r="I398" s="27" t="inlineStr">
        <is>
          <t>240,000</t>
        </is>
      </c>
      <c r="J398" s="27" t="inlineStr">
        <is>
          <t>2026-10-12</t>
        </is>
      </c>
      <c r="K398" s="27" t="inlineStr">
        <is>
          <t>https://julianingram.com/episodes/195</t>
        </is>
      </c>
      <c r="L398" s="27" t="n">
        <v>12</v>
      </c>
      <c r="M398" s="27" t="n">
        <v>32</v>
      </c>
      <c r="N398" s="27" t="inlineStr">
        <is>
          <t>Membership</t>
        </is>
      </c>
      <c r="O398" s="27" t="inlineStr">
        <is>
          <t>https://julianingram.com/community</t>
        </is>
      </c>
      <c r="P398" s="27" t="inlineStr">
        <is>
          <t>Inconsistent Cross-Platform Publishing</t>
        </is>
      </c>
      <c r="Q398" s="27" t="inlineStr">
        <is>
          <t>https://julianingram.com/highlights</t>
        </is>
      </c>
      <c r="R398" s="27" t="inlineStr">
        <is>
          <t>X (Twitter)</t>
        </is>
      </c>
      <c r="S398" s="27" t="inlineStr">
        <is>
          <t>https://x.com/julianingram</t>
        </is>
      </c>
      <c r="T398" s="27" t="inlineStr">
        <is>
          <t>https://julianingram.com/links</t>
        </is>
      </c>
      <c r="U398" s="27" t="inlineStr">
        <is>
          <t>LinkedIn</t>
        </is>
      </c>
      <c r="V398" s="27" t="inlineStr">
        <is>
          <t>leadership &amp; team ops frameworks, specifically regarding episode 45 on Leadership &amp; Team Ops workflow optimization</t>
        </is>
      </c>
      <c r="W398" s="27" t="inlineStr">
        <is>
          <t>Hi Julian,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98" s="27" t="inlineStr">
        <is>
          <t>2026-10-18</t>
        </is>
      </c>
      <c r="Y398" s="27" t="inlineStr">
        <is>
          <t>C</t>
        </is>
      </c>
      <c r="Z398" s="27" t="n">
        <v>72.40000000000001</v>
      </c>
      <c r="AA398" s="27" t="inlineStr">
        <is>
          <t>Qualified</t>
        </is>
      </c>
      <c r="AB398" s="27" t="inlineStr"/>
      <c r="AC398" s="28">
        <f>IF(A398="","",IF(COUNTIF($H$5:$H$1004,H398)&gt;1,"DUPLICATE","UNIQUE"))</f>
        <v/>
      </c>
      <c r="AD398" s="28">
        <f>IF(A398="","",IF(AA398="Rejected",IF(AB398&lt;&gt;"","REJECTED","ADD REASON"),IF(AND(B398&lt;&gt;"",C398&lt;&gt;"",D398&lt;&gt;"",E398&lt;&gt;"",F398&lt;&gt;"",G398&lt;&gt;"",H398&lt;&gt;"",J398&lt;&gt;"",K398&lt;&gt;"",N398&lt;&gt;"",O398&lt;&gt;"",P398&lt;&gt;"",Q398&lt;&gt;"",R398&lt;&gt;"",S398&lt;&gt;"",T398&lt;&gt;"",V398&lt;&gt;"",W398&lt;&gt;"",X398&lt;&gt;"",Y398&lt;&gt;""),"COMPLETE","MISSING FIELDS")))</f>
        <v/>
      </c>
    </row>
    <row r="399" ht="15" customHeight="1" s="15">
      <c r="A399" s="27" t="inlineStr">
        <is>
          <t>LEAD-0395</t>
        </is>
      </c>
      <c r="B399" s="27" t="inlineStr">
        <is>
          <t>Julian Jennings</t>
        </is>
      </c>
      <c r="C399" s="27" t="inlineStr">
        <is>
          <t>Expert-Led Creator</t>
        </is>
      </c>
      <c r="D399" s="27" t="inlineStr">
        <is>
          <t>US</t>
        </is>
      </c>
      <c r="E399" s="27" t="inlineStr">
        <is>
          <t>English</t>
        </is>
      </c>
      <c r="F399" s="27" t="inlineStr">
        <is>
          <t>LinkedIn</t>
        </is>
      </c>
      <c r="G399" s="27" t="inlineStr">
        <is>
          <t>https://www.linkedin.com/in/julianjennings</t>
        </is>
      </c>
      <c r="H399" s="27" t="inlineStr">
        <is>
          <t>LI-julianjennings-0395</t>
        </is>
      </c>
      <c r="I399" s="27" t="inlineStr">
        <is>
          <t>36,000</t>
        </is>
      </c>
      <c r="J399" s="27" t="inlineStr">
        <is>
          <t>2026-10-13</t>
        </is>
      </c>
      <c r="K399" s="27" t="inlineStr">
        <is>
          <t>https://julianjennings.com/posts/96</t>
        </is>
      </c>
      <c r="L399" s="27" t="n">
        <v>13</v>
      </c>
      <c r="M399" s="27" t="n">
        <v>33</v>
      </c>
      <c r="N399" s="27" t="inlineStr">
        <is>
          <t>Product</t>
        </is>
      </c>
      <c r="O399" s="27" t="inlineStr">
        <is>
          <t>https://julianjennings.com/shop</t>
        </is>
      </c>
      <c r="P399" s="27" t="inlineStr">
        <is>
          <t>Editing Backlog &amp; Team Workflow Overhead</t>
        </is>
      </c>
      <c r="Q399" s="27" t="inlineStr">
        <is>
          <t>https://julianjennings.com/highlights</t>
        </is>
      </c>
      <c r="R399" s="27" t="inlineStr">
        <is>
          <t>Email</t>
        </is>
      </c>
      <c r="S399" s="27" t="inlineStr">
        <is>
          <t>hello@julianjennings.com</t>
        </is>
      </c>
      <c r="T399" s="27" t="inlineStr">
        <is>
          <t>https://julianjennings.com/work-with-me</t>
        </is>
      </c>
      <c r="U399" s="27" t="inlineStr">
        <is>
          <t>LinkedIn</t>
        </is>
      </c>
      <c r="V399" s="27" t="inlineStr">
        <is>
          <t>b2b marketing &amp; sales frameworks, specifically regarding episode 46 on B2B Marketing &amp; Sales workflow optimization</t>
        </is>
      </c>
      <c r="W399" s="27" t="inlineStr">
        <is>
          <t>Hi Julian,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399" s="27" t="inlineStr">
        <is>
          <t>2026-10-18</t>
        </is>
      </c>
      <c r="Y399" s="27" t="inlineStr">
        <is>
          <t>C</t>
        </is>
      </c>
      <c r="Z399" s="27" t="n">
        <v>72.3</v>
      </c>
      <c r="AA399" s="27" t="inlineStr">
        <is>
          <t>Qualified</t>
        </is>
      </c>
      <c r="AB399" s="27" t="inlineStr"/>
      <c r="AC399" s="28">
        <f>IF(A399="","",IF(COUNTIF($H$5:$H$1004,H399)&gt;1,"DUPLICATE","UNIQUE"))</f>
        <v/>
      </c>
      <c r="AD399" s="28">
        <f>IF(A399="","",IF(AA399="Rejected",IF(AB399&lt;&gt;"","REJECTED","ADD REASON"),IF(AND(B399&lt;&gt;"",C399&lt;&gt;"",D399&lt;&gt;"",E399&lt;&gt;"",F399&lt;&gt;"",G399&lt;&gt;"",H399&lt;&gt;"",J399&lt;&gt;"",K399&lt;&gt;"",N399&lt;&gt;"",O399&lt;&gt;"",P399&lt;&gt;"",Q399&lt;&gt;"",R399&lt;&gt;"",S399&lt;&gt;"",T399&lt;&gt;"",V399&lt;&gt;"",W399&lt;&gt;"",X399&lt;&gt;"",Y399&lt;&gt;""),"COMPLETE","MISSING FIELDS")))</f>
        <v/>
      </c>
    </row>
    <row r="400" ht="15" customHeight="1" s="15">
      <c r="A400" s="27" t="inlineStr">
        <is>
          <t>LEAD-0396</t>
        </is>
      </c>
      <c r="B400" s="27" t="inlineStr">
        <is>
          <t>Julian Kingsley</t>
        </is>
      </c>
      <c r="C400" s="27" t="inlineStr">
        <is>
          <t>YouTuber</t>
        </is>
      </c>
      <c r="D400" s="27" t="inlineStr">
        <is>
          <t>US</t>
        </is>
      </c>
      <c r="E400" s="27" t="inlineStr">
        <is>
          <t>English</t>
        </is>
      </c>
      <c r="F400" s="27" t="inlineStr">
        <is>
          <t>YouTube</t>
        </is>
      </c>
      <c r="G400" s="27" t="inlineStr">
        <is>
          <t>https://www.youtube.com/@juliankingsley</t>
        </is>
      </c>
      <c r="H400" s="27" t="inlineStr">
        <is>
          <t>UCUS00396519724</t>
        </is>
      </c>
      <c r="I400" s="27" t="inlineStr">
        <is>
          <t>240,000</t>
        </is>
      </c>
      <c r="J400" s="27" t="inlineStr">
        <is>
          <t>2026-10-14</t>
        </is>
      </c>
      <c r="K400" s="27" t="inlineStr">
        <is>
          <t>https://www.youtube.com/watch?v=us00396</t>
        </is>
      </c>
      <c r="L400" s="27" t="n">
        <v>14</v>
      </c>
      <c r="M400" s="27" t="n">
        <v>16</v>
      </c>
      <c r="N400" s="27" t="inlineStr">
        <is>
          <t>Consulting</t>
        </is>
      </c>
      <c r="O400" s="27" t="inlineStr">
        <is>
          <t>https://juliankingsley.com/advisory</t>
        </is>
      </c>
      <c r="P400" s="27" t="inlineStr">
        <is>
          <t>Multilingual Audio Dubbing</t>
        </is>
      </c>
      <c r="Q400" s="27" t="inlineStr">
        <is>
          <t>https://juliankingsley.com/highlights</t>
        </is>
      </c>
      <c r="R400" s="27" t="inlineStr">
        <is>
          <t>Email</t>
        </is>
      </c>
      <c r="S400" s="27" t="inlineStr">
        <is>
          <t>contact@juliankingsley.com</t>
        </is>
      </c>
      <c r="T400" s="27" t="inlineStr">
        <is>
          <t>https://juliankingsley.com/contact</t>
        </is>
      </c>
      <c r="U400" s="27" t="inlineStr">
        <is>
          <t>LinkedIn</t>
        </is>
      </c>
      <c r="V400" s="27" t="inlineStr">
        <is>
          <t>finance &amp; wealth engineering frameworks, specifically regarding episode 47 on Finance &amp; Wealth Engineering workflow optimization</t>
        </is>
      </c>
      <c r="W400" s="27" t="inlineStr">
        <is>
          <t>Hi Julian,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00" s="27" t="inlineStr">
        <is>
          <t>2026-10-18</t>
        </is>
      </c>
      <c r="Y400" s="27" t="inlineStr">
        <is>
          <t>C</t>
        </is>
      </c>
      <c r="Z400" s="27" t="n">
        <v>72.2</v>
      </c>
      <c r="AA400" s="27" t="inlineStr">
        <is>
          <t>Qualified</t>
        </is>
      </c>
      <c r="AB400" s="27" t="inlineStr"/>
      <c r="AC400" s="28">
        <f>IF(A400="","",IF(COUNTIF($H$5:$H$1004,H400)&gt;1,"DUPLICATE","UNIQUE"))</f>
        <v/>
      </c>
      <c r="AD400" s="28">
        <f>IF(A400="","",IF(AA400="Rejected",IF(AB400&lt;&gt;"","REJECTED","ADD REASON"),IF(AND(B400&lt;&gt;"",C400&lt;&gt;"",D400&lt;&gt;"",E400&lt;&gt;"",F400&lt;&gt;"",G400&lt;&gt;"",H400&lt;&gt;"",J400&lt;&gt;"",K400&lt;&gt;"",N400&lt;&gt;"",O400&lt;&gt;"",P400&lt;&gt;"",Q400&lt;&gt;"",R400&lt;&gt;"",S400&lt;&gt;"",T400&lt;&gt;"",V400&lt;&gt;"",W400&lt;&gt;"",X400&lt;&gt;"",Y400&lt;&gt;""),"COMPLETE","MISSING FIELDS")))</f>
        <v/>
      </c>
    </row>
    <row r="401" ht="15" customHeight="1" s="15">
      <c r="A401" s="27" t="inlineStr">
        <is>
          <t>LEAD-0397</t>
        </is>
      </c>
      <c r="B401" s="27" t="inlineStr">
        <is>
          <t>Julian Lockwood</t>
        </is>
      </c>
      <c r="C401" s="27" t="inlineStr">
        <is>
          <t>Podcaster</t>
        </is>
      </c>
      <c r="D401" s="27" t="inlineStr">
        <is>
          <t>US</t>
        </is>
      </c>
      <c r="E401" s="27" t="inlineStr">
        <is>
          <t>English</t>
        </is>
      </c>
      <c r="F401" s="27" t="inlineStr">
        <is>
          <t>Apple Podcasts</t>
        </is>
      </c>
      <c r="G401" s="27" t="inlineStr">
        <is>
          <t>https://podcasts.apple.com/us/podcast/julianlockwood/id1000397</t>
        </is>
      </c>
      <c r="H401" s="27" t="inlineStr">
        <is>
          <t>AP-US-1000397</t>
        </is>
      </c>
      <c r="I401" s="27" t="inlineStr">
        <is>
          <t>276,000</t>
        </is>
      </c>
      <c r="J401" s="27" t="inlineStr">
        <is>
          <t>2026-10-15</t>
        </is>
      </c>
      <c r="K401" s="27" t="inlineStr">
        <is>
          <t>https://julianlockwood.com/episodes/198</t>
        </is>
      </c>
      <c r="L401" s="27" t="n">
        <v>15</v>
      </c>
      <c r="M401" s="27" t="n">
        <v>17</v>
      </c>
      <c r="N401" s="27" t="inlineStr">
        <is>
          <t>Newsletter Subscription</t>
        </is>
      </c>
      <c r="O401" s="27" t="inlineStr">
        <is>
          <t>https://julianlockwood.com/subscribe</t>
        </is>
      </c>
      <c r="P401" s="27" t="inlineStr">
        <is>
          <t>Multilingual Audio Dubbing</t>
        </is>
      </c>
      <c r="Q401" s="27" t="inlineStr">
        <is>
          <t>https://julianlockwood.com/highlights</t>
        </is>
      </c>
      <c r="R401" s="27" t="inlineStr">
        <is>
          <t>LinkedIn</t>
        </is>
      </c>
      <c r="S401" s="27" t="inlineStr">
        <is>
          <t>https://linkedin.com/in/julianlockwood</t>
        </is>
      </c>
      <c r="T401" s="27" t="inlineStr">
        <is>
          <t>https://julianlockwood.com/about</t>
        </is>
      </c>
      <c r="U401" s="27" t="inlineStr">
        <is>
          <t>Email</t>
        </is>
      </c>
      <c r="V401" s="27" t="inlineStr">
        <is>
          <t>health &amp; longevity science frameworks, specifically regarding episode 48 on Health &amp; Longevity Science workflow optimization</t>
        </is>
      </c>
      <c r="W401" s="27" t="inlineStr">
        <is>
          <t>Hi Julian,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01" s="27" t="inlineStr">
        <is>
          <t>2026-10-18</t>
        </is>
      </c>
      <c r="Y401" s="27" t="inlineStr">
        <is>
          <t>C</t>
        </is>
      </c>
      <c r="Z401" s="27" t="n">
        <v>72.2</v>
      </c>
      <c r="AA401" s="27" t="inlineStr">
        <is>
          <t>Qualified</t>
        </is>
      </c>
      <c r="AB401" s="27" t="inlineStr"/>
      <c r="AC401" s="28">
        <f>IF(A401="","",IF(COUNTIF($H$5:$H$1004,H401)&gt;1,"DUPLICATE","UNIQUE"))</f>
        <v/>
      </c>
      <c r="AD401" s="28">
        <f>IF(A401="","",IF(AA401="Rejected",IF(AB401&lt;&gt;"","REJECTED","ADD REASON"),IF(AND(B401&lt;&gt;"",C401&lt;&gt;"",D401&lt;&gt;"",E401&lt;&gt;"",F401&lt;&gt;"",G401&lt;&gt;"",H401&lt;&gt;"",J401&lt;&gt;"",K401&lt;&gt;"",N401&lt;&gt;"",O401&lt;&gt;"",P401&lt;&gt;"",Q401&lt;&gt;"",R401&lt;&gt;"",S401&lt;&gt;"",T401&lt;&gt;"",V401&lt;&gt;"",W401&lt;&gt;"",X401&lt;&gt;"",Y401&lt;&gt;""),"COMPLETE","MISSING FIELDS")))</f>
        <v/>
      </c>
    </row>
    <row r="402" ht="15" customHeight="1" s="15">
      <c r="A402" s="27" t="inlineStr">
        <is>
          <t>LEAD-0398</t>
        </is>
      </c>
      <c r="B402" s="27" t="inlineStr">
        <is>
          <t>Julian Montague</t>
        </is>
      </c>
      <c r="C402" s="27" t="inlineStr">
        <is>
          <t>YouTuber</t>
        </is>
      </c>
      <c r="D402" s="27" t="inlineStr">
        <is>
          <t>US</t>
        </is>
      </c>
      <c r="E402" s="27" t="inlineStr">
        <is>
          <t>English</t>
        </is>
      </c>
      <c r="F402" s="27" t="inlineStr">
        <is>
          <t>YouTube</t>
        </is>
      </c>
      <c r="G402" s="27" t="inlineStr">
        <is>
          <t>https://www.youtube.com/@julianmontague</t>
        </is>
      </c>
      <c r="H402" s="27" t="inlineStr">
        <is>
          <t>UCUS00398538979</t>
        </is>
      </c>
      <c r="I402" s="27" t="inlineStr">
        <is>
          <t>280,000</t>
        </is>
      </c>
      <c r="J402" s="27" t="inlineStr">
        <is>
          <t>2026-10-16</t>
        </is>
      </c>
      <c r="K402" s="27" t="inlineStr">
        <is>
          <t>https://www.youtube.com/watch?v=us00398</t>
        </is>
      </c>
      <c r="L402" s="27" t="n">
        <v>16</v>
      </c>
      <c r="M402" s="27" t="n">
        <v>18</v>
      </c>
      <c r="N402" s="27" t="inlineStr">
        <is>
          <t>Affiliate</t>
        </is>
      </c>
      <c r="O402" s="27" t="inlineStr">
        <is>
          <t>https://julianmontague.com/resources</t>
        </is>
      </c>
      <c r="P402" s="27" t="inlineStr">
        <is>
          <t>Missing Video Captions &amp; Retention Clips</t>
        </is>
      </c>
      <c r="Q402" s="27" t="inlineStr">
        <is>
          <t>https://julianmontague.com/highlights</t>
        </is>
      </c>
      <c r="R402" s="27" t="inlineStr">
        <is>
          <t>X (Twitter)</t>
        </is>
      </c>
      <c r="S402" s="27" t="inlineStr">
        <is>
          <t>https://x.com/julianmontague</t>
        </is>
      </c>
      <c r="T402" s="27" t="inlineStr">
        <is>
          <t>https://julianmontague.com/links</t>
        </is>
      </c>
      <c r="U402" s="27" t="inlineStr">
        <is>
          <t>LinkedIn</t>
        </is>
      </c>
      <c r="V402" s="27" t="inlineStr">
        <is>
          <t>education &amp; applied coding frameworks, specifically regarding episode 49 on Education &amp; Applied Coding workflow optimization</t>
        </is>
      </c>
      <c r="W402" s="27" t="inlineStr">
        <is>
          <t>Hi Julian,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02" s="27" t="inlineStr">
        <is>
          <t>2026-10-18</t>
        </is>
      </c>
      <c r="Y402" s="27" t="inlineStr">
        <is>
          <t>C</t>
        </is>
      </c>
      <c r="Z402" s="27" t="n">
        <v>72.09999999999999</v>
      </c>
      <c r="AA402" s="27" t="inlineStr">
        <is>
          <t>Qualified</t>
        </is>
      </c>
      <c r="AB402" s="27" t="inlineStr"/>
      <c r="AC402" s="28">
        <f>IF(A402="","",IF(COUNTIF($H$5:$H$1004,H402)&gt;1,"DUPLICATE","UNIQUE"))</f>
        <v/>
      </c>
      <c r="AD402" s="28">
        <f>IF(A402="","",IF(AA402="Rejected",IF(AB402&lt;&gt;"","REJECTED","ADD REASON"),IF(AND(B402&lt;&gt;"",C402&lt;&gt;"",D402&lt;&gt;"",E402&lt;&gt;"",F402&lt;&gt;"",G402&lt;&gt;"",H402&lt;&gt;"",J402&lt;&gt;"",K402&lt;&gt;"",N402&lt;&gt;"",O402&lt;&gt;"",P402&lt;&gt;"",Q402&lt;&gt;"",R402&lt;&gt;"",S402&lt;&gt;"",T402&lt;&gt;"",V402&lt;&gt;"",W402&lt;&gt;"",X402&lt;&gt;"",Y402&lt;&gt;""),"COMPLETE","MISSING FIELDS")))</f>
        <v/>
      </c>
    </row>
    <row r="403" ht="15" customHeight="1" s="15">
      <c r="A403" s="27" t="inlineStr">
        <is>
          <t>LEAD-0399</t>
        </is>
      </c>
      <c r="B403" s="27" t="inlineStr">
        <is>
          <t>Julian Northwood</t>
        </is>
      </c>
      <c r="C403" s="27" t="inlineStr">
        <is>
          <t>Podcaster</t>
        </is>
      </c>
      <c r="D403" s="27" t="inlineStr">
        <is>
          <t>US</t>
        </is>
      </c>
      <c r="E403" s="27" t="inlineStr">
        <is>
          <t>English</t>
        </is>
      </c>
      <c r="F403" s="27" t="inlineStr">
        <is>
          <t>Apple Podcasts</t>
        </is>
      </c>
      <c r="G403" s="27" t="inlineStr">
        <is>
          <t>https://podcasts.apple.com/us/podcast/juliannorthwood/id1000399</t>
        </is>
      </c>
      <c r="H403" s="27" t="inlineStr">
        <is>
          <t>AP-US-1000399</t>
        </is>
      </c>
      <c r="I403" s="27" t="inlineStr">
        <is>
          <t>300,000</t>
        </is>
      </c>
      <c r="J403" s="27" t="inlineStr">
        <is>
          <t>2026-10-17</t>
        </is>
      </c>
      <c r="K403" s="27" t="inlineStr">
        <is>
          <t>https://juliannorthwood.com/episodes/200</t>
        </is>
      </c>
      <c r="L403" s="27" t="n">
        <v>17</v>
      </c>
      <c r="M403" s="27" t="n">
        <v>19</v>
      </c>
      <c r="N403" s="27" t="inlineStr">
        <is>
          <t>Course</t>
        </is>
      </c>
      <c r="O403" s="27" t="inlineStr">
        <is>
          <t>https://juliannorthwood.com/academy</t>
        </is>
      </c>
      <c r="P403" s="27" t="inlineStr">
        <is>
          <t>Shorts Repurposing Bottleneck</t>
        </is>
      </c>
      <c r="Q403" s="27" t="inlineStr">
        <is>
          <t>https://juliannorthwood.com/highlights</t>
        </is>
      </c>
      <c r="R403" s="27" t="inlineStr">
        <is>
          <t>Email</t>
        </is>
      </c>
      <c r="S403" s="27" t="inlineStr">
        <is>
          <t>hello@juliannorthwood.com</t>
        </is>
      </c>
      <c r="T403" s="27" t="inlineStr">
        <is>
          <t>https://juliannorthwood.com/work-with-me</t>
        </is>
      </c>
      <c r="U403" s="27" t="inlineStr">
        <is>
          <t>LinkedIn</t>
        </is>
      </c>
      <c r="V403" s="27" t="inlineStr">
        <is>
          <t>e-commerce &amp; digital brands frameworks, specifically regarding episode 50 on E-Commerce &amp; Digital Brands workflow optimization</t>
        </is>
      </c>
      <c r="W403" s="27" t="inlineStr">
        <is>
          <t>Hi Julian,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03" s="27" t="inlineStr">
        <is>
          <t>2026-10-18</t>
        </is>
      </c>
      <c r="Y403" s="27" t="inlineStr">
        <is>
          <t>C</t>
        </is>
      </c>
      <c r="Z403" s="27" t="n">
        <v>72.09999999999999</v>
      </c>
      <c r="AA403" s="27" t="inlineStr">
        <is>
          <t>Qualified</t>
        </is>
      </c>
      <c r="AB403" s="27" t="inlineStr"/>
      <c r="AC403" s="28">
        <f>IF(A403="","",IF(COUNTIF($H$5:$H$1004,H403)&gt;1,"DUPLICATE","UNIQUE"))</f>
        <v/>
      </c>
      <c r="AD403" s="28">
        <f>IF(A403="","",IF(AA403="Rejected",IF(AB403&lt;&gt;"","REJECTED","ADD REASON"),IF(AND(B403&lt;&gt;"",C403&lt;&gt;"",D403&lt;&gt;"",E403&lt;&gt;"",F403&lt;&gt;"",G403&lt;&gt;"",H403&lt;&gt;"",J403&lt;&gt;"",K403&lt;&gt;"",N403&lt;&gt;"",O403&lt;&gt;"",P403&lt;&gt;"",Q403&lt;&gt;"",R403&lt;&gt;"",S403&lt;&gt;"",T403&lt;&gt;"",V403&lt;&gt;"",W403&lt;&gt;"",X403&lt;&gt;"",Y403&lt;&gt;""),"COMPLETE","MISSING FIELDS")))</f>
        <v/>
      </c>
    </row>
    <row r="404" ht="15" customHeight="1" s="15">
      <c r="A404" s="27" t="inlineStr">
        <is>
          <t>LEAD-0400</t>
        </is>
      </c>
      <c r="B404" s="27" t="inlineStr">
        <is>
          <t>Julian Oakley</t>
        </is>
      </c>
      <c r="C404" s="27" t="inlineStr">
        <is>
          <t>YouTuber</t>
        </is>
      </c>
      <c r="D404" s="27" t="inlineStr">
        <is>
          <t>US</t>
        </is>
      </c>
      <c r="E404" s="27" t="inlineStr">
        <is>
          <t>English</t>
        </is>
      </c>
      <c r="F404" s="27" t="inlineStr">
        <is>
          <t>YouTube</t>
        </is>
      </c>
      <c r="G404" s="27" t="inlineStr">
        <is>
          <t>https://www.youtube.com/@julianoakley</t>
        </is>
      </c>
      <c r="H404" s="27" t="inlineStr">
        <is>
          <t>UCUS00400552075</t>
        </is>
      </c>
      <c r="I404" s="27" t="inlineStr">
        <is>
          <t>320,000</t>
        </is>
      </c>
      <c r="J404" s="27" t="inlineStr">
        <is>
          <t>2026-10-10</t>
        </is>
      </c>
      <c r="K404" s="27" t="inlineStr">
        <is>
          <t>https://www.youtube.com/watch?v=us00400</t>
        </is>
      </c>
      <c r="L404" s="27" t="n">
        <v>8</v>
      </c>
      <c r="M404" s="27" t="n">
        <v>20</v>
      </c>
      <c r="N404" s="27" t="inlineStr">
        <is>
          <t>Sponsor</t>
        </is>
      </c>
      <c r="O404" s="27" t="inlineStr">
        <is>
          <t>https://julianoakley.com/partners</t>
        </is>
      </c>
      <c r="P404" s="27" t="inlineStr">
        <is>
          <t>Shorts Repurposing Bottleneck</t>
        </is>
      </c>
      <c r="Q404" s="27" t="inlineStr">
        <is>
          <t>https://julianoakley.com/highlights</t>
        </is>
      </c>
      <c r="R404" s="27" t="inlineStr">
        <is>
          <t>Email</t>
        </is>
      </c>
      <c r="S404" s="27" t="inlineStr">
        <is>
          <t>contact@julianoakley.com</t>
        </is>
      </c>
      <c r="T404" s="27" t="inlineStr">
        <is>
          <t>https://julianoakley.com/contact</t>
        </is>
      </c>
      <c r="U404" s="27" t="inlineStr">
        <is>
          <t>LinkedIn</t>
        </is>
      </c>
      <c r="V404" s="27" t="inlineStr">
        <is>
          <t>tech &amp; ai frameworks, specifically regarding episode 1 on Tech &amp; AI workflow optimization</t>
        </is>
      </c>
      <c r="W404" s="27" t="inlineStr">
        <is>
          <t>Hi Julian,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04" s="27" t="inlineStr">
        <is>
          <t>2026-10-18</t>
        </is>
      </c>
      <c r="Y404" s="27" t="inlineStr">
        <is>
          <t>C</t>
        </is>
      </c>
      <c r="Z404" s="27" t="n">
        <v>84</v>
      </c>
      <c r="AA404" s="27" t="inlineStr">
        <is>
          <t>Qualified</t>
        </is>
      </c>
      <c r="AB404" s="27" t="inlineStr"/>
      <c r="AC404" s="28">
        <f>IF(A404="","",IF(COUNTIF($H$5:$H$1004,H404)&gt;1,"DUPLICATE","UNIQUE"))</f>
        <v/>
      </c>
      <c r="AD404" s="28">
        <f>IF(A404="","",IF(AA404="Rejected",IF(AB404&lt;&gt;"","REJECTED","ADD REASON"),IF(AND(B404&lt;&gt;"",C404&lt;&gt;"",D404&lt;&gt;"",E404&lt;&gt;"",F404&lt;&gt;"",G404&lt;&gt;"",H404&lt;&gt;"",J404&lt;&gt;"",K404&lt;&gt;"",N404&lt;&gt;"",O404&lt;&gt;"",P404&lt;&gt;"",Q404&lt;&gt;"",R404&lt;&gt;"",S404&lt;&gt;"",T404&lt;&gt;"",V404&lt;&gt;"",W404&lt;&gt;"",X404&lt;&gt;"",Y404&lt;&gt;""),"COMPLETE","MISSING FIELDS")))</f>
        <v/>
      </c>
    </row>
    <row r="405" ht="15" customHeight="1" s="15">
      <c r="A405" s="27" t="inlineStr">
        <is>
          <t>LEAD-0401</t>
        </is>
      </c>
      <c r="B405" s="27" t="inlineStr">
        <is>
          <t>Julian Pemberton</t>
        </is>
      </c>
      <c r="C405" s="27" t="inlineStr">
        <is>
          <t>Podcaster</t>
        </is>
      </c>
      <c r="D405" s="27" t="inlineStr">
        <is>
          <t>US</t>
        </is>
      </c>
      <c r="E405" s="27" t="inlineStr">
        <is>
          <t>English</t>
        </is>
      </c>
      <c r="F405" s="27" t="inlineStr">
        <is>
          <t>Apple Podcasts</t>
        </is>
      </c>
      <c r="G405" s="27" t="inlineStr">
        <is>
          <t>https://podcasts.apple.com/us/podcast/julianpemberton/id1000401</t>
        </is>
      </c>
      <c r="H405" s="27" t="inlineStr">
        <is>
          <t>AP-US-1000401</t>
        </is>
      </c>
      <c r="I405" s="27" t="inlineStr">
        <is>
          <t>24,000</t>
        </is>
      </c>
      <c r="J405" s="27" t="inlineStr">
        <is>
          <t>2026-10-11</t>
        </is>
      </c>
      <c r="K405" s="27" t="inlineStr">
        <is>
          <t>https://julianpemberton.com/episodes/2</t>
        </is>
      </c>
      <c r="L405" s="27" t="n">
        <v>9</v>
      </c>
      <c r="M405" s="27" t="n">
        <v>21</v>
      </c>
      <c r="N405" s="27" t="inlineStr">
        <is>
          <t>Membership</t>
        </is>
      </c>
      <c r="O405" s="27" t="inlineStr">
        <is>
          <t>https://julianpemberton.com/community</t>
        </is>
      </c>
      <c r="P405" s="27" t="inlineStr">
        <is>
          <t>Missing Video Captions &amp; Retention Clips</t>
        </is>
      </c>
      <c r="Q405" s="27" t="inlineStr">
        <is>
          <t>https://julianpemberton.com/highlights</t>
        </is>
      </c>
      <c r="R405" s="27" t="inlineStr">
        <is>
          <t>LinkedIn</t>
        </is>
      </c>
      <c r="S405" s="27" t="inlineStr">
        <is>
          <t>https://linkedin.com/in/julianpemberton</t>
        </is>
      </c>
      <c r="T405" s="27" t="inlineStr">
        <is>
          <t>https://julianpemberton.com/about</t>
        </is>
      </c>
      <c r="U405" s="27" t="inlineStr">
        <is>
          <t>Email</t>
        </is>
      </c>
      <c r="V405" s="27" t="inlineStr">
        <is>
          <t>saas &amp; product growth frameworks, specifically regarding episode 2 on SaaS &amp; Product Growth workflow optimization</t>
        </is>
      </c>
      <c r="W405" s="27" t="inlineStr">
        <is>
          <t>Hi Julian, loved your recent piece on 'saas &amp; product growth frameworks, specifically regarding episode 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05" s="27" t="inlineStr">
        <is>
          <t>2026-10-18</t>
        </is>
      </c>
      <c r="Y405" s="27" t="inlineStr">
        <is>
          <t>C</t>
        </is>
      </c>
      <c r="Z405" s="27" t="n">
        <v>83.90000000000001</v>
      </c>
      <c r="AA405" s="27" t="inlineStr">
        <is>
          <t>Qualified</t>
        </is>
      </c>
      <c r="AB405" s="27" t="inlineStr"/>
      <c r="AC405" s="28">
        <f>IF(A405="","",IF(COUNTIF($H$5:$H$1004,H405)&gt;1,"DUPLICATE","UNIQUE"))</f>
        <v/>
      </c>
      <c r="AD405" s="28">
        <f>IF(A405="","",IF(AA405="Rejected",IF(AB405&lt;&gt;"","REJECTED","ADD REASON"),IF(AND(B405&lt;&gt;"",C405&lt;&gt;"",D405&lt;&gt;"",E405&lt;&gt;"",F405&lt;&gt;"",G405&lt;&gt;"",H405&lt;&gt;"",J405&lt;&gt;"",K405&lt;&gt;"",N405&lt;&gt;"",O405&lt;&gt;"",P405&lt;&gt;"",Q405&lt;&gt;"",R405&lt;&gt;"",S405&lt;&gt;"",T405&lt;&gt;"",V405&lt;&gt;"",W405&lt;&gt;"",X405&lt;&gt;"",Y405&lt;&gt;""),"COMPLETE","MISSING FIELDS")))</f>
        <v/>
      </c>
    </row>
    <row r="406" ht="15" customHeight="1" s="15">
      <c r="A406" s="27" t="inlineStr">
        <is>
          <t>LEAD-0402</t>
        </is>
      </c>
      <c r="B406" s="27" t="inlineStr">
        <is>
          <t>Julian Quatermain</t>
        </is>
      </c>
      <c r="C406" s="27" t="inlineStr">
        <is>
          <t>Expert-Led Creator</t>
        </is>
      </c>
      <c r="D406" s="27" t="inlineStr">
        <is>
          <t>US</t>
        </is>
      </c>
      <c r="E406" s="27" t="inlineStr">
        <is>
          <t>English</t>
        </is>
      </c>
      <c r="F406" s="27" t="inlineStr">
        <is>
          <t>YouTube</t>
        </is>
      </c>
      <c r="G406" s="27" t="inlineStr">
        <is>
          <t>https://www.youtube.com/@julianquatermain</t>
        </is>
      </c>
      <c r="H406" s="27" t="inlineStr">
        <is>
          <t>UCUS00402739948</t>
        </is>
      </c>
      <c r="I406" s="27" t="inlineStr">
        <is>
          <t>360,000</t>
        </is>
      </c>
      <c r="J406" s="27" t="inlineStr">
        <is>
          <t>2026-10-12</t>
        </is>
      </c>
      <c r="K406" s="27" t="inlineStr">
        <is>
          <t>https://www.youtube.com/watch?v=us00402</t>
        </is>
      </c>
      <c r="L406" s="27" t="n">
        <v>10</v>
      </c>
      <c r="M406" s="27" t="n">
        <v>22</v>
      </c>
      <c r="N406" s="27" t="inlineStr">
        <is>
          <t>Product</t>
        </is>
      </c>
      <c r="O406" s="27" t="inlineStr">
        <is>
          <t>https://julianquatermain.com/shop</t>
        </is>
      </c>
      <c r="P406" s="27" t="inlineStr">
        <is>
          <t>Editing Backlog &amp; Team Workflow Overhead</t>
        </is>
      </c>
      <c r="Q406" s="27" t="inlineStr">
        <is>
          <t>https://julianquatermain.com/highlights</t>
        </is>
      </c>
      <c r="R406" s="27" t="inlineStr">
        <is>
          <t>X (Twitter)</t>
        </is>
      </c>
      <c r="S406" s="27" t="inlineStr">
        <is>
          <t>https://x.com/julianquatermain</t>
        </is>
      </c>
      <c r="T406" s="27" t="inlineStr">
        <is>
          <t>https://julianquatermain.com/links</t>
        </is>
      </c>
      <c r="U406" s="27" t="inlineStr">
        <is>
          <t>LinkedIn</t>
        </is>
      </c>
      <c r="V406" s="27" t="inlineStr">
        <is>
          <t>creator business &amp; monetization frameworks, specifically regarding episode 3 on Creator Business &amp; Monetization workflow optimization</t>
        </is>
      </c>
      <c r="W406" s="27" t="inlineStr">
        <is>
          <t>Hi Julian, loved your recent piece on 'creator business &amp; monetization frameworks, specifically regarding episode 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06" s="27" t="inlineStr">
        <is>
          <t>2026-10-18</t>
        </is>
      </c>
      <c r="Y406" s="27" t="inlineStr">
        <is>
          <t>C</t>
        </is>
      </c>
      <c r="Z406" s="27" t="n">
        <v>83.90000000000001</v>
      </c>
      <c r="AA406" s="27" t="inlineStr">
        <is>
          <t>Qualified</t>
        </is>
      </c>
      <c r="AB406" s="27" t="inlineStr"/>
      <c r="AC406" s="28">
        <f>IF(A406="","",IF(COUNTIF($H$5:$H$1004,H406)&gt;1,"DUPLICATE","UNIQUE"))</f>
        <v/>
      </c>
      <c r="AD406" s="28">
        <f>IF(A406="","",IF(AA406="Rejected",IF(AB406&lt;&gt;"","REJECTED","ADD REASON"),IF(AND(B406&lt;&gt;"",C406&lt;&gt;"",D406&lt;&gt;"",E406&lt;&gt;"",F406&lt;&gt;"",G406&lt;&gt;"",H406&lt;&gt;"",J406&lt;&gt;"",K406&lt;&gt;"",N406&lt;&gt;"",O406&lt;&gt;"",P406&lt;&gt;"",Q406&lt;&gt;"",R406&lt;&gt;"",S406&lt;&gt;"",T406&lt;&gt;"",V406&lt;&gt;"",W406&lt;&gt;"",X406&lt;&gt;"",Y406&lt;&gt;""),"COMPLETE","MISSING FIELDS")))</f>
        <v/>
      </c>
    </row>
    <row r="407" ht="15" customHeight="1" s="15">
      <c r="A407" s="27" t="inlineStr">
        <is>
          <t>LEAD-0403</t>
        </is>
      </c>
      <c r="B407" s="27" t="inlineStr">
        <is>
          <t>Julian Radcliffe</t>
        </is>
      </c>
      <c r="C407" s="27" t="inlineStr">
        <is>
          <t>YouTuber</t>
        </is>
      </c>
      <c r="D407" s="27" t="inlineStr">
        <is>
          <t>US</t>
        </is>
      </c>
      <c r="E407" s="27" t="inlineStr">
        <is>
          <t>English</t>
        </is>
      </c>
      <c r="F407" s="27" t="inlineStr">
        <is>
          <t>YouTube</t>
        </is>
      </c>
      <c r="G407" s="27" t="inlineStr">
        <is>
          <t>https://www.youtube.com/@julianradcliffe</t>
        </is>
      </c>
      <c r="H407" s="27" t="inlineStr">
        <is>
          <t>UCUS00403479726</t>
        </is>
      </c>
      <c r="I407" s="27" t="inlineStr">
        <is>
          <t>380,000</t>
        </is>
      </c>
      <c r="J407" s="27" t="inlineStr">
        <is>
          <t>2026-10-13</t>
        </is>
      </c>
      <c r="K407" s="27" t="inlineStr">
        <is>
          <t>https://www.youtube.com/watch?v=us00403</t>
        </is>
      </c>
      <c r="L407" s="27" t="n">
        <v>11</v>
      </c>
      <c r="M407" s="27" t="n">
        <v>23</v>
      </c>
      <c r="N407" s="27" t="inlineStr">
        <is>
          <t>Consulting</t>
        </is>
      </c>
      <c r="O407" s="27" t="inlineStr">
        <is>
          <t>https://julianradcliffe.com/advisory</t>
        </is>
      </c>
      <c r="P407" s="27" t="inlineStr">
        <is>
          <t>Shorts Repurposing Bottleneck</t>
        </is>
      </c>
      <c r="Q407" s="27" t="inlineStr">
        <is>
          <t>https://julianradcliffe.com/highlights</t>
        </is>
      </c>
      <c r="R407" s="27" t="inlineStr">
        <is>
          <t>Email</t>
        </is>
      </c>
      <c r="S407" s="27" t="inlineStr">
        <is>
          <t>hello@julianradcliffe.com</t>
        </is>
      </c>
      <c r="T407" s="27" t="inlineStr">
        <is>
          <t>https://julianradcliffe.com/work-with-me</t>
        </is>
      </c>
      <c r="U407" s="27" t="inlineStr">
        <is>
          <t>LinkedIn</t>
        </is>
      </c>
      <c r="V407" s="27" t="inlineStr">
        <is>
          <t>productivity &amp; personal systems frameworks, specifically regarding episode 4 on Productivity &amp; Personal Systems workflow optimization</t>
        </is>
      </c>
      <c r="W407" s="27" t="inlineStr">
        <is>
          <t>Hi Julian, loved your recent piece on 'productivity &amp; personal systems frameworks, specifically regarding episode 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07" s="27" t="inlineStr">
        <is>
          <t>2026-10-18</t>
        </is>
      </c>
      <c r="Y407" s="27" t="inlineStr">
        <is>
          <t>C</t>
        </is>
      </c>
      <c r="Z407" s="27" t="n">
        <v>83.8</v>
      </c>
      <c r="AA407" s="27" t="inlineStr">
        <is>
          <t>Qualified</t>
        </is>
      </c>
      <c r="AB407" s="27" t="inlineStr"/>
      <c r="AC407" s="28">
        <f>IF(A407="","",IF(COUNTIF($H$5:$H$1004,H407)&gt;1,"DUPLICATE","UNIQUE"))</f>
        <v/>
      </c>
      <c r="AD407" s="28">
        <f>IF(A407="","",IF(AA407="Rejected",IF(AB407&lt;&gt;"","REJECTED","ADD REASON"),IF(AND(B407&lt;&gt;"",C407&lt;&gt;"",D407&lt;&gt;"",E407&lt;&gt;"",F407&lt;&gt;"",G407&lt;&gt;"",H407&lt;&gt;"",J407&lt;&gt;"",K407&lt;&gt;"",N407&lt;&gt;"",O407&lt;&gt;"",P407&lt;&gt;"",Q407&lt;&gt;"",R407&lt;&gt;"",S407&lt;&gt;"",T407&lt;&gt;"",V407&lt;&gt;"",W407&lt;&gt;"",X407&lt;&gt;"",Y407&lt;&gt;""),"COMPLETE","MISSING FIELDS")))</f>
        <v/>
      </c>
    </row>
    <row r="408" ht="15" customHeight="1" s="15">
      <c r="A408" s="27" t="inlineStr">
        <is>
          <t>LEAD-0404</t>
        </is>
      </c>
      <c r="B408" s="27" t="inlineStr">
        <is>
          <t>Julian Stanhope</t>
        </is>
      </c>
      <c r="C408" s="27" t="inlineStr">
        <is>
          <t>Podcaster</t>
        </is>
      </c>
      <c r="D408" s="27" t="inlineStr">
        <is>
          <t>US</t>
        </is>
      </c>
      <c r="E408" s="27" t="inlineStr">
        <is>
          <t>English</t>
        </is>
      </c>
      <c r="F408" s="27" t="inlineStr">
        <is>
          <t>Apple Podcasts</t>
        </is>
      </c>
      <c r="G408" s="27" t="inlineStr">
        <is>
          <t>https://podcasts.apple.com/us/podcast/julianstanhope/id1000404</t>
        </is>
      </c>
      <c r="H408" s="27" t="inlineStr">
        <is>
          <t>AP-US-1000404</t>
        </is>
      </c>
      <c r="I408" s="27" t="inlineStr">
        <is>
          <t>60,000</t>
        </is>
      </c>
      <c r="J408" s="27" t="inlineStr">
        <is>
          <t>2026-10-14</t>
        </is>
      </c>
      <c r="K408" s="27" t="inlineStr">
        <is>
          <t>https://julianstanhope.com/episodes/5</t>
        </is>
      </c>
      <c r="L408" s="27" t="n">
        <v>12</v>
      </c>
      <c r="M408" s="27" t="n">
        <v>24</v>
      </c>
      <c r="N408" s="27" t="inlineStr">
        <is>
          <t>Newsletter Subscription</t>
        </is>
      </c>
      <c r="O408" s="27" t="inlineStr">
        <is>
          <t>https://julianstanhope.com/subscribe</t>
        </is>
      </c>
      <c r="P408" s="27" t="inlineStr">
        <is>
          <t>Inconsistent Cross-Platform Publishing</t>
        </is>
      </c>
      <c r="Q408" s="27" t="inlineStr">
        <is>
          <t>https://julianstanhope.com/highlights</t>
        </is>
      </c>
      <c r="R408" s="27" t="inlineStr">
        <is>
          <t>Email</t>
        </is>
      </c>
      <c r="S408" s="27" t="inlineStr">
        <is>
          <t>contact@julianstanhope.com</t>
        </is>
      </c>
      <c r="T408" s="27" t="inlineStr">
        <is>
          <t>https://julianstanhope.com/contact</t>
        </is>
      </c>
      <c r="U408" s="27" t="inlineStr">
        <is>
          <t>LinkedIn</t>
        </is>
      </c>
      <c r="V408" s="27" t="inlineStr">
        <is>
          <t>leadership &amp; team ops frameworks, specifically regarding episode 5 on Leadership &amp; Team Ops workflow optimization</t>
        </is>
      </c>
      <c r="W408" s="27" t="inlineStr">
        <is>
          <t>Hi Julian, loved your recent piece on 'leadership &amp; team ops frameworks, specifically regarding episode 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08" s="27" t="inlineStr">
        <is>
          <t>2026-10-18</t>
        </is>
      </c>
      <c r="Y408" s="27" t="inlineStr">
        <is>
          <t>C</t>
        </is>
      </c>
      <c r="Z408" s="27" t="n">
        <v>83.8</v>
      </c>
      <c r="AA408" s="27" t="inlineStr">
        <is>
          <t>Qualified</t>
        </is>
      </c>
      <c r="AB408" s="27" t="inlineStr"/>
      <c r="AC408" s="28">
        <f>IF(A408="","",IF(COUNTIF($H$5:$H$1004,H408)&gt;1,"DUPLICATE","UNIQUE"))</f>
        <v/>
      </c>
      <c r="AD408" s="28">
        <f>IF(A408="","",IF(AA408="Rejected",IF(AB408&lt;&gt;"","REJECTED","ADD REASON"),IF(AND(B408&lt;&gt;"",C408&lt;&gt;"",D408&lt;&gt;"",E408&lt;&gt;"",F408&lt;&gt;"",G408&lt;&gt;"",H408&lt;&gt;"",J408&lt;&gt;"",K408&lt;&gt;"",N408&lt;&gt;"",O408&lt;&gt;"",P408&lt;&gt;"",Q408&lt;&gt;"",R408&lt;&gt;"",S408&lt;&gt;"",T408&lt;&gt;"",V408&lt;&gt;"",W408&lt;&gt;"",X408&lt;&gt;"",Y408&lt;&gt;""),"COMPLETE","MISSING FIELDS")))</f>
        <v/>
      </c>
    </row>
    <row r="409" ht="15" customHeight="1" s="15">
      <c r="A409" s="27" t="inlineStr">
        <is>
          <t>LEAD-0405</t>
        </is>
      </c>
      <c r="B409" s="27" t="inlineStr">
        <is>
          <t>Julian Thackery</t>
        </is>
      </c>
      <c r="C409" s="27" t="inlineStr">
        <is>
          <t>Expert-Led Creator</t>
        </is>
      </c>
      <c r="D409" s="27" t="inlineStr">
        <is>
          <t>US</t>
        </is>
      </c>
      <c r="E409" s="27" t="inlineStr">
        <is>
          <t>English</t>
        </is>
      </c>
      <c r="F409" s="27" t="inlineStr">
        <is>
          <t>LinkedIn</t>
        </is>
      </c>
      <c r="G409" s="27" t="inlineStr">
        <is>
          <t>https://www.linkedin.com/in/julianthackery</t>
        </is>
      </c>
      <c r="H409" s="27" t="inlineStr">
        <is>
          <t>LI-julianthackery-0405</t>
        </is>
      </c>
      <c r="I409" s="27" t="inlineStr">
        <is>
          <t>96,000</t>
        </is>
      </c>
      <c r="J409" s="27" t="inlineStr">
        <is>
          <t>2026-10-15</t>
        </is>
      </c>
      <c r="K409" s="27" t="inlineStr">
        <is>
          <t>https://julianthackery.com/posts/106</t>
        </is>
      </c>
      <c r="L409" s="27" t="n">
        <v>13</v>
      </c>
      <c r="M409" s="27" t="n">
        <v>25</v>
      </c>
      <c r="N409" s="27" t="inlineStr">
        <is>
          <t>Affiliate</t>
        </is>
      </c>
      <c r="O409" s="27" t="inlineStr">
        <is>
          <t>https://julianthackery.com/resources</t>
        </is>
      </c>
      <c r="P409" s="27" t="inlineStr">
        <is>
          <t>Editing Backlog &amp; Team Workflow Overhead</t>
        </is>
      </c>
      <c r="Q409" s="27" t="inlineStr">
        <is>
          <t>https://julianthackery.com/highlights</t>
        </is>
      </c>
      <c r="R409" s="27" t="inlineStr">
        <is>
          <t>LinkedIn</t>
        </is>
      </c>
      <c r="S409" s="27" t="inlineStr">
        <is>
          <t>https://linkedin.com/in/julianthackery</t>
        </is>
      </c>
      <c r="T409" s="27" t="inlineStr">
        <is>
          <t>https://julianthackery.com/about</t>
        </is>
      </c>
      <c r="U409" s="27" t="inlineStr">
        <is>
          <t>Email</t>
        </is>
      </c>
      <c r="V409" s="27" t="inlineStr">
        <is>
          <t>b2b marketing &amp; sales frameworks, specifically regarding episode 6 on B2B Marketing &amp; Sales workflow optimization</t>
        </is>
      </c>
      <c r="W409" s="27" t="inlineStr">
        <is>
          <t>Hi Julian, loved your recent piece on 'b2b marketing &amp; sales frameworks, specifically regarding episode 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09" s="27" t="inlineStr">
        <is>
          <t>2026-10-18</t>
        </is>
      </c>
      <c r="Y409" s="27" t="inlineStr">
        <is>
          <t>C</t>
        </is>
      </c>
      <c r="Z409" s="27" t="n">
        <v>83.7</v>
      </c>
      <c r="AA409" s="27" t="inlineStr">
        <is>
          <t>Qualified</t>
        </is>
      </c>
      <c r="AB409" s="27" t="inlineStr"/>
      <c r="AC409" s="28">
        <f>IF(A409="","",IF(COUNTIF($H$5:$H$1004,H409)&gt;1,"DUPLICATE","UNIQUE"))</f>
        <v/>
      </c>
      <c r="AD409" s="28">
        <f>IF(A409="","",IF(AA409="Rejected",IF(AB409&lt;&gt;"","REJECTED","ADD REASON"),IF(AND(B409&lt;&gt;"",C409&lt;&gt;"",D409&lt;&gt;"",E409&lt;&gt;"",F409&lt;&gt;"",G409&lt;&gt;"",H409&lt;&gt;"",J409&lt;&gt;"",K409&lt;&gt;"",N409&lt;&gt;"",O409&lt;&gt;"",P409&lt;&gt;"",Q409&lt;&gt;"",R409&lt;&gt;"",S409&lt;&gt;"",T409&lt;&gt;"",V409&lt;&gt;"",W409&lt;&gt;"",X409&lt;&gt;"",Y409&lt;&gt;""),"COMPLETE","MISSING FIELDS")))</f>
        <v/>
      </c>
    </row>
    <row r="410" ht="15" customHeight="1" s="15">
      <c r="A410" s="27" t="inlineStr">
        <is>
          <t>LEAD-0406</t>
        </is>
      </c>
      <c r="B410" s="27" t="inlineStr">
        <is>
          <t>Julian Underwood</t>
        </is>
      </c>
      <c r="C410" s="27" t="inlineStr">
        <is>
          <t>YouTuber</t>
        </is>
      </c>
      <c r="D410" s="27" t="inlineStr">
        <is>
          <t>US</t>
        </is>
      </c>
      <c r="E410" s="27" t="inlineStr">
        <is>
          <t>English</t>
        </is>
      </c>
      <c r="F410" s="27" t="inlineStr">
        <is>
          <t>YouTube</t>
        </is>
      </c>
      <c r="G410" s="27" t="inlineStr">
        <is>
          <t>https://www.youtube.com/@julianunderwood</t>
        </is>
      </c>
      <c r="H410" s="27" t="inlineStr">
        <is>
          <t>UCUS00406396922</t>
        </is>
      </c>
      <c r="I410" s="27" t="inlineStr">
        <is>
          <t>440,000</t>
        </is>
      </c>
      <c r="J410" s="27" t="inlineStr">
        <is>
          <t>2026-10-16</t>
        </is>
      </c>
      <c r="K410" s="27" t="inlineStr">
        <is>
          <t>https://www.youtube.com/watch?v=us00406</t>
        </is>
      </c>
      <c r="L410" s="27" t="n">
        <v>14</v>
      </c>
      <c r="M410" s="27" t="n">
        <v>26</v>
      </c>
      <c r="N410" s="27" t="inlineStr">
        <is>
          <t>Course</t>
        </is>
      </c>
      <c r="O410" s="27" t="inlineStr">
        <is>
          <t>https://julianunderwood.com/academy</t>
        </is>
      </c>
      <c r="P410" s="27" t="inlineStr">
        <is>
          <t>Multilingual Audio Dubbing</t>
        </is>
      </c>
      <c r="Q410" s="27" t="inlineStr">
        <is>
          <t>https://julianunderwood.com/highlights</t>
        </is>
      </c>
      <c r="R410" s="27" t="inlineStr">
        <is>
          <t>X (Twitter)</t>
        </is>
      </c>
      <c r="S410" s="27" t="inlineStr">
        <is>
          <t>https://x.com/julianunderwood</t>
        </is>
      </c>
      <c r="T410" s="27" t="inlineStr">
        <is>
          <t>https://julianunderwood.com/links</t>
        </is>
      </c>
      <c r="U410" s="27" t="inlineStr">
        <is>
          <t>LinkedIn</t>
        </is>
      </c>
      <c r="V410" s="27" t="inlineStr">
        <is>
          <t>finance &amp; wealth engineering frameworks, specifically regarding episode 7 on Finance &amp; Wealth Engineering workflow optimization</t>
        </is>
      </c>
      <c r="W410" s="27" t="inlineStr">
        <is>
          <t>Hi Julian, loved your recent piece on 'finance &amp; wealth engineering frameworks, specifically regarding episode 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10" s="27" t="inlineStr">
        <is>
          <t>2026-10-18</t>
        </is>
      </c>
      <c r="Y410" s="27" t="inlineStr">
        <is>
          <t>C</t>
        </is>
      </c>
      <c r="Z410" s="27" t="n">
        <v>83.59999999999999</v>
      </c>
      <c r="AA410" s="27" t="inlineStr">
        <is>
          <t>Qualified</t>
        </is>
      </c>
      <c r="AB410" s="27" t="inlineStr"/>
      <c r="AC410" s="28">
        <f>IF(A410="","",IF(COUNTIF($H$5:$H$1004,H410)&gt;1,"DUPLICATE","UNIQUE"))</f>
        <v/>
      </c>
      <c r="AD410" s="28">
        <f>IF(A410="","",IF(AA410="Rejected",IF(AB410&lt;&gt;"","REJECTED","ADD REASON"),IF(AND(B410&lt;&gt;"",C410&lt;&gt;"",D410&lt;&gt;"",E410&lt;&gt;"",F410&lt;&gt;"",G410&lt;&gt;"",H410&lt;&gt;"",J410&lt;&gt;"",K410&lt;&gt;"",N410&lt;&gt;"",O410&lt;&gt;"",P410&lt;&gt;"",Q410&lt;&gt;"",R410&lt;&gt;"",S410&lt;&gt;"",T410&lt;&gt;"",V410&lt;&gt;"",W410&lt;&gt;"",X410&lt;&gt;"",Y410&lt;&gt;""),"COMPLETE","MISSING FIELDS")))</f>
        <v/>
      </c>
    </row>
    <row r="411" ht="15" customHeight="1" s="15">
      <c r="A411" s="27" t="inlineStr">
        <is>
          <t>LEAD-0407</t>
        </is>
      </c>
      <c r="B411" s="27" t="inlineStr">
        <is>
          <t>Julian Vanguard</t>
        </is>
      </c>
      <c r="C411" s="27" t="inlineStr">
        <is>
          <t>Podcaster</t>
        </is>
      </c>
      <c r="D411" s="27" t="inlineStr">
        <is>
          <t>US</t>
        </is>
      </c>
      <c r="E411" s="27" t="inlineStr">
        <is>
          <t>English</t>
        </is>
      </c>
      <c r="F411" s="27" t="inlineStr">
        <is>
          <t>Apple Podcasts</t>
        </is>
      </c>
      <c r="G411" s="27" t="inlineStr">
        <is>
          <t>https://podcasts.apple.com/us/podcast/julianvanguard/id1000407</t>
        </is>
      </c>
      <c r="H411" s="27" t="inlineStr">
        <is>
          <t>AP-US-1000407</t>
        </is>
      </c>
      <c r="I411" s="27" t="inlineStr">
        <is>
          <t>96,000</t>
        </is>
      </c>
      <c r="J411" s="27" t="inlineStr">
        <is>
          <t>2026-10-17</t>
        </is>
      </c>
      <c r="K411" s="27" t="inlineStr">
        <is>
          <t>https://julianvanguard.com/episodes/8</t>
        </is>
      </c>
      <c r="L411" s="27" t="n">
        <v>15</v>
      </c>
      <c r="M411" s="27" t="n">
        <v>27</v>
      </c>
      <c r="N411" s="27" t="inlineStr">
        <is>
          <t>Sponsor</t>
        </is>
      </c>
      <c r="O411" s="27" t="inlineStr">
        <is>
          <t>https://julianvanguard.com/partners</t>
        </is>
      </c>
      <c r="P411" s="27" t="inlineStr">
        <is>
          <t>Multilingual Audio Dubbing</t>
        </is>
      </c>
      <c r="Q411" s="27" t="inlineStr">
        <is>
          <t>https://julianvanguard.com/highlights</t>
        </is>
      </c>
      <c r="R411" s="27" t="inlineStr">
        <is>
          <t>Email</t>
        </is>
      </c>
      <c r="S411" s="27" t="inlineStr">
        <is>
          <t>hello@julianvanguard.com</t>
        </is>
      </c>
      <c r="T411" s="27" t="inlineStr">
        <is>
          <t>https://julianvanguard.com/work-with-me</t>
        </is>
      </c>
      <c r="U411" s="27" t="inlineStr">
        <is>
          <t>LinkedIn</t>
        </is>
      </c>
      <c r="V411" s="27" t="inlineStr">
        <is>
          <t>health &amp; longevity science frameworks, specifically regarding episode 8 on Health &amp; Longevity Science workflow optimization</t>
        </is>
      </c>
      <c r="W411" s="27" t="inlineStr">
        <is>
          <t>Hi Julian, loved your recent piece on 'health &amp; longevity science frameworks, specifically regarding episode 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11" s="27" t="inlineStr">
        <is>
          <t>2026-10-18</t>
        </is>
      </c>
      <c r="Y411" s="27" t="inlineStr">
        <is>
          <t>C</t>
        </is>
      </c>
      <c r="Z411" s="27" t="n">
        <v>83.59999999999999</v>
      </c>
      <c r="AA411" s="27" t="inlineStr">
        <is>
          <t>Qualified</t>
        </is>
      </c>
      <c r="AB411" s="27" t="inlineStr"/>
      <c r="AC411" s="28">
        <f>IF(A411="","",IF(COUNTIF($H$5:$H$1004,H411)&gt;1,"DUPLICATE","UNIQUE"))</f>
        <v/>
      </c>
      <c r="AD411" s="28">
        <f>IF(A411="","",IF(AA411="Rejected",IF(AB411&lt;&gt;"","REJECTED","ADD REASON"),IF(AND(B411&lt;&gt;"",C411&lt;&gt;"",D411&lt;&gt;"",E411&lt;&gt;"",F411&lt;&gt;"",G411&lt;&gt;"",H411&lt;&gt;"",J411&lt;&gt;"",K411&lt;&gt;"",N411&lt;&gt;"",O411&lt;&gt;"",P411&lt;&gt;"",Q411&lt;&gt;"",R411&lt;&gt;"",S411&lt;&gt;"",T411&lt;&gt;"",V411&lt;&gt;"",W411&lt;&gt;"",X411&lt;&gt;"",Y411&lt;&gt;""),"COMPLETE","MISSING FIELDS")))</f>
        <v/>
      </c>
    </row>
    <row r="412" ht="15" customHeight="1" s="15">
      <c r="A412" s="27" t="inlineStr">
        <is>
          <t>LEAD-0408</t>
        </is>
      </c>
      <c r="B412" s="27" t="inlineStr">
        <is>
          <t>Julian Waverly</t>
        </is>
      </c>
      <c r="C412" s="27" t="inlineStr">
        <is>
          <t>YouTuber</t>
        </is>
      </c>
      <c r="D412" s="27" t="inlineStr">
        <is>
          <t>US</t>
        </is>
      </c>
      <c r="E412" s="27" t="inlineStr">
        <is>
          <t>English</t>
        </is>
      </c>
      <c r="F412" s="27" t="inlineStr">
        <is>
          <t>YouTube</t>
        </is>
      </c>
      <c r="G412" s="27" t="inlineStr">
        <is>
          <t>https://www.youtube.com/@julianwaverly</t>
        </is>
      </c>
      <c r="H412" s="27" t="inlineStr">
        <is>
          <t>UCUS00408280674</t>
        </is>
      </c>
      <c r="I412" s="27" t="inlineStr">
        <is>
          <t>480,000</t>
        </is>
      </c>
      <c r="J412" s="27" t="inlineStr">
        <is>
          <t>2026-10-10</t>
        </is>
      </c>
      <c r="K412" s="27" t="inlineStr">
        <is>
          <t>https://www.youtube.com/watch?v=us00408</t>
        </is>
      </c>
      <c r="L412" s="27" t="n">
        <v>16</v>
      </c>
      <c r="M412" s="27" t="n">
        <v>28</v>
      </c>
      <c r="N412" s="27" t="inlineStr">
        <is>
          <t>Membership</t>
        </is>
      </c>
      <c r="O412" s="27" t="inlineStr">
        <is>
          <t>https://julianwaverly.com/community</t>
        </is>
      </c>
      <c r="P412" s="27" t="inlineStr">
        <is>
          <t>Missing Video Captions &amp; Retention Clips</t>
        </is>
      </c>
      <c r="Q412" s="27" t="inlineStr">
        <is>
          <t>https://julianwaverly.com/highlights</t>
        </is>
      </c>
      <c r="R412" s="27" t="inlineStr">
        <is>
          <t>Email</t>
        </is>
      </c>
      <c r="S412" s="27" t="inlineStr">
        <is>
          <t>contact@julianwaverly.com</t>
        </is>
      </c>
      <c r="T412" s="27" t="inlineStr">
        <is>
          <t>https://julianwaverly.com/contact</t>
        </is>
      </c>
      <c r="U412" s="27" t="inlineStr">
        <is>
          <t>LinkedIn</t>
        </is>
      </c>
      <c r="V412" s="27" t="inlineStr">
        <is>
          <t>education &amp; applied coding frameworks, specifically regarding episode 9 on Education &amp; Applied Coding workflow optimization</t>
        </is>
      </c>
      <c r="W412" s="27" t="inlineStr">
        <is>
          <t>Hi Julian, loved your recent piece on 'education &amp; applied coding frameworks, specifically regarding episode 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12" s="27" t="inlineStr">
        <is>
          <t>2026-10-18</t>
        </is>
      </c>
      <c r="Y412" s="27" t="inlineStr">
        <is>
          <t>C</t>
        </is>
      </c>
      <c r="Z412" s="27" t="n">
        <v>83.5</v>
      </c>
      <c r="AA412" s="27" t="inlineStr">
        <is>
          <t>Qualified</t>
        </is>
      </c>
      <c r="AB412" s="27" t="inlineStr"/>
      <c r="AC412" s="28">
        <f>IF(A412="","",IF(COUNTIF($H$5:$H$1004,H412)&gt;1,"DUPLICATE","UNIQUE"))</f>
        <v/>
      </c>
      <c r="AD412" s="28">
        <f>IF(A412="","",IF(AA412="Rejected",IF(AB412&lt;&gt;"","REJECTED","ADD REASON"),IF(AND(B412&lt;&gt;"",C412&lt;&gt;"",D412&lt;&gt;"",E412&lt;&gt;"",F412&lt;&gt;"",G412&lt;&gt;"",H412&lt;&gt;"",J412&lt;&gt;"",K412&lt;&gt;"",N412&lt;&gt;"",O412&lt;&gt;"",P412&lt;&gt;"",Q412&lt;&gt;"",R412&lt;&gt;"",S412&lt;&gt;"",T412&lt;&gt;"",V412&lt;&gt;"",W412&lt;&gt;"",X412&lt;&gt;"",Y412&lt;&gt;""),"COMPLETE","MISSING FIELDS")))</f>
        <v/>
      </c>
    </row>
    <row r="413" ht="15" customHeight="1" s="15">
      <c r="A413" s="27" t="inlineStr">
        <is>
          <t>LEAD-0409</t>
        </is>
      </c>
      <c r="B413" s="27" t="inlineStr">
        <is>
          <t>Julian Yardley</t>
        </is>
      </c>
      <c r="C413" s="27" t="inlineStr">
        <is>
          <t>Podcaster</t>
        </is>
      </c>
      <c r="D413" s="27" t="inlineStr">
        <is>
          <t>US</t>
        </is>
      </c>
      <c r="E413" s="27" t="inlineStr">
        <is>
          <t>English</t>
        </is>
      </c>
      <c r="F413" s="27" t="inlineStr">
        <is>
          <t>Apple Podcasts</t>
        </is>
      </c>
      <c r="G413" s="27" t="inlineStr">
        <is>
          <t>https://podcasts.apple.com/us/podcast/julianyardley/id1000409</t>
        </is>
      </c>
      <c r="H413" s="27" t="inlineStr">
        <is>
          <t>AP-US-1000409</t>
        </is>
      </c>
      <c r="I413" s="27" t="inlineStr">
        <is>
          <t>120,000</t>
        </is>
      </c>
      <c r="J413" s="27" t="inlineStr">
        <is>
          <t>2026-10-11</t>
        </is>
      </c>
      <c r="K413" s="27" t="inlineStr">
        <is>
          <t>https://julianyardley.com/episodes/10</t>
        </is>
      </c>
      <c r="L413" s="27" t="n">
        <v>17</v>
      </c>
      <c r="M413" s="27" t="n">
        <v>29</v>
      </c>
      <c r="N413" s="27" t="inlineStr">
        <is>
          <t>Product</t>
        </is>
      </c>
      <c r="O413" s="27" t="inlineStr">
        <is>
          <t>https://julianyardley.com/shop</t>
        </is>
      </c>
      <c r="P413" s="27" t="inlineStr">
        <is>
          <t>Shorts Repurposing Bottleneck</t>
        </is>
      </c>
      <c r="Q413" s="27" t="inlineStr">
        <is>
          <t>https://julianyardley.com/highlights</t>
        </is>
      </c>
      <c r="R413" s="27" t="inlineStr">
        <is>
          <t>LinkedIn</t>
        </is>
      </c>
      <c r="S413" s="27" t="inlineStr">
        <is>
          <t>https://linkedin.com/in/julianyardley</t>
        </is>
      </c>
      <c r="T413" s="27" t="inlineStr">
        <is>
          <t>https://julianyardley.com/about</t>
        </is>
      </c>
      <c r="U413" s="27" t="inlineStr">
        <is>
          <t>Email</t>
        </is>
      </c>
      <c r="V413" s="27" t="inlineStr">
        <is>
          <t>e-commerce &amp; digital brands frameworks, specifically regarding episode 10 on E-Commerce &amp; Digital Brands workflow optimization</t>
        </is>
      </c>
      <c r="W413" s="27" t="inlineStr">
        <is>
          <t>Hi Julian, loved your recent piece on 'e-commerce &amp; digital brands frameworks, specifically regarding episode 10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13" s="27" t="inlineStr">
        <is>
          <t>2026-10-18</t>
        </is>
      </c>
      <c r="Y413" s="27" t="inlineStr">
        <is>
          <t>C</t>
        </is>
      </c>
      <c r="Z413" s="27" t="n">
        <v>83.5</v>
      </c>
      <c r="AA413" s="27" t="inlineStr">
        <is>
          <t>Qualified</t>
        </is>
      </c>
      <c r="AB413" s="27" t="inlineStr"/>
      <c r="AC413" s="28">
        <f>IF(A413="","",IF(COUNTIF($H$5:$H$1004,H413)&gt;1,"DUPLICATE","UNIQUE"))</f>
        <v/>
      </c>
      <c r="AD413" s="28">
        <f>IF(A413="","",IF(AA413="Rejected",IF(AB413&lt;&gt;"","REJECTED","ADD REASON"),IF(AND(B413&lt;&gt;"",C413&lt;&gt;"",D413&lt;&gt;"",E413&lt;&gt;"",F413&lt;&gt;"",G413&lt;&gt;"",H413&lt;&gt;"",J413&lt;&gt;"",K413&lt;&gt;"",N413&lt;&gt;"",O413&lt;&gt;"",P413&lt;&gt;"",Q413&lt;&gt;"",R413&lt;&gt;"",S413&lt;&gt;"",T413&lt;&gt;"",V413&lt;&gt;"",W413&lt;&gt;"",X413&lt;&gt;"",Y413&lt;&gt;""),"COMPLETE","MISSING FIELDS")))</f>
        <v/>
      </c>
    </row>
    <row r="414" ht="15" customHeight="1" s="15">
      <c r="A414" s="27" t="inlineStr">
        <is>
          <t>LEAD-0410</t>
        </is>
      </c>
      <c r="B414" s="27" t="inlineStr">
        <is>
          <t>Julian Zimmerman</t>
        </is>
      </c>
      <c r="C414" s="27" t="inlineStr">
        <is>
          <t>YouTuber</t>
        </is>
      </c>
      <c r="D414" s="27" t="inlineStr">
        <is>
          <t>US</t>
        </is>
      </c>
      <c r="E414" s="27" t="inlineStr">
        <is>
          <t>English</t>
        </is>
      </c>
      <c r="F414" s="27" t="inlineStr">
        <is>
          <t>YouTube</t>
        </is>
      </c>
      <c r="G414" s="27" t="inlineStr">
        <is>
          <t>https://www.youtube.com/@julianzimmerman</t>
        </is>
      </c>
      <c r="H414" s="27" t="inlineStr">
        <is>
          <t>UCUS00410585364</t>
        </is>
      </c>
      <c r="I414" s="27" t="inlineStr">
        <is>
          <t>520,000</t>
        </is>
      </c>
      <c r="J414" s="27" t="inlineStr">
        <is>
          <t>2026-10-12</t>
        </is>
      </c>
      <c r="K414" s="27" t="inlineStr">
        <is>
          <t>https://www.youtube.com/watch?v=us00410</t>
        </is>
      </c>
      <c r="L414" s="27" t="n">
        <v>8</v>
      </c>
      <c r="M414" s="27" t="n">
        <v>30</v>
      </c>
      <c r="N414" s="27" t="inlineStr">
        <is>
          <t>Consulting</t>
        </is>
      </c>
      <c r="O414" s="27" t="inlineStr">
        <is>
          <t>https://julianzimmerman.com/advisory</t>
        </is>
      </c>
      <c r="P414" s="27" t="inlineStr">
        <is>
          <t>Shorts Repurposing Bottleneck</t>
        </is>
      </c>
      <c r="Q414" s="27" t="inlineStr">
        <is>
          <t>https://julianzimmerman.com/highlights</t>
        </is>
      </c>
      <c r="R414" s="27" t="inlineStr">
        <is>
          <t>X (Twitter)</t>
        </is>
      </c>
      <c r="S414" s="27" t="inlineStr">
        <is>
          <t>https://x.com/julianzimmerman</t>
        </is>
      </c>
      <c r="T414" s="27" t="inlineStr">
        <is>
          <t>https://julianzimmerman.com/links</t>
        </is>
      </c>
      <c r="U414" s="27" t="inlineStr">
        <is>
          <t>LinkedIn</t>
        </is>
      </c>
      <c r="V414" s="27" t="inlineStr">
        <is>
          <t>tech &amp; ai frameworks, specifically regarding episode 11 on Tech &amp; AI workflow optimization</t>
        </is>
      </c>
      <c r="W414" s="27" t="inlineStr">
        <is>
          <t>Hi Julian, loved your recent piece on 'tech &amp; ai frameworks, specifically regarding episode 11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14" s="27" t="inlineStr">
        <is>
          <t>2026-10-18</t>
        </is>
      </c>
      <c r="Y414" s="27" t="inlineStr">
        <is>
          <t>C</t>
        </is>
      </c>
      <c r="Z414" s="27" t="n">
        <v>83.40000000000001</v>
      </c>
      <c r="AA414" s="27" t="inlineStr">
        <is>
          <t>Qualified</t>
        </is>
      </c>
      <c r="AB414" s="27" t="inlineStr"/>
      <c r="AC414" s="28">
        <f>IF(A414="","",IF(COUNTIF($H$5:$H$1004,H414)&gt;1,"DUPLICATE","UNIQUE"))</f>
        <v/>
      </c>
      <c r="AD414" s="28">
        <f>IF(A414="","",IF(AA414="Rejected",IF(AB414&lt;&gt;"","REJECTED","ADD REASON"),IF(AND(B414&lt;&gt;"",C414&lt;&gt;"",D414&lt;&gt;"",E414&lt;&gt;"",F414&lt;&gt;"",G414&lt;&gt;"",H414&lt;&gt;"",J414&lt;&gt;"",K414&lt;&gt;"",N414&lt;&gt;"",O414&lt;&gt;"",P414&lt;&gt;"",Q414&lt;&gt;"",R414&lt;&gt;"",S414&lt;&gt;"",T414&lt;&gt;"",V414&lt;&gt;"",W414&lt;&gt;"",X414&lt;&gt;"",Y414&lt;&gt;""),"COMPLETE","MISSING FIELDS")))</f>
        <v/>
      </c>
    </row>
    <row r="415" ht="15" customHeight="1" s="15">
      <c r="A415" s="27" t="inlineStr">
        <is>
          <t>LEAD-0411</t>
        </is>
      </c>
      <c r="B415" s="27" t="inlineStr">
        <is>
          <t>Julian Sterling</t>
        </is>
      </c>
      <c r="C415" s="27" t="inlineStr">
        <is>
          <t>Podcaster</t>
        </is>
      </c>
      <c r="D415" s="27" t="inlineStr">
        <is>
          <t>US</t>
        </is>
      </c>
      <c r="E415" s="27" t="inlineStr">
        <is>
          <t>English</t>
        </is>
      </c>
      <c r="F415" s="27" t="inlineStr">
        <is>
          <t>Apple Podcasts</t>
        </is>
      </c>
      <c r="G415" s="27" t="inlineStr">
        <is>
          <t>https://podcasts.apple.com/us/podcast/juliansterling/id1000411</t>
        </is>
      </c>
      <c r="H415" s="27" t="inlineStr">
        <is>
          <t>AP-US-1000411</t>
        </is>
      </c>
      <c r="I415" s="27" t="inlineStr">
        <is>
          <t>144,000</t>
        </is>
      </c>
      <c r="J415" s="27" t="inlineStr">
        <is>
          <t>2026-10-13</t>
        </is>
      </c>
      <c r="K415" s="27" t="inlineStr">
        <is>
          <t>https://juliansterling.com/episodes/12</t>
        </is>
      </c>
      <c r="L415" s="27" t="n">
        <v>9</v>
      </c>
      <c r="M415" s="27" t="n">
        <v>31</v>
      </c>
      <c r="N415" s="27" t="inlineStr">
        <is>
          <t>Newsletter Subscription</t>
        </is>
      </c>
      <c r="O415" s="27" t="inlineStr">
        <is>
          <t>https://juliansterling.com/subscribe</t>
        </is>
      </c>
      <c r="P415" s="27" t="inlineStr">
        <is>
          <t>Missing Video Captions &amp; Retention Clips</t>
        </is>
      </c>
      <c r="Q415" s="27" t="inlineStr">
        <is>
          <t>https://juliansterling.com/highlights</t>
        </is>
      </c>
      <c r="R415" s="27" t="inlineStr">
        <is>
          <t>Email</t>
        </is>
      </c>
      <c r="S415" s="27" t="inlineStr">
        <is>
          <t>hello@juliansterling.com</t>
        </is>
      </c>
      <c r="T415" s="27" t="inlineStr">
        <is>
          <t>https://juliansterling.com/work-with-me</t>
        </is>
      </c>
      <c r="U415" s="27" t="inlineStr">
        <is>
          <t>LinkedIn</t>
        </is>
      </c>
      <c r="V415" s="27" t="inlineStr">
        <is>
          <t>saas &amp; product growth frameworks, specifically regarding episode 12 on SaaS &amp; Product Growth workflow optimization</t>
        </is>
      </c>
      <c r="W415" s="27" t="inlineStr">
        <is>
          <t>Hi Julian, loved your recent piece on 'saas &amp; product growth frameworks, specifically regarding episode 12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15" s="27" t="inlineStr">
        <is>
          <t>2026-10-18</t>
        </is>
      </c>
      <c r="Y415" s="27" t="inlineStr">
        <is>
          <t>C</t>
        </is>
      </c>
      <c r="Z415" s="27" t="n">
        <v>83.3</v>
      </c>
      <c r="AA415" s="27" t="inlineStr">
        <is>
          <t>Qualified</t>
        </is>
      </c>
      <c r="AB415" s="27" t="inlineStr"/>
      <c r="AC415" s="28">
        <f>IF(A415="","",IF(COUNTIF($H$5:$H$1004,H415)&gt;1,"DUPLICATE","UNIQUE"))</f>
        <v/>
      </c>
      <c r="AD415" s="28">
        <f>IF(A415="","",IF(AA415="Rejected",IF(AB415&lt;&gt;"","REJECTED","ADD REASON"),IF(AND(B415&lt;&gt;"",C415&lt;&gt;"",D415&lt;&gt;"",E415&lt;&gt;"",F415&lt;&gt;"",G415&lt;&gt;"",H415&lt;&gt;"",J415&lt;&gt;"",K415&lt;&gt;"",N415&lt;&gt;"",O415&lt;&gt;"",P415&lt;&gt;"",Q415&lt;&gt;"",R415&lt;&gt;"",S415&lt;&gt;"",T415&lt;&gt;"",V415&lt;&gt;"",W415&lt;&gt;"",X415&lt;&gt;"",Y415&lt;&gt;""),"COMPLETE","MISSING FIELDS")))</f>
        <v/>
      </c>
    </row>
    <row r="416" ht="15" customHeight="1" s="15">
      <c r="A416" s="27" t="inlineStr">
        <is>
          <t>LEAD-0412</t>
        </is>
      </c>
      <c r="B416" s="27" t="inlineStr">
        <is>
          <t>Julian Cross</t>
        </is>
      </c>
      <c r="C416" s="27" t="inlineStr">
        <is>
          <t>Expert-Led Creator</t>
        </is>
      </c>
      <c r="D416" s="27" t="inlineStr">
        <is>
          <t>US</t>
        </is>
      </c>
      <c r="E416" s="27" t="inlineStr">
        <is>
          <t>English</t>
        </is>
      </c>
      <c r="F416" s="27" t="inlineStr">
        <is>
          <t>YouTube</t>
        </is>
      </c>
      <c r="G416" s="27" t="inlineStr">
        <is>
          <t>https://www.youtube.com/@juliancross</t>
        </is>
      </c>
      <c r="H416" s="27" t="inlineStr">
        <is>
          <t>UCUS00412640825</t>
        </is>
      </c>
      <c r="I416" s="27" t="inlineStr">
        <is>
          <t>560,000</t>
        </is>
      </c>
      <c r="J416" s="27" t="inlineStr">
        <is>
          <t>2026-10-14</t>
        </is>
      </c>
      <c r="K416" s="27" t="inlineStr">
        <is>
          <t>https://www.youtube.com/watch?v=us00412</t>
        </is>
      </c>
      <c r="L416" s="27" t="n">
        <v>10</v>
      </c>
      <c r="M416" s="27" t="n">
        <v>32</v>
      </c>
      <c r="N416" s="27" t="inlineStr">
        <is>
          <t>Affiliate</t>
        </is>
      </c>
      <c r="O416" s="27" t="inlineStr">
        <is>
          <t>https://juliancross.com/resources</t>
        </is>
      </c>
      <c r="P416" s="27" t="inlineStr">
        <is>
          <t>Editing Backlog &amp; Team Workflow Overhead</t>
        </is>
      </c>
      <c r="Q416" s="27" t="inlineStr">
        <is>
          <t>https://juliancross.com/highlights</t>
        </is>
      </c>
      <c r="R416" s="27" t="inlineStr">
        <is>
          <t>Email</t>
        </is>
      </c>
      <c r="S416" s="27" t="inlineStr">
        <is>
          <t>contact@juliancross.com</t>
        </is>
      </c>
      <c r="T416" s="27" t="inlineStr">
        <is>
          <t>https://juliancross.com/contact</t>
        </is>
      </c>
      <c r="U416" s="27" t="inlineStr">
        <is>
          <t>LinkedIn</t>
        </is>
      </c>
      <c r="V416" s="27" t="inlineStr">
        <is>
          <t>creator business &amp; monetization frameworks, specifically regarding episode 13 on Creator Business &amp; Monetization workflow optimization</t>
        </is>
      </c>
      <c r="W416" s="27" t="inlineStr">
        <is>
          <t>Hi Julian, loved your recent piece on 'creator business &amp; monetization frameworks, specifically regarding episode 13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16" s="27" t="inlineStr">
        <is>
          <t>2026-10-18</t>
        </is>
      </c>
      <c r="Y416" s="27" t="inlineStr">
        <is>
          <t>C</t>
        </is>
      </c>
      <c r="Z416" s="27" t="n">
        <v>83.3</v>
      </c>
      <c r="AA416" s="27" t="inlineStr">
        <is>
          <t>Qualified</t>
        </is>
      </c>
      <c r="AB416" s="27" t="inlineStr"/>
      <c r="AC416" s="28">
        <f>IF(A416="","",IF(COUNTIF($H$5:$H$1004,H416)&gt;1,"DUPLICATE","UNIQUE"))</f>
        <v/>
      </c>
      <c r="AD416" s="28">
        <f>IF(A416="","",IF(AA416="Rejected",IF(AB416&lt;&gt;"","REJECTED","ADD REASON"),IF(AND(B416&lt;&gt;"",C416&lt;&gt;"",D416&lt;&gt;"",E416&lt;&gt;"",F416&lt;&gt;"",G416&lt;&gt;"",H416&lt;&gt;"",J416&lt;&gt;"",K416&lt;&gt;"",N416&lt;&gt;"",O416&lt;&gt;"",P416&lt;&gt;"",Q416&lt;&gt;"",R416&lt;&gt;"",S416&lt;&gt;"",T416&lt;&gt;"",V416&lt;&gt;"",W416&lt;&gt;"",X416&lt;&gt;"",Y416&lt;&gt;""),"COMPLETE","MISSING FIELDS")))</f>
        <v/>
      </c>
    </row>
    <row r="417" ht="15" customHeight="1" s="15">
      <c r="A417" s="27" t="inlineStr">
        <is>
          <t>LEAD-0413</t>
        </is>
      </c>
      <c r="B417" s="27" t="inlineStr">
        <is>
          <t>Julian Vance</t>
        </is>
      </c>
      <c r="C417" s="27" t="inlineStr">
        <is>
          <t>YouTuber</t>
        </is>
      </c>
      <c r="D417" s="27" t="inlineStr">
        <is>
          <t>US</t>
        </is>
      </c>
      <c r="E417" s="27" t="inlineStr">
        <is>
          <t>English</t>
        </is>
      </c>
      <c r="F417" s="27" t="inlineStr">
        <is>
          <t>YouTube</t>
        </is>
      </c>
      <c r="G417" s="27" t="inlineStr">
        <is>
          <t>https://www.youtube.com/@julianvance</t>
        </is>
      </c>
      <c r="H417" s="27" t="inlineStr">
        <is>
          <t>UCUS00413901630</t>
        </is>
      </c>
      <c r="I417" s="27" t="inlineStr">
        <is>
          <t>580,000</t>
        </is>
      </c>
      <c r="J417" s="27" t="inlineStr">
        <is>
          <t>2026-10-15</t>
        </is>
      </c>
      <c r="K417" s="27" t="inlineStr">
        <is>
          <t>https://www.youtube.com/watch?v=us00413</t>
        </is>
      </c>
      <c r="L417" s="27" t="n">
        <v>11</v>
      </c>
      <c r="M417" s="27" t="n">
        <v>33</v>
      </c>
      <c r="N417" s="27" t="inlineStr">
        <is>
          <t>Course</t>
        </is>
      </c>
      <c r="O417" s="27" t="inlineStr">
        <is>
          <t>https://julianvance.com/academy</t>
        </is>
      </c>
      <c r="P417" s="27" t="inlineStr">
        <is>
          <t>Shorts Repurposing Bottleneck</t>
        </is>
      </c>
      <c r="Q417" s="27" t="inlineStr">
        <is>
          <t>https://julianvance.com/highlights</t>
        </is>
      </c>
      <c r="R417" s="27" t="inlineStr">
        <is>
          <t>LinkedIn</t>
        </is>
      </c>
      <c r="S417" s="27" t="inlineStr">
        <is>
          <t>https://linkedin.com/in/julianvance</t>
        </is>
      </c>
      <c r="T417" s="27" t="inlineStr">
        <is>
          <t>https://julianvance.com/about</t>
        </is>
      </c>
      <c r="U417" s="27" t="inlineStr">
        <is>
          <t>Email</t>
        </is>
      </c>
      <c r="V417" s="27" t="inlineStr">
        <is>
          <t>productivity &amp; personal systems frameworks, specifically regarding episode 14 on Productivity &amp; Personal Systems workflow optimization</t>
        </is>
      </c>
      <c r="W417" s="27" t="inlineStr">
        <is>
          <t>Hi Julian, loved your recent piece on 'productivity &amp; personal systems frameworks, specifically regarding episode 14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17" s="27" t="inlineStr">
        <is>
          <t>2026-10-18</t>
        </is>
      </c>
      <c r="Y417" s="27" t="inlineStr">
        <is>
          <t>C</t>
        </is>
      </c>
      <c r="Z417" s="27" t="n">
        <v>83.2</v>
      </c>
      <c r="AA417" s="27" t="inlineStr">
        <is>
          <t>Qualified</t>
        </is>
      </c>
      <c r="AB417" s="27" t="inlineStr"/>
      <c r="AC417" s="28">
        <f>IF(A417="","",IF(COUNTIF($H$5:$H$1004,H417)&gt;1,"DUPLICATE","UNIQUE"))</f>
        <v/>
      </c>
      <c r="AD417" s="28">
        <f>IF(A417="","",IF(AA417="Rejected",IF(AB417&lt;&gt;"","REJECTED","ADD REASON"),IF(AND(B417&lt;&gt;"",C417&lt;&gt;"",D417&lt;&gt;"",E417&lt;&gt;"",F417&lt;&gt;"",G417&lt;&gt;"",H417&lt;&gt;"",J417&lt;&gt;"",K417&lt;&gt;"",N417&lt;&gt;"",O417&lt;&gt;"",P417&lt;&gt;"",Q417&lt;&gt;"",R417&lt;&gt;"",S417&lt;&gt;"",T417&lt;&gt;"",V417&lt;&gt;"",W417&lt;&gt;"",X417&lt;&gt;"",Y417&lt;&gt;""),"COMPLETE","MISSING FIELDS")))</f>
        <v/>
      </c>
    </row>
    <row r="418" ht="15" customHeight="1" s="15">
      <c r="A418" s="27" t="inlineStr">
        <is>
          <t>LEAD-0414</t>
        </is>
      </c>
      <c r="B418" s="27" t="inlineStr">
        <is>
          <t>Julian Mercer</t>
        </is>
      </c>
      <c r="C418" s="27" t="inlineStr">
        <is>
          <t>Podcaster</t>
        </is>
      </c>
      <c r="D418" s="27" t="inlineStr">
        <is>
          <t>US</t>
        </is>
      </c>
      <c r="E418" s="27" t="inlineStr">
        <is>
          <t>English</t>
        </is>
      </c>
      <c r="F418" s="27" t="inlineStr">
        <is>
          <t>Apple Podcasts</t>
        </is>
      </c>
      <c r="G418" s="27" t="inlineStr">
        <is>
          <t>https://podcasts.apple.com/us/podcast/julianmercer/id1000414</t>
        </is>
      </c>
      <c r="H418" s="27" t="inlineStr">
        <is>
          <t>AP-US-1000414</t>
        </is>
      </c>
      <c r="I418" s="27" t="inlineStr">
        <is>
          <t>180,000</t>
        </is>
      </c>
      <c r="J418" s="27" t="inlineStr">
        <is>
          <t>2026-10-16</t>
        </is>
      </c>
      <c r="K418" s="27" t="inlineStr">
        <is>
          <t>https://julianmercer.com/episodes/15</t>
        </is>
      </c>
      <c r="L418" s="27" t="n">
        <v>12</v>
      </c>
      <c r="M418" s="27" t="n">
        <v>16</v>
      </c>
      <c r="N418" s="27" t="inlineStr">
        <is>
          <t>Sponsor</t>
        </is>
      </c>
      <c r="O418" s="27" t="inlineStr">
        <is>
          <t>https://julianmercer.com/partners</t>
        </is>
      </c>
      <c r="P418" s="27" t="inlineStr">
        <is>
          <t>Inconsistent Cross-Platform Publishing</t>
        </is>
      </c>
      <c r="Q418" s="27" t="inlineStr">
        <is>
          <t>https://julianmercer.com/highlights</t>
        </is>
      </c>
      <c r="R418" s="27" t="inlineStr">
        <is>
          <t>X (Twitter)</t>
        </is>
      </c>
      <c r="S418" s="27" t="inlineStr">
        <is>
          <t>https://x.com/julianmercer</t>
        </is>
      </c>
      <c r="T418" s="27" t="inlineStr">
        <is>
          <t>https://julianmercer.com/links</t>
        </is>
      </c>
      <c r="U418" s="27" t="inlineStr">
        <is>
          <t>LinkedIn</t>
        </is>
      </c>
      <c r="V418" s="27" t="inlineStr">
        <is>
          <t>leadership &amp; team ops frameworks, specifically regarding episode 15 on Leadership &amp; Team Ops workflow optimization</t>
        </is>
      </c>
      <c r="W418" s="27" t="inlineStr">
        <is>
          <t>Hi Julian, loved your recent piece on 'leadership &amp; team ops frameworks, specifically regarding episode 15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18" s="27" t="inlineStr">
        <is>
          <t>2026-10-18</t>
        </is>
      </c>
      <c r="Y418" s="27" t="inlineStr">
        <is>
          <t>C</t>
        </is>
      </c>
      <c r="Z418" s="27" t="n">
        <v>83.2</v>
      </c>
      <c r="AA418" s="27" t="inlineStr">
        <is>
          <t>Qualified</t>
        </is>
      </c>
      <c r="AB418" s="27" t="inlineStr"/>
      <c r="AC418" s="28">
        <f>IF(A418="","",IF(COUNTIF($H$5:$H$1004,H418)&gt;1,"DUPLICATE","UNIQUE"))</f>
        <v/>
      </c>
      <c r="AD418" s="28">
        <f>IF(A418="","",IF(AA418="Rejected",IF(AB418&lt;&gt;"","REJECTED","ADD REASON"),IF(AND(B418&lt;&gt;"",C418&lt;&gt;"",D418&lt;&gt;"",E418&lt;&gt;"",F418&lt;&gt;"",G418&lt;&gt;"",H418&lt;&gt;"",J418&lt;&gt;"",K418&lt;&gt;"",N418&lt;&gt;"",O418&lt;&gt;"",P418&lt;&gt;"",Q418&lt;&gt;"",R418&lt;&gt;"",S418&lt;&gt;"",T418&lt;&gt;"",V418&lt;&gt;"",W418&lt;&gt;"",X418&lt;&gt;"",Y418&lt;&gt;""),"COMPLETE","MISSING FIELDS")))</f>
        <v/>
      </c>
    </row>
    <row r="419" ht="15" customHeight="1" s="15">
      <c r="A419" s="27" t="inlineStr">
        <is>
          <t>LEAD-0415</t>
        </is>
      </c>
      <c r="B419" s="27" t="inlineStr">
        <is>
          <t>Julian Sinclair</t>
        </is>
      </c>
      <c r="C419" s="27" t="inlineStr">
        <is>
          <t>Expert-Led Creator</t>
        </is>
      </c>
      <c r="D419" s="27" t="inlineStr">
        <is>
          <t>US</t>
        </is>
      </c>
      <c r="E419" s="27" t="inlineStr">
        <is>
          <t>English</t>
        </is>
      </c>
      <c r="F419" s="27" t="inlineStr">
        <is>
          <t>LinkedIn</t>
        </is>
      </c>
      <c r="G419" s="27" t="inlineStr">
        <is>
          <t>https://www.linkedin.com/in/juliansinclair</t>
        </is>
      </c>
      <c r="H419" s="27" t="inlineStr">
        <is>
          <t>LI-juliansinclair-0415</t>
        </is>
      </c>
      <c r="I419" s="27" t="inlineStr">
        <is>
          <t>156,000</t>
        </is>
      </c>
      <c r="J419" s="27" t="inlineStr">
        <is>
          <t>2026-10-17</t>
        </is>
      </c>
      <c r="K419" s="27" t="inlineStr">
        <is>
          <t>https://juliansinclair.com/posts/116</t>
        </is>
      </c>
      <c r="L419" s="27" t="n">
        <v>13</v>
      </c>
      <c r="M419" s="27" t="n">
        <v>17</v>
      </c>
      <c r="N419" s="27" t="inlineStr">
        <is>
          <t>Membership</t>
        </is>
      </c>
      <c r="O419" s="27" t="inlineStr">
        <is>
          <t>https://juliansinclair.com/community</t>
        </is>
      </c>
      <c r="P419" s="27" t="inlineStr">
        <is>
          <t>Editing Backlog &amp; Team Workflow Overhead</t>
        </is>
      </c>
      <c r="Q419" s="27" t="inlineStr">
        <is>
          <t>https://juliansinclair.com/highlights</t>
        </is>
      </c>
      <c r="R419" s="27" t="inlineStr">
        <is>
          <t>Email</t>
        </is>
      </c>
      <c r="S419" s="27" t="inlineStr">
        <is>
          <t>hello@juliansinclair.com</t>
        </is>
      </c>
      <c r="T419" s="27" t="inlineStr">
        <is>
          <t>https://juliansinclair.com/work-with-me</t>
        </is>
      </c>
      <c r="U419" s="27" t="inlineStr">
        <is>
          <t>LinkedIn</t>
        </is>
      </c>
      <c r="V419" s="27" t="inlineStr">
        <is>
          <t>b2b marketing &amp; sales frameworks, specifically regarding episode 16 on B2B Marketing &amp; Sales workflow optimization</t>
        </is>
      </c>
      <c r="W419" s="27" t="inlineStr">
        <is>
          <t>Hi Julian, loved your recent piece on 'b2b marketing &amp; sales frameworks, specifically regarding episode 16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19" s="27" t="inlineStr">
        <is>
          <t>2026-10-18</t>
        </is>
      </c>
      <c r="Y419" s="27" t="inlineStr">
        <is>
          <t>C</t>
        </is>
      </c>
      <c r="Z419" s="27" t="n">
        <v>83.09999999999999</v>
      </c>
      <c r="AA419" s="27" t="inlineStr">
        <is>
          <t>Qualified</t>
        </is>
      </c>
      <c r="AB419" s="27" t="inlineStr"/>
      <c r="AC419" s="28">
        <f>IF(A419="","",IF(COUNTIF($H$5:$H$1004,H419)&gt;1,"DUPLICATE","UNIQUE"))</f>
        <v/>
      </c>
      <c r="AD419" s="28">
        <f>IF(A419="","",IF(AA419="Rejected",IF(AB419&lt;&gt;"","REJECTED","ADD REASON"),IF(AND(B419&lt;&gt;"",C419&lt;&gt;"",D419&lt;&gt;"",E419&lt;&gt;"",F419&lt;&gt;"",G419&lt;&gt;"",H419&lt;&gt;"",J419&lt;&gt;"",K419&lt;&gt;"",N419&lt;&gt;"",O419&lt;&gt;"",P419&lt;&gt;"",Q419&lt;&gt;"",R419&lt;&gt;"",S419&lt;&gt;"",T419&lt;&gt;"",V419&lt;&gt;"",W419&lt;&gt;"",X419&lt;&gt;"",Y419&lt;&gt;""),"COMPLETE","MISSING FIELDS")))</f>
        <v/>
      </c>
    </row>
    <row r="420" ht="15" customHeight="1" s="15">
      <c r="A420" s="27" t="inlineStr">
        <is>
          <t>LEAD-0416</t>
        </is>
      </c>
      <c r="B420" s="27" t="inlineStr">
        <is>
          <t>Julian Carrington</t>
        </is>
      </c>
      <c r="C420" s="27" t="inlineStr">
        <is>
          <t>YouTuber</t>
        </is>
      </c>
      <c r="D420" s="27" t="inlineStr">
        <is>
          <t>US</t>
        </is>
      </c>
      <c r="E420" s="27" t="inlineStr">
        <is>
          <t>English</t>
        </is>
      </c>
      <c r="F420" s="27" t="inlineStr">
        <is>
          <t>YouTube</t>
        </is>
      </c>
      <c r="G420" s="27" t="inlineStr">
        <is>
          <t>https://www.youtube.com/@juliancarrington</t>
        </is>
      </c>
      <c r="H420" s="27" t="inlineStr">
        <is>
          <t>UCUS00416675162</t>
        </is>
      </c>
      <c r="I420" s="27" t="inlineStr">
        <is>
          <t>640,000</t>
        </is>
      </c>
      <c r="J420" s="27" t="inlineStr">
        <is>
          <t>2026-10-10</t>
        </is>
      </c>
      <c r="K420" s="27" t="inlineStr">
        <is>
          <t>https://www.youtube.com/watch?v=us00416</t>
        </is>
      </c>
      <c r="L420" s="27" t="n">
        <v>14</v>
      </c>
      <c r="M420" s="27" t="n">
        <v>18</v>
      </c>
      <c r="N420" s="27" t="inlineStr">
        <is>
          <t>Product</t>
        </is>
      </c>
      <c r="O420" s="27" t="inlineStr">
        <is>
          <t>https://juliancarrington.com/shop</t>
        </is>
      </c>
      <c r="P420" s="27" t="inlineStr">
        <is>
          <t>Multilingual Audio Dubbing</t>
        </is>
      </c>
      <c r="Q420" s="27" t="inlineStr">
        <is>
          <t>https://juliancarrington.com/highlights</t>
        </is>
      </c>
      <c r="R420" s="27" t="inlineStr">
        <is>
          <t>Email</t>
        </is>
      </c>
      <c r="S420" s="27" t="inlineStr">
        <is>
          <t>contact@juliancarrington.com</t>
        </is>
      </c>
      <c r="T420" s="27" t="inlineStr">
        <is>
          <t>https://juliancarrington.com/contact</t>
        </is>
      </c>
      <c r="U420" s="27" t="inlineStr">
        <is>
          <t>LinkedIn</t>
        </is>
      </c>
      <c r="V420" s="27" t="inlineStr">
        <is>
          <t>finance &amp; wealth engineering frameworks, specifically regarding episode 17 on Finance &amp; Wealth Engineering workflow optimization</t>
        </is>
      </c>
      <c r="W420" s="27" t="inlineStr">
        <is>
          <t>Hi Julian, loved your recent piece on 'finance &amp; wealth engineering frameworks, specifically regarding episode 17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20" s="27" t="inlineStr">
        <is>
          <t>2026-10-18</t>
        </is>
      </c>
      <c r="Y420" s="27" t="inlineStr">
        <is>
          <t>C</t>
        </is>
      </c>
      <c r="Z420" s="27" t="n">
        <v>83</v>
      </c>
      <c r="AA420" s="27" t="inlineStr">
        <is>
          <t>Qualified</t>
        </is>
      </c>
      <c r="AB420" s="27" t="inlineStr"/>
      <c r="AC420" s="28">
        <f>IF(A420="","",IF(COUNTIF($H$5:$H$1004,H420)&gt;1,"DUPLICATE","UNIQUE"))</f>
        <v/>
      </c>
      <c r="AD420" s="28">
        <f>IF(A420="","",IF(AA420="Rejected",IF(AB420&lt;&gt;"","REJECTED","ADD REASON"),IF(AND(B420&lt;&gt;"",C420&lt;&gt;"",D420&lt;&gt;"",E420&lt;&gt;"",F420&lt;&gt;"",G420&lt;&gt;"",H420&lt;&gt;"",J420&lt;&gt;"",K420&lt;&gt;"",N420&lt;&gt;"",O420&lt;&gt;"",P420&lt;&gt;"",Q420&lt;&gt;"",R420&lt;&gt;"",S420&lt;&gt;"",T420&lt;&gt;"",V420&lt;&gt;"",W420&lt;&gt;"",X420&lt;&gt;"",Y420&lt;&gt;""),"COMPLETE","MISSING FIELDS")))</f>
        <v/>
      </c>
    </row>
    <row r="421" ht="15" customHeight="1" s="15">
      <c r="A421" s="27" t="inlineStr">
        <is>
          <t>LEAD-0417</t>
        </is>
      </c>
      <c r="B421" s="27" t="inlineStr">
        <is>
          <t>Julian Prescott</t>
        </is>
      </c>
      <c r="C421" s="27" t="inlineStr">
        <is>
          <t>Podcaster</t>
        </is>
      </c>
      <c r="D421" s="27" t="inlineStr">
        <is>
          <t>US</t>
        </is>
      </c>
      <c r="E421" s="27" t="inlineStr">
        <is>
          <t>English</t>
        </is>
      </c>
      <c r="F421" s="27" t="inlineStr">
        <is>
          <t>Apple Podcasts</t>
        </is>
      </c>
      <c r="G421" s="27" t="inlineStr">
        <is>
          <t>https://podcasts.apple.com/us/podcast/julianprescott/id1000417</t>
        </is>
      </c>
      <c r="H421" s="27" t="inlineStr">
        <is>
          <t>AP-US-1000417</t>
        </is>
      </c>
      <c r="I421" s="27" t="inlineStr">
        <is>
          <t>216,000</t>
        </is>
      </c>
      <c r="J421" s="27" t="inlineStr">
        <is>
          <t>2026-10-11</t>
        </is>
      </c>
      <c r="K421" s="27" t="inlineStr">
        <is>
          <t>https://julianprescott.com/episodes/18</t>
        </is>
      </c>
      <c r="L421" s="27" t="n">
        <v>15</v>
      </c>
      <c r="M421" s="27" t="n">
        <v>19</v>
      </c>
      <c r="N421" s="27" t="inlineStr">
        <is>
          <t>Consulting</t>
        </is>
      </c>
      <c r="O421" s="27" t="inlineStr">
        <is>
          <t>https://julianprescott.com/advisory</t>
        </is>
      </c>
      <c r="P421" s="27" t="inlineStr">
        <is>
          <t>Multilingual Audio Dubbing</t>
        </is>
      </c>
      <c r="Q421" s="27" t="inlineStr">
        <is>
          <t>https://julianprescott.com/highlights</t>
        </is>
      </c>
      <c r="R421" s="27" t="inlineStr">
        <is>
          <t>LinkedIn</t>
        </is>
      </c>
      <c r="S421" s="27" t="inlineStr">
        <is>
          <t>https://linkedin.com/in/julianprescott</t>
        </is>
      </c>
      <c r="T421" s="27" t="inlineStr">
        <is>
          <t>https://julianprescott.com/about</t>
        </is>
      </c>
      <c r="U421" s="27" t="inlineStr">
        <is>
          <t>Email</t>
        </is>
      </c>
      <c r="V421" s="27" t="inlineStr">
        <is>
          <t>health &amp; longevity science frameworks, specifically regarding episode 18 on Health &amp; Longevity Science workflow optimization</t>
        </is>
      </c>
      <c r="W421" s="27" t="inlineStr">
        <is>
          <t>Hi Julian, loved your recent piece on 'health &amp; longevity science frameworks, specifically regarding episode 18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21" s="27" t="inlineStr">
        <is>
          <t>2026-10-18</t>
        </is>
      </c>
      <c r="Y421" s="27" t="inlineStr">
        <is>
          <t>C</t>
        </is>
      </c>
      <c r="Z421" s="27" t="n">
        <v>83</v>
      </c>
      <c r="AA421" s="27" t="inlineStr">
        <is>
          <t>Qualified</t>
        </is>
      </c>
      <c r="AB421" s="27" t="inlineStr"/>
      <c r="AC421" s="28">
        <f>IF(A421="","",IF(COUNTIF($H$5:$H$1004,H421)&gt;1,"DUPLICATE","UNIQUE"))</f>
        <v/>
      </c>
      <c r="AD421" s="28">
        <f>IF(A421="","",IF(AA421="Rejected",IF(AB421&lt;&gt;"","REJECTED","ADD REASON"),IF(AND(B421&lt;&gt;"",C421&lt;&gt;"",D421&lt;&gt;"",E421&lt;&gt;"",F421&lt;&gt;"",G421&lt;&gt;"",H421&lt;&gt;"",J421&lt;&gt;"",K421&lt;&gt;"",N421&lt;&gt;"",O421&lt;&gt;"",P421&lt;&gt;"",Q421&lt;&gt;"",R421&lt;&gt;"",S421&lt;&gt;"",T421&lt;&gt;"",V421&lt;&gt;"",W421&lt;&gt;"",X421&lt;&gt;"",Y421&lt;&gt;""),"COMPLETE","MISSING FIELDS")))</f>
        <v/>
      </c>
    </row>
    <row r="422" ht="15" customHeight="1" s="15">
      <c r="A422" s="27" t="inlineStr">
        <is>
          <t>LEAD-0418</t>
        </is>
      </c>
      <c r="B422" s="27" t="inlineStr">
        <is>
          <t>Julian Winslow</t>
        </is>
      </c>
      <c r="C422" s="27" t="inlineStr">
        <is>
          <t>YouTuber</t>
        </is>
      </c>
      <c r="D422" s="27" t="inlineStr">
        <is>
          <t>US</t>
        </is>
      </c>
      <c r="E422" s="27" t="inlineStr">
        <is>
          <t>English</t>
        </is>
      </c>
      <c r="F422" s="27" t="inlineStr">
        <is>
          <t>YouTube</t>
        </is>
      </c>
      <c r="G422" s="27" t="inlineStr">
        <is>
          <t>https://www.youtube.com/@julianwinslow</t>
        </is>
      </c>
      <c r="H422" s="27" t="inlineStr">
        <is>
          <t>UCUS00418149664</t>
        </is>
      </c>
      <c r="I422" s="27" t="inlineStr">
        <is>
          <t>680,000</t>
        </is>
      </c>
      <c r="J422" s="27" t="inlineStr">
        <is>
          <t>2026-10-12</t>
        </is>
      </c>
      <c r="K422" s="27" t="inlineStr">
        <is>
          <t>https://www.youtube.com/watch?v=us00418</t>
        </is>
      </c>
      <c r="L422" s="27" t="n">
        <v>16</v>
      </c>
      <c r="M422" s="27" t="n">
        <v>20</v>
      </c>
      <c r="N422" s="27" t="inlineStr">
        <is>
          <t>Newsletter Subscription</t>
        </is>
      </c>
      <c r="O422" s="27" t="inlineStr">
        <is>
          <t>https://julianwinslow.com/subscribe</t>
        </is>
      </c>
      <c r="P422" s="27" t="inlineStr">
        <is>
          <t>Missing Video Captions &amp; Retention Clips</t>
        </is>
      </c>
      <c r="Q422" s="27" t="inlineStr">
        <is>
          <t>https://julianwinslow.com/highlights</t>
        </is>
      </c>
      <c r="R422" s="27" t="inlineStr">
        <is>
          <t>X (Twitter)</t>
        </is>
      </c>
      <c r="S422" s="27" t="inlineStr">
        <is>
          <t>https://x.com/julianwinslow</t>
        </is>
      </c>
      <c r="T422" s="27" t="inlineStr">
        <is>
          <t>https://julianwinslow.com/links</t>
        </is>
      </c>
      <c r="U422" s="27" t="inlineStr">
        <is>
          <t>LinkedIn</t>
        </is>
      </c>
      <c r="V422" s="27" t="inlineStr">
        <is>
          <t>education &amp; applied coding frameworks, specifically regarding episode 19 on Education &amp; Applied Coding workflow optimization</t>
        </is>
      </c>
      <c r="W422" s="27" t="inlineStr">
        <is>
          <t>Hi Julian, loved your recent piece on 'education &amp; applied coding frameworks, specifically regarding episode 19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22" s="27" t="inlineStr">
        <is>
          <t>2026-10-18</t>
        </is>
      </c>
      <c r="Y422" s="27" t="inlineStr">
        <is>
          <t>C</t>
        </is>
      </c>
      <c r="Z422" s="27" t="n">
        <v>82.90000000000001</v>
      </c>
      <c r="AA422" s="27" t="inlineStr">
        <is>
          <t>Qualified</t>
        </is>
      </c>
      <c r="AB422" s="27" t="inlineStr"/>
      <c r="AC422" s="28">
        <f>IF(A422="","",IF(COUNTIF($H$5:$H$1004,H422)&gt;1,"DUPLICATE","UNIQUE"))</f>
        <v/>
      </c>
      <c r="AD422" s="28">
        <f>IF(A422="","",IF(AA422="Rejected",IF(AB422&lt;&gt;"","REJECTED","ADD REASON"),IF(AND(B422&lt;&gt;"",C422&lt;&gt;"",D422&lt;&gt;"",E422&lt;&gt;"",F422&lt;&gt;"",G422&lt;&gt;"",H422&lt;&gt;"",J422&lt;&gt;"",K422&lt;&gt;"",N422&lt;&gt;"",O422&lt;&gt;"",P422&lt;&gt;"",Q422&lt;&gt;"",R422&lt;&gt;"",S422&lt;&gt;"",T422&lt;&gt;"",V422&lt;&gt;"",W422&lt;&gt;"",X422&lt;&gt;"",Y422&lt;&gt;""),"COMPLETE","MISSING FIELDS")))</f>
        <v/>
      </c>
    </row>
    <row r="423" ht="15" customHeight="1" s="15">
      <c r="A423" s="27" t="inlineStr">
        <is>
          <t>LEAD-0419</t>
        </is>
      </c>
      <c r="B423" s="27" t="inlineStr">
        <is>
          <t>Julian Bradford</t>
        </is>
      </c>
      <c r="C423" s="27" t="inlineStr">
        <is>
          <t>Podcaster</t>
        </is>
      </c>
      <c r="D423" s="27" t="inlineStr">
        <is>
          <t>US</t>
        </is>
      </c>
      <c r="E423" s="27" t="inlineStr">
        <is>
          <t>English</t>
        </is>
      </c>
      <c r="F423" s="27" t="inlineStr">
        <is>
          <t>Apple Podcasts</t>
        </is>
      </c>
      <c r="G423" s="27" t="inlineStr">
        <is>
          <t>https://podcasts.apple.com/us/podcast/julianbradford/id1000419</t>
        </is>
      </c>
      <c r="H423" s="27" t="inlineStr">
        <is>
          <t>AP-US-1000419</t>
        </is>
      </c>
      <c r="I423" s="27" t="inlineStr">
        <is>
          <t>240,000</t>
        </is>
      </c>
      <c r="J423" s="27" t="inlineStr">
        <is>
          <t>2026-10-13</t>
        </is>
      </c>
      <c r="K423" s="27" t="inlineStr">
        <is>
          <t>https://julianbradford.com/episodes/20</t>
        </is>
      </c>
      <c r="L423" s="27" t="n">
        <v>17</v>
      </c>
      <c r="M423" s="27" t="n">
        <v>21</v>
      </c>
      <c r="N423" s="27" t="inlineStr">
        <is>
          <t>Affiliate</t>
        </is>
      </c>
      <c r="O423" s="27" t="inlineStr">
        <is>
          <t>https://julianbradford.com/resources</t>
        </is>
      </c>
      <c r="P423" s="27" t="inlineStr">
        <is>
          <t>Shorts Repurposing Bottleneck</t>
        </is>
      </c>
      <c r="Q423" s="27" t="inlineStr">
        <is>
          <t>https://julianbradford.com/highlights</t>
        </is>
      </c>
      <c r="R423" s="27" t="inlineStr">
        <is>
          <t>Email</t>
        </is>
      </c>
      <c r="S423" s="27" t="inlineStr">
        <is>
          <t>hello@julianbradford.com</t>
        </is>
      </c>
      <c r="T423" s="27" t="inlineStr">
        <is>
          <t>https://julianbradford.com/work-with-me</t>
        </is>
      </c>
      <c r="U423" s="27" t="inlineStr">
        <is>
          <t>LinkedIn</t>
        </is>
      </c>
      <c r="V423" s="27" t="inlineStr">
        <is>
          <t>e-commerce &amp; digital brands frameworks, specifically regarding episode 20 on E-Commerce &amp; Digital Brands workflow optimization</t>
        </is>
      </c>
      <c r="W423" s="27" t="inlineStr">
        <is>
          <t>Hi Julian, loved your recent piece on 'e-commerce &amp; digital brands frameworks, specifically regarding episode 20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23" s="27" t="inlineStr">
        <is>
          <t>2026-10-18</t>
        </is>
      </c>
      <c r="Y423" s="27" t="inlineStr">
        <is>
          <t>C</t>
        </is>
      </c>
      <c r="Z423" s="27" t="n">
        <v>82.90000000000001</v>
      </c>
      <c r="AA423" s="27" t="inlineStr">
        <is>
          <t>Qualified</t>
        </is>
      </c>
      <c r="AB423" s="27" t="inlineStr"/>
      <c r="AC423" s="28">
        <f>IF(A423="","",IF(COUNTIF($H$5:$H$1004,H423)&gt;1,"DUPLICATE","UNIQUE"))</f>
        <v/>
      </c>
      <c r="AD423" s="28">
        <f>IF(A423="","",IF(AA423="Rejected",IF(AB423&lt;&gt;"","REJECTED","ADD REASON"),IF(AND(B423&lt;&gt;"",C423&lt;&gt;"",D423&lt;&gt;"",E423&lt;&gt;"",F423&lt;&gt;"",G423&lt;&gt;"",H423&lt;&gt;"",J423&lt;&gt;"",K423&lt;&gt;"",N423&lt;&gt;"",O423&lt;&gt;"",P423&lt;&gt;"",Q423&lt;&gt;"",R423&lt;&gt;"",S423&lt;&gt;"",T423&lt;&gt;"",V423&lt;&gt;"",W423&lt;&gt;"",X423&lt;&gt;"",Y423&lt;&gt;""),"COMPLETE","MISSING FIELDS")))</f>
        <v/>
      </c>
    </row>
    <row r="424" ht="15" customHeight="1" s="15">
      <c r="A424" s="27" t="inlineStr">
        <is>
          <t>LEAD-0420</t>
        </is>
      </c>
      <c r="B424" s="27" t="inlineStr">
        <is>
          <t>Julian Kensington</t>
        </is>
      </c>
      <c r="C424" s="27" t="inlineStr">
        <is>
          <t>YouTuber</t>
        </is>
      </c>
      <c r="D424" s="27" t="inlineStr">
        <is>
          <t>US</t>
        </is>
      </c>
      <c r="E424" s="27" t="inlineStr">
        <is>
          <t>English</t>
        </is>
      </c>
      <c r="F424" s="27" t="inlineStr">
        <is>
          <t>YouTube</t>
        </is>
      </c>
      <c r="G424" s="27" t="inlineStr">
        <is>
          <t>https://www.youtube.com/@juliankensington</t>
        </is>
      </c>
      <c r="H424" s="27" t="inlineStr">
        <is>
          <t>UCUS00420621896</t>
        </is>
      </c>
      <c r="I424" s="27" t="inlineStr">
        <is>
          <t>20,000</t>
        </is>
      </c>
      <c r="J424" s="27" t="inlineStr">
        <is>
          <t>2026-10-14</t>
        </is>
      </c>
      <c r="K424" s="27" t="inlineStr">
        <is>
          <t>https://www.youtube.com/watch?v=us00420</t>
        </is>
      </c>
      <c r="L424" s="27" t="n">
        <v>8</v>
      </c>
      <c r="M424" s="27" t="n">
        <v>22</v>
      </c>
      <c r="N424" s="27" t="inlineStr">
        <is>
          <t>Course</t>
        </is>
      </c>
      <c r="O424" s="27" t="inlineStr">
        <is>
          <t>https://juliankensington.com/academy</t>
        </is>
      </c>
      <c r="P424" s="27" t="inlineStr">
        <is>
          <t>Shorts Repurposing Bottleneck</t>
        </is>
      </c>
      <c r="Q424" s="27" t="inlineStr">
        <is>
          <t>https://juliankensington.com/highlights</t>
        </is>
      </c>
      <c r="R424" s="27" t="inlineStr">
        <is>
          <t>Email</t>
        </is>
      </c>
      <c r="S424" s="27" t="inlineStr">
        <is>
          <t>contact@juliankensington.com</t>
        </is>
      </c>
      <c r="T424" s="27" t="inlineStr">
        <is>
          <t>https://juliankensington.com/contact</t>
        </is>
      </c>
      <c r="U424" s="27" t="inlineStr">
        <is>
          <t>LinkedIn</t>
        </is>
      </c>
      <c r="V424" s="27" t="inlineStr">
        <is>
          <t>tech &amp; ai frameworks, specifically regarding episode 21 on Tech &amp; AI workflow optimization</t>
        </is>
      </c>
      <c r="W424" s="27" t="inlineStr">
        <is>
          <t>Hi Julian, loved your recent piece on 'tech &amp; ai frameworks, specifically regarding episode 21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24" s="27" t="inlineStr">
        <is>
          <t>2026-10-18</t>
        </is>
      </c>
      <c r="Y424" s="27" t="inlineStr">
        <is>
          <t>C</t>
        </is>
      </c>
      <c r="Z424" s="27" t="n">
        <v>82.8</v>
      </c>
      <c r="AA424" s="27" t="inlineStr">
        <is>
          <t>Qualified</t>
        </is>
      </c>
      <c r="AB424" s="27" t="inlineStr"/>
      <c r="AC424" s="28">
        <f>IF(A424="","",IF(COUNTIF($H$5:$H$1004,H424)&gt;1,"DUPLICATE","UNIQUE"))</f>
        <v/>
      </c>
      <c r="AD424" s="28">
        <f>IF(A424="","",IF(AA424="Rejected",IF(AB424&lt;&gt;"","REJECTED","ADD REASON"),IF(AND(B424&lt;&gt;"",C424&lt;&gt;"",D424&lt;&gt;"",E424&lt;&gt;"",F424&lt;&gt;"",G424&lt;&gt;"",H424&lt;&gt;"",J424&lt;&gt;"",K424&lt;&gt;"",N424&lt;&gt;"",O424&lt;&gt;"",P424&lt;&gt;"",Q424&lt;&gt;"",R424&lt;&gt;"",S424&lt;&gt;"",T424&lt;&gt;"",V424&lt;&gt;"",W424&lt;&gt;"",X424&lt;&gt;"",Y424&lt;&gt;""),"COMPLETE","MISSING FIELDS")))</f>
        <v/>
      </c>
    </row>
    <row r="425" ht="15" customHeight="1" s="15">
      <c r="A425" s="27" t="inlineStr">
        <is>
          <t>LEAD-0421</t>
        </is>
      </c>
      <c r="B425" s="27" t="inlineStr">
        <is>
          <t>Julian Lancaster</t>
        </is>
      </c>
      <c r="C425" s="27" t="inlineStr">
        <is>
          <t>Podcaster</t>
        </is>
      </c>
      <c r="D425" s="27" t="inlineStr">
        <is>
          <t>US</t>
        </is>
      </c>
      <c r="E425" s="27" t="inlineStr">
        <is>
          <t>English</t>
        </is>
      </c>
      <c r="F425" s="27" t="inlineStr">
        <is>
          <t>Apple Podcasts</t>
        </is>
      </c>
      <c r="G425" s="27" t="inlineStr">
        <is>
          <t>https://podcasts.apple.com/us/podcast/julianlancaster/id1000421</t>
        </is>
      </c>
      <c r="H425" s="27" t="inlineStr">
        <is>
          <t>AP-US-1000421</t>
        </is>
      </c>
      <c r="I425" s="27" t="inlineStr">
        <is>
          <t>264,000</t>
        </is>
      </c>
      <c r="J425" s="27" t="inlineStr">
        <is>
          <t>2026-10-15</t>
        </is>
      </c>
      <c r="K425" s="27" t="inlineStr">
        <is>
          <t>https://julianlancaster.com/episodes/22</t>
        </is>
      </c>
      <c r="L425" s="27" t="n">
        <v>9</v>
      </c>
      <c r="M425" s="27" t="n">
        <v>23</v>
      </c>
      <c r="N425" s="27" t="inlineStr">
        <is>
          <t>Sponsor</t>
        </is>
      </c>
      <c r="O425" s="27" t="inlineStr">
        <is>
          <t>https://julianlancaster.com/partners</t>
        </is>
      </c>
      <c r="P425" s="27" t="inlineStr">
        <is>
          <t>Missing Video Captions &amp; Retention Clips</t>
        </is>
      </c>
      <c r="Q425" s="27" t="inlineStr">
        <is>
          <t>https://julianlancaster.com/highlights</t>
        </is>
      </c>
      <c r="R425" s="27" t="inlineStr">
        <is>
          <t>LinkedIn</t>
        </is>
      </c>
      <c r="S425" s="27" t="inlineStr">
        <is>
          <t>https://linkedin.com/in/julianlancaster</t>
        </is>
      </c>
      <c r="T425" s="27" t="inlineStr">
        <is>
          <t>https://julianlancaster.com/about</t>
        </is>
      </c>
      <c r="U425" s="27" t="inlineStr">
        <is>
          <t>Email</t>
        </is>
      </c>
      <c r="V425" s="27" t="inlineStr">
        <is>
          <t>saas &amp; product growth frameworks, specifically regarding episode 22 on SaaS &amp; Product Growth workflow optimization</t>
        </is>
      </c>
      <c r="W425" s="27" t="inlineStr">
        <is>
          <t>Hi Julian, loved your recent piece on 'saas &amp; product growth frameworks, specifically regarding episode 22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25" s="27" t="inlineStr">
        <is>
          <t>2026-10-18</t>
        </is>
      </c>
      <c r="Y425" s="27" t="inlineStr">
        <is>
          <t>C</t>
        </is>
      </c>
      <c r="Z425" s="27" t="n">
        <v>82.7</v>
      </c>
      <c r="AA425" s="27" t="inlineStr">
        <is>
          <t>Qualified</t>
        </is>
      </c>
      <c r="AB425" s="27" t="inlineStr"/>
      <c r="AC425" s="28">
        <f>IF(A425="","",IF(COUNTIF($H$5:$H$1004,H425)&gt;1,"DUPLICATE","UNIQUE"))</f>
        <v/>
      </c>
      <c r="AD425" s="28">
        <f>IF(A425="","",IF(AA425="Rejected",IF(AB425&lt;&gt;"","REJECTED","ADD REASON"),IF(AND(B425&lt;&gt;"",C425&lt;&gt;"",D425&lt;&gt;"",E425&lt;&gt;"",F425&lt;&gt;"",G425&lt;&gt;"",H425&lt;&gt;"",J425&lt;&gt;"",K425&lt;&gt;"",N425&lt;&gt;"",O425&lt;&gt;"",P425&lt;&gt;"",Q425&lt;&gt;"",R425&lt;&gt;"",S425&lt;&gt;"",T425&lt;&gt;"",V425&lt;&gt;"",W425&lt;&gt;"",X425&lt;&gt;"",Y425&lt;&gt;""),"COMPLETE","MISSING FIELDS")))</f>
        <v/>
      </c>
    </row>
    <row r="426" ht="15" customHeight="1" s="15">
      <c r="A426" s="27" t="inlineStr">
        <is>
          <t>LEAD-0422</t>
        </is>
      </c>
      <c r="B426" s="27" t="inlineStr">
        <is>
          <t>Julian Montgomery</t>
        </is>
      </c>
      <c r="C426" s="27" t="inlineStr">
        <is>
          <t>Expert-Led Creator</t>
        </is>
      </c>
      <c r="D426" s="27" t="inlineStr">
        <is>
          <t>US</t>
        </is>
      </c>
      <c r="E426" s="27" t="inlineStr">
        <is>
          <t>English</t>
        </is>
      </c>
      <c r="F426" s="27" t="inlineStr">
        <is>
          <t>YouTube</t>
        </is>
      </c>
      <c r="G426" s="27" t="inlineStr">
        <is>
          <t>https://www.youtube.com/@julianmontgomery</t>
        </is>
      </c>
      <c r="H426" s="27" t="inlineStr">
        <is>
          <t>UCUS00422888974</t>
        </is>
      </c>
      <c r="I426" s="27" t="inlineStr">
        <is>
          <t>60,000</t>
        </is>
      </c>
      <c r="J426" s="27" t="inlineStr">
        <is>
          <t>2026-10-16</t>
        </is>
      </c>
      <c r="K426" s="27" t="inlineStr">
        <is>
          <t>https://www.youtube.com/watch?v=us00422</t>
        </is>
      </c>
      <c r="L426" s="27" t="n">
        <v>10</v>
      </c>
      <c r="M426" s="27" t="n">
        <v>24</v>
      </c>
      <c r="N426" s="27" t="inlineStr">
        <is>
          <t>Membership</t>
        </is>
      </c>
      <c r="O426" s="27" t="inlineStr">
        <is>
          <t>https://julianmontgomery.com/community</t>
        </is>
      </c>
      <c r="P426" s="27" t="inlineStr">
        <is>
          <t>Editing Backlog &amp; Team Workflow Overhead</t>
        </is>
      </c>
      <c r="Q426" s="27" t="inlineStr">
        <is>
          <t>https://julianmontgomery.com/highlights</t>
        </is>
      </c>
      <c r="R426" s="27" t="inlineStr">
        <is>
          <t>X (Twitter)</t>
        </is>
      </c>
      <c r="S426" s="27" t="inlineStr">
        <is>
          <t>https://x.com/julianmontgomery</t>
        </is>
      </c>
      <c r="T426" s="27" t="inlineStr">
        <is>
          <t>https://julianmontgomery.com/links</t>
        </is>
      </c>
      <c r="U426" s="27" t="inlineStr">
        <is>
          <t>LinkedIn</t>
        </is>
      </c>
      <c r="V426" s="27" t="inlineStr">
        <is>
          <t>creator business &amp; monetization frameworks, specifically regarding episode 23 on Creator Business &amp; Monetization workflow optimization</t>
        </is>
      </c>
      <c r="W426" s="27" t="inlineStr">
        <is>
          <t>Hi Julian, loved your recent piece on 'creator business &amp; monetization frameworks, specifically regarding episode 23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26" s="27" t="inlineStr">
        <is>
          <t>2026-10-18</t>
        </is>
      </c>
      <c r="Y426" s="27" t="inlineStr">
        <is>
          <t>C</t>
        </is>
      </c>
      <c r="Z426" s="27" t="n">
        <v>82.7</v>
      </c>
      <c r="AA426" s="27" t="inlineStr">
        <is>
          <t>Qualified</t>
        </is>
      </c>
      <c r="AB426" s="27" t="inlineStr"/>
      <c r="AC426" s="28">
        <f>IF(A426="","",IF(COUNTIF($H$5:$H$1004,H426)&gt;1,"DUPLICATE","UNIQUE"))</f>
        <v/>
      </c>
      <c r="AD426" s="28">
        <f>IF(A426="","",IF(AA426="Rejected",IF(AB426&lt;&gt;"","REJECTED","ADD REASON"),IF(AND(B426&lt;&gt;"",C426&lt;&gt;"",D426&lt;&gt;"",E426&lt;&gt;"",F426&lt;&gt;"",G426&lt;&gt;"",H426&lt;&gt;"",J426&lt;&gt;"",K426&lt;&gt;"",N426&lt;&gt;"",O426&lt;&gt;"",P426&lt;&gt;"",Q426&lt;&gt;"",R426&lt;&gt;"",S426&lt;&gt;"",T426&lt;&gt;"",V426&lt;&gt;"",W426&lt;&gt;"",X426&lt;&gt;"",Y426&lt;&gt;""),"COMPLETE","MISSING FIELDS")))</f>
        <v/>
      </c>
    </row>
    <row r="427" ht="15" customHeight="1" s="15">
      <c r="A427" s="27" t="inlineStr">
        <is>
          <t>LEAD-0423</t>
        </is>
      </c>
      <c r="B427" s="27" t="inlineStr">
        <is>
          <t>Julian Barrington</t>
        </is>
      </c>
      <c r="C427" s="27" t="inlineStr">
        <is>
          <t>YouTuber</t>
        </is>
      </c>
      <c r="D427" s="27" t="inlineStr">
        <is>
          <t>US</t>
        </is>
      </c>
      <c r="E427" s="27" t="inlineStr">
        <is>
          <t>English</t>
        </is>
      </c>
      <c r="F427" s="27" t="inlineStr">
        <is>
          <t>YouTube</t>
        </is>
      </c>
      <c r="G427" s="27" t="inlineStr">
        <is>
          <t>https://www.youtube.com/@julianbarrington</t>
        </is>
      </c>
      <c r="H427" s="27" t="inlineStr">
        <is>
          <t>UCUS00423046072</t>
        </is>
      </c>
      <c r="I427" s="27" t="inlineStr">
        <is>
          <t>80,000</t>
        </is>
      </c>
      <c r="J427" s="27" t="inlineStr">
        <is>
          <t>2026-10-17</t>
        </is>
      </c>
      <c r="K427" s="27" t="inlineStr">
        <is>
          <t>https://www.youtube.com/watch?v=us00423</t>
        </is>
      </c>
      <c r="L427" s="27" t="n">
        <v>11</v>
      </c>
      <c r="M427" s="27" t="n">
        <v>25</v>
      </c>
      <c r="N427" s="27" t="inlineStr">
        <is>
          <t>Product</t>
        </is>
      </c>
      <c r="O427" s="27" t="inlineStr">
        <is>
          <t>https://julianbarrington.com/shop</t>
        </is>
      </c>
      <c r="P427" s="27" t="inlineStr">
        <is>
          <t>Shorts Repurposing Bottleneck</t>
        </is>
      </c>
      <c r="Q427" s="27" t="inlineStr">
        <is>
          <t>https://julianbarrington.com/highlights</t>
        </is>
      </c>
      <c r="R427" s="27" t="inlineStr">
        <is>
          <t>Email</t>
        </is>
      </c>
      <c r="S427" s="27" t="inlineStr">
        <is>
          <t>hello@julianbarrington.com</t>
        </is>
      </c>
      <c r="T427" s="27" t="inlineStr">
        <is>
          <t>https://julianbarrington.com/work-with-me</t>
        </is>
      </c>
      <c r="U427" s="27" t="inlineStr">
        <is>
          <t>LinkedIn</t>
        </is>
      </c>
      <c r="V427" s="27" t="inlineStr">
        <is>
          <t>productivity &amp; personal systems frameworks, specifically regarding episode 24 on Productivity &amp; Personal Systems workflow optimization</t>
        </is>
      </c>
      <c r="W427" s="27" t="inlineStr">
        <is>
          <t>Hi Julian, loved your recent piece on 'productivity &amp; personal systems frameworks, specifically regarding episode 24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27" s="27" t="inlineStr">
        <is>
          <t>2026-10-18</t>
        </is>
      </c>
      <c r="Y427" s="27" t="inlineStr">
        <is>
          <t>C</t>
        </is>
      </c>
      <c r="Z427" s="27" t="n">
        <v>82.59999999999999</v>
      </c>
      <c r="AA427" s="27" t="inlineStr">
        <is>
          <t>Qualified</t>
        </is>
      </c>
      <c r="AB427" s="27" t="inlineStr"/>
      <c r="AC427" s="28">
        <f>IF(A427="","",IF(COUNTIF($H$5:$H$1004,H427)&gt;1,"DUPLICATE","UNIQUE"))</f>
        <v/>
      </c>
      <c r="AD427" s="28">
        <f>IF(A427="","",IF(AA427="Rejected",IF(AB427&lt;&gt;"","REJECTED","ADD REASON"),IF(AND(B427&lt;&gt;"",C427&lt;&gt;"",D427&lt;&gt;"",E427&lt;&gt;"",F427&lt;&gt;"",G427&lt;&gt;"",H427&lt;&gt;"",J427&lt;&gt;"",K427&lt;&gt;"",N427&lt;&gt;"",O427&lt;&gt;"",P427&lt;&gt;"",Q427&lt;&gt;"",R427&lt;&gt;"",S427&lt;&gt;"",T427&lt;&gt;"",V427&lt;&gt;"",W427&lt;&gt;"",X427&lt;&gt;"",Y427&lt;&gt;""),"COMPLETE","MISSING FIELDS")))</f>
        <v/>
      </c>
    </row>
    <row r="428" ht="15" customHeight="1" s="15">
      <c r="A428" s="27" t="inlineStr">
        <is>
          <t>LEAD-0424</t>
        </is>
      </c>
      <c r="B428" s="27" t="inlineStr">
        <is>
          <t>Julian Thornton</t>
        </is>
      </c>
      <c r="C428" s="27" t="inlineStr">
        <is>
          <t>Podcaster</t>
        </is>
      </c>
      <c r="D428" s="27" t="inlineStr">
        <is>
          <t>US</t>
        </is>
      </c>
      <c r="E428" s="27" t="inlineStr">
        <is>
          <t>English</t>
        </is>
      </c>
      <c r="F428" s="27" t="inlineStr">
        <is>
          <t>Apple Podcasts</t>
        </is>
      </c>
      <c r="G428" s="27" t="inlineStr">
        <is>
          <t>https://podcasts.apple.com/us/podcast/julianthornton/id1000424</t>
        </is>
      </c>
      <c r="H428" s="27" t="inlineStr">
        <is>
          <t>AP-US-1000424</t>
        </is>
      </c>
      <c r="I428" s="27" t="inlineStr">
        <is>
          <t>300,000</t>
        </is>
      </c>
      <c r="J428" s="27" t="inlineStr">
        <is>
          <t>2026-10-10</t>
        </is>
      </c>
      <c r="K428" s="27" t="inlineStr">
        <is>
          <t>https://julianthornton.com/episodes/25</t>
        </is>
      </c>
      <c r="L428" s="27" t="n">
        <v>12</v>
      </c>
      <c r="M428" s="27" t="n">
        <v>26</v>
      </c>
      <c r="N428" s="27" t="inlineStr">
        <is>
          <t>Consulting</t>
        </is>
      </c>
      <c r="O428" s="27" t="inlineStr">
        <is>
          <t>https://julianthornton.com/advisory</t>
        </is>
      </c>
      <c r="P428" s="27" t="inlineStr">
        <is>
          <t>Inconsistent Cross-Platform Publishing</t>
        </is>
      </c>
      <c r="Q428" s="27" t="inlineStr">
        <is>
          <t>https://julianthornton.com/highlights</t>
        </is>
      </c>
      <c r="R428" s="27" t="inlineStr">
        <is>
          <t>Email</t>
        </is>
      </c>
      <c r="S428" s="27" t="inlineStr">
        <is>
          <t>contact@julianthornton.com</t>
        </is>
      </c>
      <c r="T428" s="27" t="inlineStr">
        <is>
          <t>https://julianthornton.com/contact</t>
        </is>
      </c>
      <c r="U428" s="27" t="inlineStr">
        <is>
          <t>LinkedIn</t>
        </is>
      </c>
      <c r="V428" s="27" t="inlineStr">
        <is>
          <t>leadership &amp; team ops frameworks, specifically regarding episode 25 on Leadership &amp; Team Ops workflow optimization</t>
        </is>
      </c>
      <c r="W428" s="27" t="inlineStr">
        <is>
          <t>Hi Julian, loved your recent piece on 'leadership &amp; team ops frameworks, specifically regarding episode 25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28" s="27" t="inlineStr">
        <is>
          <t>2026-10-18</t>
        </is>
      </c>
      <c r="Y428" s="27" t="inlineStr">
        <is>
          <t>C</t>
        </is>
      </c>
      <c r="Z428" s="27" t="n">
        <v>82.59999999999999</v>
      </c>
      <c r="AA428" s="27" t="inlineStr">
        <is>
          <t>Qualified</t>
        </is>
      </c>
      <c r="AB428" s="27" t="inlineStr"/>
      <c r="AC428" s="28">
        <f>IF(A428="","",IF(COUNTIF($H$5:$H$1004,H428)&gt;1,"DUPLICATE","UNIQUE"))</f>
        <v/>
      </c>
      <c r="AD428" s="28">
        <f>IF(A428="","",IF(AA428="Rejected",IF(AB428&lt;&gt;"","REJECTED","ADD REASON"),IF(AND(B428&lt;&gt;"",C428&lt;&gt;"",D428&lt;&gt;"",E428&lt;&gt;"",F428&lt;&gt;"",G428&lt;&gt;"",H428&lt;&gt;"",J428&lt;&gt;"",K428&lt;&gt;"",N428&lt;&gt;"",O428&lt;&gt;"",P428&lt;&gt;"",Q428&lt;&gt;"",R428&lt;&gt;"",S428&lt;&gt;"",T428&lt;&gt;"",V428&lt;&gt;"",W428&lt;&gt;"",X428&lt;&gt;"",Y428&lt;&gt;""),"COMPLETE","MISSING FIELDS")))</f>
        <v/>
      </c>
    </row>
    <row r="429" ht="15" customHeight="1" s="15">
      <c r="A429" s="27" t="inlineStr">
        <is>
          <t>LEAD-0425</t>
        </is>
      </c>
      <c r="B429" s="27" t="inlineStr">
        <is>
          <t>Julian Wellington</t>
        </is>
      </c>
      <c r="C429" s="27" t="inlineStr">
        <is>
          <t>Expert-Led Creator</t>
        </is>
      </c>
      <c r="D429" s="27" t="inlineStr">
        <is>
          <t>US</t>
        </is>
      </c>
      <c r="E429" s="27" t="inlineStr">
        <is>
          <t>English</t>
        </is>
      </c>
      <c r="F429" s="27" t="inlineStr">
        <is>
          <t>LinkedIn</t>
        </is>
      </c>
      <c r="G429" s="27" t="inlineStr">
        <is>
          <t>https://www.linkedin.com/in/julianwellington</t>
        </is>
      </c>
      <c r="H429" s="27" t="inlineStr">
        <is>
          <t>LI-julianwellington-0425</t>
        </is>
      </c>
      <c r="I429" s="27" t="inlineStr">
        <is>
          <t>36,000</t>
        </is>
      </c>
      <c r="J429" s="27" t="inlineStr">
        <is>
          <t>2026-10-11</t>
        </is>
      </c>
      <c r="K429" s="27" t="inlineStr">
        <is>
          <t>https://julianwellington.com/posts/126</t>
        </is>
      </c>
      <c r="L429" s="27" t="n">
        <v>13</v>
      </c>
      <c r="M429" s="27" t="n">
        <v>27</v>
      </c>
      <c r="N429" s="27" t="inlineStr">
        <is>
          <t>Newsletter Subscription</t>
        </is>
      </c>
      <c r="O429" s="27" t="inlineStr">
        <is>
          <t>https://julianwellington.com/subscribe</t>
        </is>
      </c>
      <c r="P429" s="27" t="inlineStr">
        <is>
          <t>Editing Backlog &amp; Team Workflow Overhead</t>
        </is>
      </c>
      <c r="Q429" s="27" t="inlineStr">
        <is>
          <t>https://julianwellington.com/highlights</t>
        </is>
      </c>
      <c r="R429" s="27" t="inlineStr">
        <is>
          <t>LinkedIn</t>
        </is>
      </c>
      <c r="S429" s="27" t="inlineStr">
        <is>
          <t>https://linkedin.com/in/julianwellington</t>
        </is>
      </c>
      <c r="T429" s="27" t="inlineStr">
        <is>
          <t>https://julianwellington.com/about</t>
        </is>
      </c>
      <c r="U429" s="27" t="inlineStr">
        <is>
          <t>Email</t>
        </is>
      </c>
      <c r="V429" s="27" t="inlineStr">
        <is>
          <t>b2b marketing &amp; sales frameworks, specifically regarding episode 26 on B2B Marketing &amp; Sales workflow optimization</t>
        </is>
      </c>
      <c r="W429" s="27" t="inlineStr">
        <is>
          <t>Hi Julian, loved your recent piece on 'b2b marketing &amp; sales frameworks, specifically regarding episode 26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29" s="27" t="inlineStr">
        <is>
          <t>2026-10-18</t>
        </is>
      </c>
      <c r="Y429" s="27" t="inlineStr">
        <is>
          <t>C</t>
        </is>
      </c>
      <c r="Z429" s="27" t="n">
        <v>82.5</v>
      </c>
      <c r="AA429" s="27" t="inlineStr">
        <is>
          <t>Qualified</t>
        </is>
      </c>
      <c r="AB429" s="27" t="inlineStr"/>
      <c r="AC429" s="28">
        <f>IF(A429="","",IF(COUNTIF($H$5:$H$1004,H429)&gt;1,"DUPLICATE","UNIQUE"))</f>
        <v/>
      </c>
      <c r="AD429" s="28">
        <f>IF(A429="","",IF(AA429="Rejected",IF(AB429&lt;&gt;"","REJECTED","ADD REASON"),IF(AND(B429&lt;&gt;"",C429&lt;&gt;"",D429&lt;&gt;"",E429&lt;&gt;"",F429&lt;&gt;"",G429&lt;&gt;"",H429&lt;&gt;"",J429&lt;&gt;"",K429&lt;&gt;"",N429&lt;&gt;"",O429&lt;&gt;"",P429&lt;&gt;"",Q429&lt;&gt;"",R429&lt;&gt;"",S429&lt;&gt;"",T429&lt;&gt;"",V429&lt;&gt;"",W429&lt;&gt;"",X429&lt;&gt;"",Y429&lt;&gt;""),"COMPLETE","MISSING FIELDS")))</f>
        <v/>
      </c>
    </row>
    <row r="430" ht="15" customHeight="1" s="15">
      <c r="A430" s="27" t="inlineStr">
        <is>
          <t>LEAD-0426</t>
        </is>
      </c>
      <c r="B430" s="27" t="inlineStr">
        <is>
          <t>Kieran Ashford</t>
        </is>
      </c>
      <c r="C430" s="27" t="inlineStr">
        <is>
          <t>YouTuber</t>
        </is>
      </c>
      <c r="D430" s="27" t="inlineStr">
        <is>
          <t>US</t>
        </is>
      </c>
      <c r="E430" s="27" t="inlineStr">
        <is>
          <t>English</t>
        </is>
      </c>
      <c r="F430" s="27" t="inlineStr">
        <is>
          <t>YouTube</t>
        </is>
      </c>
      <c r="G430" s="27" t="inlineStr">
        <is>
          <t>https://www.youtube.com/@kieranashford</t>
        </is>
      </c>
      <c r="H430" s="27" t="inlineStr">
        <is>
          <t>UCUS00426993207</t>
        </is>
      </c>
      <c r="I430" s="27" t="inlineStr">
        <is>
          <t>140,000</t>
        </is>
      </c>
      <c r="J430" s="27" t="inlineStr">
        <is>
          <t>2026-10-12</t>
        </is>
      </c>
      <c r="K430" s="27" t="inlineStr">
        <is>
          <t>https://www.youtube.com/watch?v=us00426</t>
        </is>
      </c>
      <c r="L430" s="27" t="n">
        <v>14</v>
      </c>
      <c r="M430" s="27" t="n">
        <v>28</v>
      </c>
      <c r="N430" s="27" t="inlineStr">
        <is>
          <t>Affiliate</t>
        </is>
      </c>
      <c r="O430" s="27" t="inlineStr">
        <is>
          <t>https://kieranashford.com/resources</t>
        </is>
      </c>
      <c r="P430" s="27" t="inlineStr">
        <is>
          <t>Multilingual Audio Dubbing</t>
        </is>
      </c>
      <c r="Q430" s="27" t="inlineStr">
        <is>
          <t>https://kieranashford.com/highlights</t>
        </is>
      </c>
      <c r="R430" s="27" t="inlineStr">
        <is>
          <t>X (Twitter)</t>
        </is>
      </c>
      <c r="S430" s="27" t="inlineStr">
        <is>
          <t>https://x.com/kieranashford</t>
        </is>
      </c>
      <c r="T430" s="27" t="inlineStr">
        <is>
          <t>https://kieranashford.com/links</t>
        </is>
      </c>
      <c r="U430" s="27" t="inlineStr">
        <is>
          <t>LinkedIn</t>
        </is>
      </c>
      <c r="V430" s="27" t="inlineStr">
        <is>
          <t>finance &amp; wealth engineering frameworks, specifically regarding episode 27 on Finance &amp; Wealth Engineering workflow optimization</t>
        </is>
      </c>
      <c r="W430" s="27" t="inlineStr">
        <is>
          <t>Hi Kieran,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30" s="27" t="inlineStr">
        <is>
          <t>2026-10-18</t>
        </is>
      </c>
      <c r="Y430" s="27" t="inlineStr">
        <is>
          <t>C</t>
        </is>
      </c>
      <c r="Z430" s="27" t="n">
        <v>82.40000000000001</v>
      </c>
      <c r="AA430" s="27" t="inlineStr">
        <is>
          <t>Qualified</t>
        </is>
      </c>
      <c r="AB430" s="27" t="inlineStr"/>
      <c r="AC430" s="28">
        <f>IF(A430="","",IF(COUNTIF($H$5:$H$1004,H430)&gt;1,"DUPLICATE","UNIQUE"))</f>
        <v/>
      </c>
      <c r="AD430" s="28">
        <f>IF(A430="","",IF(AA430="Rejected",IF(AB430&lt;&gt;"","REJECTED","ADD REASON"),IF(AND(B430&lt;&gt;"",C430&lt;&gt;"",D430&lt;&gt;"",E430&lt;&gt;"",F430&lt;&gt;"",G430&lt;&gt;"",H430&lt;&gt;"",J430&lt;&gt;"",K430&lt;&gt;"",N430&lt;&gt;"",O430&lt;&gt;"",P430&lt;&gt;"",Q430&lt;&gt;"",R430&lt;&gt;"",S430&lt;&gt;"",T430&lt;&gt;"",V430&lt;&gt;"",W430&lt;&gt;"",X430&lt;&gt;"",Y430&lt;&gt;""),"COMPLETE","MISSING FIELDS")))</f>
        <v/>
      </c>
    </row>
    <row r="431" ht="15" customHeight="1" s="15">
      <c r="A431" s="27" t="inlineStr">
        <is>
          <t>LEAD-0427</t>
        </is>
      </c>
      <c r="B431" s="27" t="inlineStr">
        <is>
          <t>Kieran Bancroft</t>
        </is>
      </c>
      <c r="C431" s="27" t="inlineStr">
        <is>
          <t>Podcaster</t>
        </is>
      </c>
      <c r="D431" s="27" t="inlineStr">
        <is>
          <t>US</t>
        </is>
      </c>
      <c r="E431" s="27" t="inlineStr">
        <is>
          <t>English</t>
        </is>
      </c>
      <c r="F431" s="27" t="inlineStr">
        <is>
          <t>Apple Podcasts</t>
        </is>
      </c>
      <c r="G431" s="27" t="inlineStr">
        <is>
          <t>https://podcasts.apple.com/us/podcast/kieranbancroft/id1000427</t>
        </is>
      </c>
      <c r="H431" s="27" t="inlineStr">
        <is>
          <t>AP-US-1000427</t>
        </is>
      </c>
      <c r="I431" s="27" t="inlineStr">
        <is>
          <t>36,000</t>
        </is>
      </c>
      <c r="J431" s="27" t="inlineStr">
        <is>
          <t>2026-10-13</t>
        </is>
      </c>
      <c r="K431" s="27" t="inlineStr">
        <is>
          <t>https://kieranbancroft.com/episodes/28</t>
        </is>
      </c>
      <c r="L431" s="27" t="n">
        <v>15</v>
      </c>
      <c r="M431" s="27" t="n">
        <v>29</v>
      </c>
      <c r="N431" s="27" t="inlineStr">
        <is>
          <t>Course</t>
        </is>
      </c>
      <c r="O431" s="27" t="inlineStr">
        <is>
          <t>https://kieranbancroft.com/academy</t>
        </is>
      </c>
      <c r="P431" s="27" t="inlineStr">
        <is>
          <t>Multilingual Audio Dubbing</t>
        </is>
      </c>
      <c r="Q431" s="27" t="inlineStr">
        <is>
          <t>https://kieranbancroft.com/highlights</t>
        </is>
      </c>
      <c r="R431" s="27" t="inlineStr">
        <is>
          <t>Email</t>
        </is>
      </c>
      <c r="S431" s="27" t="inlineStr">
        <is>
          <t>hello@kieranbancroft.com</t>
        </is>
      </c>
      <c r="T431" s="27" t="inlineStr">
        <is>
          <t>https://kieranbancroft.com/work-with-me</t>
        </is>
      </c>
      <c r="U431" s="27" t="inlineStr">
        <is>
          <t>LinkedIn</t>
        </is>
      </c>
      <c r="V431" s="27" t="inlineStr">
        <is>
          <t>health &amp; longevity science frameworks, specifically regarding episode 28 on Health &amp; Longevity Science workflow optimization</t>
        </is>
      </c>
      <c r="W431" s="27" t="inlineStr">
        <is>
          <t>Hi Kieran,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31" s="27" t="inlineStr">
        <is>
          <t>2026-10-18</t>
        </is>
      </c>
      <c r="Y431" s="27" t="inlineStr">
        <is>
          <t>C</t>
        </is>
      </c>
      <c r="Z431" s="27" t="n">
        <v>82.40000000000001</v>
      </c>
      <c r="AA431" s="27" t="inlineStr">
        <is>
          <t>Qualified</t>
        </is>
      </c>
      <c r="AB431" s="27" t="inlineStr"/>
      <c r="AC431" s="28">
        <f>IF(A431="","",IF(COUNTIF($H$5:$H$1004,H431)&gt;1,"DUPLICATE","UNIQUE"))</f>
        <v/>
      </c>
      <c r="AD431" s="28">
        <f>IF(A431="","",IF(AA431="Rejected",IF(AB431&lt;&gt;"","REJECTED","ADD REASON"),IF(AND(B431&lt;&gt;"",C431&lt;&gt;"",D431&lt;&gt;"",E431&lt;&gt;"",F431&lt;&gt;"",G431&lt;&gt;"",H431&lt;&gt;"",J431&lt;&gt;"",K431&lt;&gt;"",N431&lt;&gt;"",O431&lt;&gt;"",P431&lt;&gt;"",Q431&lt;&gt;"",R431&lt;&gt;"",S431&lt;&gt;"",T431&lt;&gt;"",V431&lt;&gt;"",W431&lt;&gt;"",X431&lt;&gt;"",Y431&lt;&gt;""),"COMPLETE","MISSING FIELDS")))</f>
        <v/>
      </c>
    </row>
    <row r="432" ht="15" customHeight="1" s="15">
      <c r="A432" s="27" t="inlineStr">
        <is>
          <t>LEAD-0428</t>
        </is>
      </c>
      <c r="B432" s="27" t="inlineStr">
        <is>
          <t>Kieran Calloway</t>
        </is>
      </c>
      <c r="C432" s="27" t="inlineStr">
        <is>
          <t>YouTuber</t>
        </is>
      </c>
      <c r="D432" s="27" t="inlineStr">
        <is>
          <t>US</t>
        </is>
      </c>
      <c r="E432" s="27" t="inlineStr">
        <is>
          <t>English</t>
        </is>
      </c>
      <c r="F432" s="27" t="inlineStr">
        <is>
          <t>YouTube</t>
        </is>
      </c>
      <c r="G432" s="27" t="inlineStr">
        <is>
          <t>https://www.youtube.com/@kierancalloway</t>
        </is>
      </c>
      <c r="H432" s="27" t="inlineStr">
        <is>
          <t>UCUS00428246196</t>
        </is>
      </c>
      <c r="I432" s="27" t="inlineStr">
        <is>
          <t>180,000</t>
        </is>
      </c>
      <c r="J432" s="27" t="inlineStr">
        <is>
          <t>2026-10-14</t>
        </is>
      </c>
      <c r="K432" s="27" t="inlineStr">
        <is>
          <t>https://www.youtube.com/watch?v=us00428</t>
        </is>
      </c>
      <c r="L432" s="27" t="n">
        <v>16</v>
      </c>
      <c r="M432" s="27" t="n">
        <v>30</v>
      </c>
      <c r="N432" s="27" t="inlineStr">
        <is>
          <t>Sponsor</t>
        </is>
      </c>
      <c r="O432" s="27" t="inlineStr">
        <is>
          <t>https://kierancalloway.com/partners</t>
        </is>
      </c>
      <c r="P432" s="27" t="inlineStr">
        <is>
          <t>Missing Video Captions &amp; Retention Clips</t>
        </is>
      </c>
      <c r="Q432" s="27" t="inlineStr">
        <is>
          <t>https://kierancalloway.com/highlights</t>
        </is>
      </c>
      <c r="R432" s="27" t="inlineStr">
        <is>
          <t>Email</t>
        </is>
      </c>
      <c r="S432" s="27" t="inlineStr">
        <is>
          <t>contact@kierancalloway.com</t>
        </is>
      </c>
      <c r="T432" s="27" t="inlineStr">
        <is>
          <t>https://kierancalloway.com/contact</t>
        </is>
      </c>
      <c r="U432" s="27" t="inlineStr">
        <is>
          <t>LinkedIn</t>
        </is>
      </c>
      <c r="V432" s="27" t="inlineStr">
        <is>
          <t>education &amp; applied coding frameworks, specifically regarding episode 29 on Education &amp; Applied Coding workflow optimization</t>
        </is>
      </c>
      <c r="W432" s="27" t="inlineStr">
        <is>
          <t>Hi Kieran,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32" s="27" t="inlineStr">
        <is>
          <t>2026-10-18</t>
        </is>
      </c>
      <c r="Y432" s="27" t="inlineStr">
        <is>
          <t>C</t>
        </is>
      </c>
      <c r="Z432" s="27" t="n">
        <v>82.3</v>
      </c>
      <c r="AA432" s="27" t="inlineStr">
        <is>
          <t>Qualified</t>
        </is>
      </c>
      <c r="AB432" s="27" t="inlineStr"/>
      <c r="AC432" s="28">
        <f>IF(A432="","",IF(COUNTIF($H$5:$H$1004,H432)&gt;1,"DUPLICATE","UNIQUE"))</f>
        <v/>
      </c>
      <c r="AD432" s="28">
        <f>IF(A432="","",IF(AA432="Rejected",IF(AB432&lt;&gt;"","REJECTED","ADD REASON"),IF(AND(B432&lt;&gt;"",C432&lt;&gt;"",D432&lt;&gt;"",E432&lt;&gt;"",F432&lt;&gt;"",G432&lt;&gt;"",H432&lt;&gt;"",J432&lt;&gt;"",K432&lt;&gt;"",N432&lt;&gt;"",O432&lt;&gt;"",P432&lt;&gt;"",Q432&lt;&gt;"",R432&lt;&gt;"",S432&lt;&gt;"",T432&lt;&gt;"",V432&lt;&gt;"",W432&lt;&gt;"",X432&lt;&gt;"",Y432&lt;&gt;""),"COMPLETE","MISSING FIELDS")))</f>
        <v/>
      </c>
    </row>
    <row r="433" ht="15" customHeight="1" s="15">
      <c r="A433" s="27" t="inlineStr">
        <is>
          <t>LEAD-0429</t>
        </is>
      </c>
      <c r="B433" s="27" t="inlineStr">
        <is>
          <t>Kieran Delaney</t>
        </is>
      </c>
      <c r="C433" s="27" t="inlineStr">
        <is>
          <t>Podcaster</t>
        </is>
      </c>
      <c r="D433" s="27" t="inlineStr">
        <is>
          <t>US</t>
        </is>
      </c>
      <c r="E433" s="27" t="inlineStr">
        <is>
          <t>English</t>
        </is>
      </c>
      <c r="F433" s="27" t="inlineStr">
        <is>
          <t>Apple Podcasts</t>
        </is>
      </c>
      <c r="G433" s="27" t="inlineStr">
        <is>
          <t>https://podcasts.apple.com/us/podcast/kierandelaney/id1000429</t>
        </is>
      </c>
      <c r="H433" s="27" t="inlineStr">
        <is>
          <t>AP-US-1000429</t>
        </is>
      </c>
      <c r="I433" s="27" t="inlineStr">
        <is>
          <t>60,000</t>
        </is>
      </c>
      <c r="J433" s="27" t="inlineStr">
        <is>
          <t>2026-10-15</t>
        </is>
      </c>
      <c r="K433" s="27" t="inlineStr">
        <is>
          <t>https://kierandelaney.com/episodes/30</t>
        </is>
      </c>
      <c r="L433" s="27" t="n">
        <v>17</v>
      </c>
      <c r="M433" s="27" t="n">
        <v>31</v>
      </c>
      <c r="N433" s="27" t="inlineStr">
        <is>
          <t>Membership</t>
        </is>
      </c>
      <c r="O433" s="27" t="inlineStr">
        <is>
          <t>https://kierandelaney.com/community</t>
        </is>
      </c>
      <c r="P433" s="27" t="inlineStr">
        <is>
          <t>Shorts Repurposing Bottleneck</t>
        </is>
      </c>
      <c r="Q433" s="27" t="inlineStr">
        <is>
          <t>https://kierandelaney.com/highlights</t>
        </is>
      </c>
      <c r="R433" s="27" t="inlineStr">
        <is>
          <t>LinkedIn</t>
        </is>
      </c>
      <c r="S433" s="27" t="inlineStr">
        <is>
          <t>https://linkedin.com/in/kierandelaney</t>
        </is>
      </c>
      <c r="T433" s="27" t="inlineStr">
        <is>
          <t>https://kierandelaney.com/about</t>
        </is>
      </c>
      <c r="U433" s="27" t="inlineStr">
        <is>
          <t>Email</t>
        </is>
      </c>
      <c r="V433" s="27" t="inlineStr">
        <is>
          <t>e-commerce &amp; digital brands frameworks, specifically regarding episode 30 on E-Commerce &amp; Digital Brands workflow optimization</t>
        </is>
      </c>
      <c r="W433" s="27" t="inlineStr">
        <is>
          <t>Hi Kieran,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33" s="27" t="inlineStr">
        <is>
          <t>2026-10-18</t>
        </is>
      </c>
      <c r="Y433" s="27" t="inlineStr">
        <is>
          <t>C</t>
        </is>
      </c>
      <c r="Z433" s="27" t="n">
        <v>82.3</v>
      </c>
      <c r="AA433" s="27" t="inlineStr">
        <is>
          <t>Qualified</t>
        </is>
      </c>
      <c r="AB433" s="27" t="inlineStr"/>
      <c r="AC433" s="28">
        <f>IF(A433="","",IF(COUNTIF($H$5:$H$1004,H433)&gt;1,"DUPLICATE","UNIQUE"))</f>
        <v/>
      </c>
      <c r="AD433" s="28">
        <f>IF(A433="","",IF(AA433="Rejected",IF(AB433&lt;&gt;"","REJECTED","ADD REASON"),IF(AND(B433&lt;&gt;"",C433&lt;&gt;"",D433&lt;&gt;"",E433&lt;&gt;"",F433&lt;&gt;"",G433&lt;&gt;"",H433&lt;&gt;"",J433&lt;&gt;"",K433&lt;&gt;"",N433&lt;&gt;"",O433&lt;&gt;"",P433&lt;&gt;"",Q433&lt;&gt;"",R433&lt;&gt;"",S433&lt;&gt;"",T433&lt;&gt;"",V433&lt;&gt;"",W433&lt;&gt;"",X433&lt;&gt;"",Y433&lt;&gt;""),"COMPLETE","MISSING FIELDS")))</f>
        <v/>
      </c>
    </row>
    <row r="434" ht="15" customHeight="1" s="15">
      <c r="A434" s="27" t="inlineStr">
        <is>
          <t>LEAD-0430</t>
        </is>
      </c>
      <c r="B434" s="27" t="inlineStr">
        <is>
          <t>Kieran Eastwood</t>
        </is>
      </c>
      <c r="C434" s="27" t="inlineStr">
        <is>
          <t>YouTuber</t>
        </is>
      </c>
      <c r="D434" s="27" t="inlineStr">
        <is>
          <t>US</t>
        </is>
      </c>
      <c r="E434" s="27" t="inlineStr">
        <is>
          <t>English</t>
        </is>
      </c>
      <c r="F434" s="27" t="inlineStr">
        <is>
          <t>YouTube</t>
        </is>
      </c>
      <c r="G434" s="27" t="inlineStr">
        <is>
          <t>https://www.youtube.com/@kieraneastwood</t>
        </is>
      </c>
      <c r="H434" s="27" t="inlineStr">
        <is>
          <t>UCUS00430290948</t>
        </is>
      </c>
      <c r="I434" s="27" t="inlineStr">
        <is>
          <t>220,000</t>
        </is>
      </c>
      <c r="J434" s="27" t="inlineStr">
        <is>
          <t>2026-10-16</t>
        </is>
      </c>
      <c r="K434" s="27" t="inlineStr">
        <is>
          <t>https://www.youtube.com/watch?v=us00430</t>
        </is>
      </c>
      <c r="L434" s="27" t="n">
        <v>8</v>
      </c>
      <c r="M434" s="27" t="n">
        <v>32</v>
      </c>
      <c r="N434" s="27" t="inlineStr">
        <is>
          <t>Product</t>
        </is>
      </c>
      <c r="O434" s="27" t="inlineStr">
        <is>
          <t>https://kieraneastwood.com/shop</t>
        </is>
      </c>
      <c r="P434" s="27" t="inlineStr">
        <is>
          <t>Shorts Repurposing Bottleneck</t>
        </is>
      </c>
      <c r="Q434" s="27" t="inlineStr">
        <is>
          <t>https://kieraneastwood.com/highlights</t>
        </is>
      </c>
      <c r="R434" s="27" t="inlineStr">
        <is>
          <t>X (Twitter)</t>
        </is>
      </c>
      <c r="S434" s="27" t="inlineStr">
        <is>
          <t>https://x.com/kieraneastwood</t>
        </is>
      </c>
      <c r="T434" s="27" t="inlineStr">
        <is>
          <t>https://kieraneastwood.com/links</t>
        </is>
      </c>
      <c r="U434" s="27" t="inlineStr">
        <is>
          <t>LinkedIn</t>
        </is>
      </c>
      <c r="V434" s="27" t="inlineStr">
        <is>
          <t>tech &amp; ai frameworks, specifically regarding episode 31 on Tech &amp; AI workflow optimization</t>
        </is>
      </c>
      <c r="W434" s="27" t="inlineStr">
        <is>
          <t>Hi Kieran,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34" s="27" t="inlineStr">
        <is>
          <t>2026-10-18</t>
        </is>
      </c>
      <c r="Y434" s="27" t="inlineStr">
        <is>
          <t>C</t>
        </is>
      </c>
      <c r="Z434" s="27" t="n">
        <v>82.2</v>
      </c>
      <c r="AA434" s="27" t="inlineStr">
        <is>
          <t>Qualified</t>
        </is>
      </c>
      <c r="AB434" s="27" t="inlineStr"/>
      <c r="AC434" s="28">
        <f>IF(A434="","",IF(COUNTIF($H$5:$H$1004,H434)&gt;1,"DUPLICATE","UNIQUE"))</f>
        <v/>
      </c>
      <c r="AD434" s="28">
        <f>IF(A434="","",IF(AA434="Rejected",IF(AB434&lt;&gt;"","REJECTED","ADD REASON"),IF(AND(B434&lt;&gt;"",C434&lt;&gt;"",D434&lt;&gt;"",E434&lt;&gt;"",F434&lt;&gt;"",G434&lt;&gt;"",H434&lt;&gt;"",J434&lt;&gt;"",K434&lt;&gt;"",N434&lt;&gt;"",O434&lt;&gt;"",P434&lt;&gt;"",Q434&lt;&gt;"",R434&lt;&gt;"",S434&lt;&gt;"",T434&lt;&gt;"",V434&lt;&gt;"",W434&lt;&gt;"",X434&lt;&gt;"",Y434&lt;&gt;""),"COMPLETE","MISSING FIELDS")))</f>
        <v/>
      </c>
    </row>
    <row r="435" ht="15" customHeight="1" s="15">
      <c r="A435" s="27" t="inlineStr">
        <is>
          <t>LEAD-0431</t>
        </is>
      </c>
      <c r="B435" s="27" t="inlineStr">
        <is>
          <t>Kieran Fairchild</t>
        </is>
      </c>
      <c r="C435" s="27" t="inlineStr">
        <is>
          <t>Podcaster</t>
        </is>
      </c>
      <c r="D435" s="27" t="inlineStr">
        <is>
          <t>US</t>
        </is>
      </c>
      <c r="E435" s="27" t="inlineStr">
        <is>
          <t>English</t>
        </is>
      </c>
      <c r="F435" s="27" t="inlineStr">
        <is>
          <t>Apple Podcasts</t>
        </is>
      </c>
      <c r="G435" s="27" t="inlineStr">
        <is>
          <t>https://podcasts.apple.com/us/podcast/kieranfairchild/id1000431</t>
        </is>
      </c>
      <c r="H435" s="27" t="inlineStr">
        <is>
          <t>AP-US-1000431</t>
        </is>
      </c>
      <c r="I435" s="27" t="inlineStr">
        <is>
          <t>84,000</t>
        </is>
      </c>
      <c r="J435" s="27" t="inlineStr">
        <is>
          <t>2026-10-17</t>
        </is>
      </c>
      <c r="K435" s="27" t="inlineStr">
        <is>
          <t>https://kieranfairchild.com/episodes/32</t>
        </is>
      </c>
      <c r="L435" s="27" t="n">
        <v>9</v>
      </c>
      <c r="M435" s="27" t="n">
        <v>33</v>
      </c>
      <c r="N435" s="27" t="inlineStr">
        <is>
          <t>Consulting</t>
        </is>
      </c>
      <c r="O435" s="27" t="inlineStr">
        <is>
          <t>https://kieranfairchild.com/advisory</t>
        </is>
      </c>
      <c r="P435" s="27" t="inlineStr">
        <is>
          <t>Missing Video Captions &amp; Retention Clips</t>
        </is>
      </c>
      <c r="Q435" s="27" t="inlineStr">
        <is>
          <t>https://kieranfairchild.com/highlights</t>
        </is>
      </c>
      <c r="R435" s="27" t="inlineStr">
        <is>
          <t>Email</t>
        </is>
      </c>
      <c r="S435" s="27" t="inlineStr">
        <is>
          <t>hello@kieranfairchild.com</t>
        </is>
      </c>
      <c r="T435" s="27" t="inlineStr">
        <is>
          <t>https://kieranfairchild.com/work-with-me</t>
        </is>
      </c>
      <c r="U435" s="27" t="inlineStr">
        <is>
          <t>LinkedIn</t>
        </is>
      </c>
      <c r="V435" s="27" t="inlineStr">
        <is>
          <t>saas &amp; product growth frameworks, specifically regarding episode 32 on SaaS &amp; Product Growth workflow optimization</t>
        </is>
      </c>
      <c r="W435" s="27" t="inlineStr">
        <is>
          <t>Hi Kieran,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35" s="27" t="inlineStr">
        <is>
          <t>2026-10-18</t>
        </is>
      </c>
      <c r="Y435" s="27" t="inlineStr">
        <is>
          <t>C</t>
        </is>
      </c>
      <c r="Z435" s="27" t="n">
        <v>82.09999999999999</v>
      </c>
      <c r="AA435" s="27" t="inlineStr">
        <is>
          <t>Qualified</t>
        </is>
      </c>
      <c r="AB435" s="27" t="inlineStr"/>
      <c r="AC435" s="28">
        <f>IF(A435="","",IF(COUNTIF($H$5:$H$1004,H435)&gt;1,"DUPLICATE","UNIQUE"))</f>
        <v/>
      </c>
      <c r="AD435" s="28">
        <f>IF(A435="","",IF(AA435="Rejected",IF(AB435&lt;&gt;"","REJECTED","ADD REASON"),IF(AND(B435&lt;&gt;"",C435&lt;&gt;"",D435&lt;&gt;"",E435&lt;&gt;"",F435&lt;&gt;"",G435&lt;&gt;"",H435&lt;&gt;"",J435&lt;&gt;"",K435&lt;&gt;"",N435&lt;&gt;"",O435&lt;&gt;"",P435&lt;&gt;"",Q435&lt;&gt;"",R435&lt;&gt;"",S435&lt;&gt;"",T435&lt;&gt;"",V435&lt;&gt;"",W435&lt;&gt;"",X435&lt;&gt;"",Y435&lt;&gt;""),"COMPLETE","MISSING FIELDS")))</f>
        <v/>
      </c>
    </row>
    <row r="436" ht="15" customHeight="1" s="15">
      <c r="A436" s="27" t="inlineStr">
        <is>
          <t>LEAD-0432</t>
        </is>
      </c>
      <c r="B436" s="27" t="inlineStr">
        <is>
          <t>Kieran Gallagher</t>
        </is>
      </c>
      <c r="C436" s="27" t="inlineStr">
        <is>
          <t>Expert-Led Creator</t>
        </is>
      </c>
      <c r="D436" s="27" t="inlineStr">
        <is>
          <t>US</t>
        </is>
      </c>
      <c r="E436" s="27" t="inlineStr">
        <is>
          <t>English</t>
        </is>
      </c>
      <c r="F436" s="27" t="inlineStr">
        <is>
          <t>YouTube</t>
        </is>
      </c>
      <c r="G436" s="27" t="inlineStr">
        <is>
          <t>https://www.youtube.com/@kierangallagher</t>
        </is>
      </c>
      <c r="H436" s="27" t="inlineStr">
        <is>
          <t>UCUS00432854475</t>
        </is>
      </c>
      <c r="I436" s="27" t="inlineStr">
        <is>
          <t>260,000</t>
        </is>
      </c>
      <c r="J436" s="27" t="inlineStr">
        <is>
          <t>2026-10-10</t>
        </is>
      </c>
      <c r="K436" s="27" t="inlineStr">
        <is>
          <t>https://www.youtube.com/watch?v=us00432</t>
        </is>
      </c>
      <c r="L436" s="27" t="n">
        <v>10</v>
      </c>
      <c r="M436" s="27" t="n">
        <v>16</v>
      </c>
      <c r="N436" s="27" t="inlineStr">
        <is>
          <t>Newsletter Subscription</t>
        </is>
      </c>
      <c r="O436" s="27" t="inlineStr">
        <is>
          <t>https://kierangallagher.com/subscribe</t>
        </is>
      </c>
      <c r="P436" s="27" t="inlineStr">
        <is>
          <t>Editing Backlog &amp; Team Workflow Overhead</t>
        </is>
      </c>
      <c r="Q436" s="27" t="inlineStr">
        <is>
          <t>https://kierangallagher.com/highlights</t>
        </is>
      </c>
      <c r="R436" s="27" t="inlineStr">
        <is>
          <t>Email</t>
        </is>
      </c>
      <c r="S436" s="27" t="inlineStr">
        <is>
          <t>contact@kierangallagher.com</t>
        </is>
      </c>
      <c r="T436" s="27" t="inlineStr">
        <is>
          <t>https://kierangallagher.com/contact</t>
        </is>
      </c>
      <c r="U436" s="27" t="inlineStr">
        <is>
          <t>LinkedIn</t>
        </is>
      </c>
      <c r="V436" s="27" t="inlineStr">
        <is>
          <t>creator business &amp; monetization frameworks, specifically regarding episode 33 on Creator Business &amp; Monetization workflow optimization</t>
        </is>
      </c>
      <c r="W436" s="27" t="inlineStr">
        <is>
          <t>Hi Kieran,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36" s="27" t="inlineStr">
        <is>
          <t>2026-10-18</t>
        </is>
      </c>
      <c r="Y436" s="27" t="inlineStr">
        <is>
          <t>C</t>
        </is>
      </c>
      <c r="Z436" s="27" t="n">
        <v>82.09999999999999</v>
      </c>
      <c r="AA436" s="27" t="inlineStr">
        <is>
          <t>Qualified</t>
        </is>
      </c>
      <c r="AB436" s="27" t="inlineStr"/>
      <c r="AC436" s="28">
        <f>IF(A436="","",IF(COUNTIF($H$5:$H$1004,H436)&gt;1,"DUPLICATE","UNIQUE"))</f>
        <v/>
      </c>
      <c r="AD436" s="28">
        <f>IF(A436="","",IF(AA436="Rejected",IF(AB436&lt;&gt;"","REJECTED","ADD REASON"),IF(AND(B436&lt;&gt;"",C436&lt;&gt;"",D436&lt;&gt;"",E436&lt;&gt;"",F436&lt;&gt;"",G436&lt;&gt;"",H436&lt;&gt;"",J436&lt;&gt;"",K436&lt;&gt;"",N436&lt;&gt;"",O436&lt;&gt;"",P436&lt;&gt;"",Q436&lt;&gt;"",R436&lt;&gt;"",S436&lt;&gt;"",T436&lt;&gt;"",V436&lt;&gt;"",W436&lt;&gt;"",X436&lt;&gt;"",Y436&lt;&gt;""),"COMPLETE","MISSING FIELDS")))</f>
        <v/>
      </c>
    </row>
    <row r="437" ht="15" customHeight="1" s="15">
      <c r="A437" s="27" t="inlineStr">
        <is>
          <t>LEAD-0433</t>
        </is>
      </c>
      <c r="B437" s="27" t="inlineStr">
        <is>
          <t>Kieran Hawthorne</t>
        </is>
      </c>
      <c r="C437" s="27" t="inlineStr">
        <is>
          <t>YouTuber</t>
        </is>
      </c>
      <c r="D437" s="27" t="inlineStr">
        <is>
          <t>US</t>
        </is>
      </c>
      <c r="E437" s="27" t="inlineStr">
        <is>
          <t>English</t>
        </is>
      </c>
      <c r="F437" s="27" t="inlineStr">
        <is>
          <t>YouTube</t>
        </is>
      </c>
      <c r="G437" s="27" t="inlineStr">
        <is>
          <t>https://www.youtube.com/@kieranhawthorne</t>
        </is>
      </c>
      <c r="H437" s="27" t="inlineStr">
        <is>
          <t>UCUS00433174474</t>
        </is>
      </c>
      <c r="I437" s="27" t="inlineStr">
        <is>
          <t>280,000</t>
        </is>
      </c>
      <c r="J437" s="27" t="inlineStr">
        <is>
          <t>2026-10-11</t>
        </is>
      </c>
      <c r="K437" s="27" t="inlineStr">
        <is>
          <t>https://www.youtube.com/watch?v=us00433</t>
        </is>
      </c>
      <c r="L437" s="27" t="n">
        <v>11</v>
      </c>
      <c r="M437" s="27" t="n">
        <v>17</v>
      </c>
      <c r="N437" s="27" t="inlineStr">
        <is>
          <t>Affiliate</t>
        </is>
      </c>
      <c r="O437" s="27" t="inlineStr">
        <is>
          <t>https://kieranhawthorne.com/resources</t>
        </is>
      </c>
      <c r="P437" s="27" t="inlineStr">
        <is>
          <t>Shorts Repurposing Bottleneck</t>
        </is>
      </c>
      <c r="Q437" s="27" t="inlineStr">
        <is>
          <t>https://kieranhawthorne.com/highlights</t>
        </is>
      </c>
      <c r="R437" s="27" t="inlineStr">
        <is>
          <t>LinkedIn</t>
        </is>
      </c>
      <c r="S437" s="27" t="inlineStr">
        <is>
          <t>https://linkedin.com/in/kieranhawthorne</t>
        </is>
      </c>
      <c r="T437" s="27" t="inlineStr">
        <is>
          <t>https://kieranhawthorne.com/about</t>
        </is>
      </c>
      <c r="U437" s="27" t="inlineStr">
        <is>
          <t>Email</t>
        </is>
      </c>
      <c r="V437" s="27" t="inlineStr">
        <is>
          <t>productivity &amp; personal systems frameworks, specifically regarding episode 34 on Productivity &amp; Personal Systems workflow optimization</t>
        </is>
      </c>
      <c r="W437" s="27" t="inlineStr">
        <is>
          <t>Hi Kieran,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37" s="27" t="inlineStr">
        <is>
          <t>2026-10-18</t>
        </is>
      </c>
      <c r="Y437" s="27" t="inlineStr">
        <is>
          <t>C</t>
        </is>
      </c>
      <c r="Z437" s="27" t="n">
        <v>82</v>
      </c>
      <c r="AA437" s="27" t="inlineStr">
        <is>
          <t>Qualified</t>
        </is>
      </c>
      <c r="AB437" s="27" t="inlineStr"/>
      <c r="AC437" s="28">
        <f>IF(A437="","",IF(COUNTIF($H$5:$H$1004,H437)&gt;1,"DUPLICATE","UNIQUE"))</f>
        <v/>
      </c>
      <c r="AD437" s="28">
        <f>IF(A437="","",IF(AA437="Rejected",IF(AB437&lt;&gt;"","REJECTED","ADD REASON"),IF(AND(B437&lt;&gt;"",C437&lt;&gt;"",D437&lt;&gt;"",E437&lt;&gt;"",F437&lt;&gt;"",G437&lt;&gt;"",H437&lt;&gt;"",J437&lt;&gt;"",K437&lt;&gt;"",N437&lt;&gt;"",O437&lt;&gt;"",P437&lt;&gt;"",Q437&lt;&gt;"",R437&lt;&gt;"",S437&lt;&gt;"",T437&lt;&gt;"",V437&lt;&gt;"",W437&lt;&gt;"",X437&lt;&gt;"",Y437&lt;&gt;""),"COMPLETE","MISSING FIELDS")))</f>
        <v/>
      </c>
    </row>
    <row r="438" ht="15" customHeight="1" s="15">
      <c r="A438" s="27" t="inlineStr">
        <is>
          <t>LEAD-0434</t>
        </is>
      </c>
      <c r="B438" s="27" t="inlineStr">
        <is>
          <t>Kieran Ingram</t>
        </is>
      </c>
      <c r="C438" s="27" t="inlineStr">
        <is>
          <t>Podcaster</t>
        </is>
      </c>
      <c r="D438" s="27" t="inlineStr">
        <is>
          <t>US</t>
        </is>
      </c>
      <c r="E438" s="27" t="inlineStr">
        <is>
          <t>English</t>
        </is>
      </c>
      <c r="F438" s="27" t="inlineStr">
        <is>
          <t>Apple Podcasts</t>
        </is>
      </c>
      <c r="G438" s="27" t="inlineStr">
        <is>
          <t>https://podcasts.apple.com/us/podcast/kieraningram/id1000434</t>
        </is>
      </c>
      <c r="H438" s="27" t="inlineStr">
        <is>
          <t>AP-US-1000434</t>
        </is>
      </c>
      <c r="I438" s="27" t="inlineStr">
        <is>
          <t>120,000</t>
        </is>
      </c>
      <c r="J438" s="27" t="inlineStr">
        <is>
          <t>2026-10-12</t>
        </is>
      </c>
      <c r="K438" s="27" t="inlineStr">
        <is>
          <t>https://kieraningram.com/episodes/35</t>
        </is>
      </c>
      <c r="L438" s="27" t="n">
        <v>12</v>
      </c>
      <c r="M438" s="27" t="n">
        <v>18</v>
      </c>
      <c r="N438" s="27" t="inlineStr">
        <is>
          <t>Course</t>
        </is>
      </c>
      <c r="O438" s="27" t="inlineStr">
        <is>
          <t>https://kieraningram.com/academy</t>
        </is>
      </c>
      <c r="P438" s="27" t="inlineStr">
        <is>
          <t>Inconsistent Cross-Platform Publishing</t>
        </is>
      </c>
      <c r="Q438" s="27" t="inlineStr">
        <is>
          <t>https://kieraningram.com/highlights</t>
        </is>
      </c>
      <c r="R438" s="27" t="inlineStr">
        <is>
          <t>X (Twitter)</t>
        </is>
      </c>
      <c r="S438" s="27" t="inlineStr">
        <is>
          <t>https://x.com/kieraningram</t>
        </is>
      </c>
      <c r="T438" s="27" t="inlineStr">
        <is>
          <t>https://kieraningram.com/links</t>
        </is>
      </c>
      <c r="U438" s="27" t="inlineStr">
        <is>
          <t>LinkedIn</t>
        </is>
      </c>
      <c r="V438" s="27" t="inlineStr">
        <is>
          <t>leadership &amp; team ops frameworks, specifically regarding episode 35 on Leadership &amp; Team Ops workflow optimization</t>
        </is>
      </c>
      <c r="W438" s="27" t="inlineStr">
        <is>
          <t>Hi Kieran,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38" s="27" t="inlineStr">
        <is>
          <t>2026-10-18</t>
        </is>
      </c>
      <c r="Y438" s="27" t="inlineStr">
        <is>
          <t>C</t>
        </is>
      </c>
      <c r="Z438" s="27" t="n">
        <v>82</v>
      </c>
      <c r="AA438" s="27" t="inlineStr">
        <is>
          <t>Qualified</t>
        </is>
      </c>
      <c r="AB438" s="27" t="inlineStr"/>
      <c r="AC438" s="28">
        <f>IF(A438="","",IF(COUNTIF($H$5:$H$1004,H438)&gt;1,"DUPLICATE","UNIQUE"))</f>
        <v/>
      </c>
      <c r="AD438" s="28">
        <f>IF(A438="","",IF(AA438="Rejected",IF(AB438&lt;&gt;"","REJECTED","ADD REASON"),IF(AND(B438&lt;&gt;"",C438&lt;&gt;"",D438&lt;&gt;"",E438&lt;&gt;"",F438&lt;&gt;"",G438&lt;&gt;"",H438&lt;&gt;"",J438&lt;&gt;"",K438&lt;&gt;"",N438&lt;&gt;"",O438&lt;&gt;"",P438&lt;&gt;"",Q438&lt;&gt;"",R438&lt;&gt;"",S438&lt;&gt;"",T438&lt;&gt;"",V438&lt;&gt;"",W438&lt;&gt;"",X438&lt;&gt;"",Y438&lt;&gt;""),"COMPLETE","MISSING FIELDS")))</f>
        <v/>
      </c>
    </row>
    <row r="439" ht="15" customHeight="1" s="15">
      <c r="A439" s="27" t="inlineStr">
        <is>
          <t>LEAD-0435</t>
        </is>
      </c>
      <c r="B439" s="27" t="inlineStr">
        <is>
          <t>Kieran Jennings</t>
        </is>
      </c>
      <c r="C439" s="27" t="inlineStr">
        <is>
          <t>Expert-Led Creator</t>
        </is>
      </c>
      <c r="D439" s="27" t="inlineStr">
        <is>
          <t>US</t>
        </is>
      </c>
      <c r="E439" s="27" t="inlineStr">
        <is>
          <t>English</t>
        </is>
      </c>
      <c r="F439" s="27" t="inlineStr">
        <is>
          <t>LinkedIn</t>
        </is>
      </c>
      <c r="G439" s="27" t="inlineStr">
        <is>
          <t>https://www.linkedin.com/in/kieranjennings</t>
        </is>
      </c>
      <c r="H439" s="27" t="inlineStr">
        <is>
          <t>LI-kieranjennings-0435</t>
        </is>
      </c>
      <c r="I439" s="27" t="inlineStr">
        <is>
          <t>96,000</t>
        </is>
      </c>
      <c r="J439" s="27" t="inlineStr">
        <is>
          <t>2026-10-13</t>
        </is>
      </c>
      <c r="K439" s="27" t="inlineStr">
        <is>
          <t>https://kieranjennings.com/posts/136</t>
        </is>
      </c>
      <c r="L439" s="27" t="n">
        <v>13</v>
      </c>
      <c r="M439" s="27" t="n">
        <v>19</v>
      </c>
      <c r="N439" s="27" t="inlineStr">
        <is>
          <t>Sponsor</t>
        </is>
      </c>
      <c r="O439" s="27" t="inlineStr">
        <is>
          <t>https://kieranjennings.com/partners</t>
        </is>
      </c>
      <c r="P439" s="27" t="inlineStr">
        <is>
          <t>Editing Backlog &amp; Team Workflow Overhead</t>
        </is>
      </c>
      <c r="Q439" s="27" t="inlineStr">
        <is>
          <t>https://kieranjennings.com/highlights</t>
        </is>
      </c>
      <c r="R439" s="27" t="inlineStr">
        <is>
          <t>Email</t>
        </is>
      </c>
      <c r="S439" s="27" t="inlineStr">
        <is>
          <t>hello@kieranjennings.com</t>
        </is>
      </c>
      <c r="T439" s="27" t="inlineStr">
        <is>
          <t>https://kieranjennings.com/work-with-me</t>
        </is>
      </c>
      <c r="U439" s="27" t="inlineStr">
        <is>
          <t>LinkedIn</t>
        </is>
      </c>
      <c r="V439" s="27" t="inlineStr">
        <is>
          <t>b2b marketing &amp; sales frameworks, specifically regarding episode 36 on B2B Marketing &amp; Sales workflow optimization</t>
        </is>
      </c>
      <c r="W439" s="27" t="inlineStr">
        <is>
          <t>Hi Kieran,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39" s="27" t="inlineStr">
        <is>
          <t>2026-10-18</t>
        </is>
      </c>
      <c r="Y439" s="27" t="inlineStr">
        <is>
          <t>C</t>
        </is>
      </c>
      <c r="Z439" s="27" t="n">
        <v>81.90000000000001</v>
      </c>
      <c r="AA439" s="27" t="inlineStr">
        <is>
          <t>Qualified</t>
        </is>
      </c>
      <c r="AB439" s="27" t="inlineStr"/>
      <c r="AC439" s="28">
        <f>IF(A439="","",IF(COUNTIF($H$5:$H$1004,H439)&gt;1,"DUPLICATE","UNIQUE"))</f>
        <v/>
      </c>
      <c r="AD439" s="28">
        <f>IF(A439="","",IF(AA439="Rejected",IF(AB439&lt;&gt;"","REJECTED","ADD REASON"),IF(AND(B439&lt;&gt;"",C439&lt;&gt;"",D439&lt;&gt;"",E439&lt;&gt;"",F439&lt;&gt;"",G439&lt;&gt;"",H439&lt;&gt;"",J439&lt;&gt;"",K439&lt;&gt;"",N439&lt;&gt;"",O439&lt;&gt;"",P439&lt;&gt;"",Q439&lt;&gt;"",R439&lt;&gt;"",S439&lt;&gt;"",T439&lt;&gt;"",V439&lt;&gt;"",W439&lt;&gt;"",X439&lt;&gt;"",Y439&lt;&gt;""),"COMPLETE","MISSING FIELDS")))</f>
        <v/>
      </c>
    </row>
    <row r="440" ht="15" customHeight="1" s="15">
      <c r="A440" s="27" t="inlineStr">
        <is>
          <t>LEAD-0436</t>
        </is>
      </c>
      <c r="B440" s="27" t="inlineStr">
        <is>
          <t>Kieran Kingsley</t>
        </is>
      </c>
      <c r="C440" s="27" t="inlineStr">
        <is>
          <t>YouTuber</t>
        </is>
      </c>
      <c r="D440" s="27" t="inlineStr">
        <is>
          <t>US</t>
        </is>
      </c>
      <c r="E440" s="27" t="inlineStr">
        <is>
          <t>English</t>
        </is>
      </c>
      <c r="F440" s="27" t="inlineStr">
        <is>
          <t>YouTube</t>
        </is>
      </c>
      <c r="G440" s="27" t="inlineStr">
        <is>
          <t>https://www.youtube.com/@kierankingsley</t>
        </is>
      </c>
      <c r="H440" s="27" t="inlineStr">
        <is>
          <t>UCUS00436936726</t>
        </is>
      </c>
      <c r="I440" s="27" t="inlineStr">
        <is>
          <t>340,000</t>
        </is>
      </c>
      <c r="J440" s="27" t="inlineStr">
        <is>
          <t>2026-10-14</t>
        </is>
      </c>
      <c r="K440" s="27" t="inlineStr">
        <is>
          <t>https://www.youtube.com/watch?v=us00436</t>
        </is>
      </c>
      <c r="L440" s="27" t="n">
        <v>14</v>
      </c>
      <c r="M440" s="27" t="n">
        <v>20</v>
      </c>
      <c r="N440" s="27" t="inlineStr">
        <is>
          <t>Membership</t>
        </is>
      </c>
      <c r="O440" s="27" t="inlineStr">
        <is>
          <t>https://kierankingsley.com/community</t>
        </is>
      </c>
      <c r="P440" s="27" t="inlineStr">
        <is>
          <t>Multilingual Audio Dubbing</t>
        </is>
      </c>
      <c r="Q440" s="27" t="inlineStr">
        <is>
          <t>https://kierankingsley.com/highlights</t>
        </is>
      </c>
      <c r="R440" s="27" t="inlineStr">
        <is>
          <t>Email</t>
        </is>
      </c>
      <c r="S440" s="27" t="inlineStr">
        <is>
          <t>contact@kierankingsley.com</t>
        </is>
      </c>
      <c r="T440" s="27" t="inlineStr">
        <is>
          <t>https://kierankingsley.com/contact</t>
        </is>
      </c>
      <c r="U440" s="27" t="inlineStr">
        <is>
          <t>LinkedIn</t>
        </is>
      </c>
      <c r="V440" s="27" t="inlineStr">
        <is>
          <t>finance &amp; wealth engineering frameworks, specifically regarding episode 37 on Finance &amp; Wealth Engineering workflow optimization</t>
        </is>
      </c>
      <c r="W440" s="27" t="inlineStr">
        <is>
          <t>Hi Kieran,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40" s="27" t="inlineStr">
        <is>
          <t>2026-10-18</t>
        </is>
      </c>
      <c r="Y440" s="27" t="inlineStr">
        <is>
          <t>C</t>
        </is>
      </c>
      <c r="Z440" s="27" t="n">
        <v>81.8</v>
      </c>
      <c r="AA440" s="27" t="inlineStr">
        <is>
          <t>Qualified</t>
        </is>
      </c>
      <c r="AB440" s="27" t="inlineStr"/>
      <c r="AC440" s="28">
        <f>IF(A440="","",IF(COUNTIF($H$5:$H$1004,H440)&gt;1,"DUPLICATE","UNIQUE"))</f>
        <v/>
      </c>
      <c r="AD440" s="28">
        <f>IF(A440="","",IF(AA440="Rejected",IF(AB440&lt;&gt;"","REJECTED","ADD REASON"),IF(AND(B440&lt;&gt;"",C440&lt;&gt;"",D440&lt;&gt;"",E440&lt;&gt;"",F440&lt;&gt;"",G440&lt;&gt;"",H440&lt;&gt;"",J440&lt;&gt;"",K440&lt;&gt;"",N440&lt;&gt;"",O440&lt;&gt;"",P440&lt;&gt;"",Q440&lt;&gt;"",R440&lt;&gt;"",S440&lt;&gt;"",T440&lt;&gt;"",V440&lt;&gt;"",W440&lt;&gt;"",X440&lt;&gt;"",Y440&lt;&gt;""),"COMPLETE","MISSING FIELDS")))</f>
        <v/>
      </c>
    </row>
    <row r="441" ht="15" customHeight="1" s="15">
      <c r="A441" s="27" t="inlineStr">
        <is>
          <t>LEAD-0437</t>
        </is>
      </c>
      <c r="B441" s="27" t="inlineStr">
        <is>
          <t>Kieran Lockwood</t>
        </is>
      </c>
      <c r="C441" s="27" t="inlineStr">
        <is>
          <t>Podcaster</t>
        </is>
      </c>
      <c r="D441" s="27" t="inlineStr">
        <is>
          <t>US</t>
        </is>
      </c>
      <c r="E441" s="27" t="inlineStr">
        <is>
          <t>English</t>
        </is>
      </c>
      <c r="F441" s="27" t="inlineStr">
        <is>
          <t>Apple Podcasts</t>
        </is>
      </c>
      <c r="G441" s="27" t="inlineStr">
        <is>
          <t>https://podcasts.apple.com/us/podcast/kieranlockwood/id1000437</t>
        </is>
      </c>
      <c r="H441" s="27" t="inlineStr">
        <is>
          <t>AP-US-1000437</t>
        </is>
      </c>
      <c r="I441" s="27" t="inlineStr">
        <is>
          <t>156,000</t>
        </is>
      </c>
      <c r="J441" s="27" t="inlineStr">
        <is>
          <t>2026-10-15</t>
        </is>
      </c>
      <c r="K441" s="27" t="inlineStr">
        <is>
          <t>https://kieranlockwood.com/episodes/38</t>
        </is>
      </c>
      <c r="L441" s="27" t="n">
        <v>15</v>
      </c>
      <c r="M441" s="27" t="n">
        <v>21</v>
      </c>
      <c r="N441" s="27" t="inlineStr">
        <is>
          <t>Product</t>
        </is>
      </c>
      <c r="O441" s="27" t="inlineStr">
        <is>
          <t>https://kieranlockwood.com/shop</t>
        </is>
      </c>
      <c r="P441" s="27" t="inlineStr">
        <is>
          <t>Multilingual Audio Dubbing</t>
        </is>
      </c>
      <c r="Q441" s="27" t="inlineStr">
        <is>
          <t>https://kieranlockwood.com/highlights</t>
        </is>
      </c>
      <c r="R441" s="27" t="inlineStr">
        <is>
          <t>LinkedIn</t>
        </is>
      </c>
      <c r="S441" s="27" t="inlineStr">
        <is>
          <t>https://linkedin.com/in/kieranlockwood</t>
        </is>
      </c>
      <c r="T441" s="27" t="inlineStr">
        <is>
          <t>https://kieranlockwood.com/about</t>
        </is>
      </c>
      <c r="U441" s="27" t="inlineStr">
        <is>
          <t>Email</t>
        </is>
      </c>
      <c r="V441" s="27" t="inlineStr">
        <is>
          <t>health &amp; longevity science frameworks, specifically regarding episode 38 on Health &amp; Longevity Science workflow optimization</t>
        </is>
      </c>
      <c r="W441" s="27" t="inlineStr">
        <is>
          <t>Hi Kieran,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41" s="27" t="inlineStr">
        <is>
          <t>2026-10-18</t>
        </is>
      </c>
      <c r="Y441" s="27" t="inlineStr">
        <is>
          <t>C</t>
        </is>
      </c>
      <c r="Z441" s="27" t="n">
        <v>81.8</v>
      </c>
      <c r="AA441" s="27" t="inlineStr">
        <is>
          <t>Qualified</t>
        </is>
      </c>
      <c r="AB441" s="27" t="inlineStr"/>
      <c r="AC441" s="28">
        <f>IF(A441="","",IF(COUNTIF($H$5:$H$1004,H441)&gt;1,"DUPLICATE","UNIQUE"))</f>
        <v/>
      </c>
      <c r="AD441" s="28">
        <f>IF(A441="","",IF(AA441="Rejected",IF(AB441&lt;&gt;"","REJECTED","ADD REASON"),IF(AND(B441&lt;&gt;"",C441&lt;&gt;"",D441&lt;&gt;"",E441&lt;&gt;"",F441&lt;&gt;"",G441&lt;&gt;"",H441&lt;&gt;"",J441&lt;&gt;"",K441&lt;&gt;"",N441&lt;&gt;"",O441&lt;&gt;"",P441&lt;&gt;"",Q441&lt;&gt;"",R441&lt;&gt;"",S441&lt;&gt;"",T441&lt;&gt;"",V441&lt;&gt;"",W441&lt;&gt;"",X441&lt;&gt;"",Y441&lt;&gt;""),"COMPLETE","MISSING FIELDS")))</f>
        <v/>
      </c>
    </row>
    <row r="442" ht="15" customHeight="1" s="15">
      <c r="A442" s="27" t="inlineStr">
        <is>
          <t>LEAD-0438</t>
        </is>
      </c>
      <c r="B442" s="27" t="inlineStr">
        <is>
          <t>Kieran Montague</t>
        </is>
      </c>
      <c r="C442" s="27" t="inlineStr">
        <is>
          <t>YouTuber</t>
        </is>
      </c>
      <c r="D442" s="27" t="inlineStr">
        <is>
          <t>US</t>
        </is>
      </c>
      <c r="E442" s="27" t="inlineStr">
        <is>
          <t>English</t>
        </is>
      </c>
      <c r="F442" s="27" t="inlineStr">
        <is>
          <t>YouTube</t>
        </is>
      </c>
      <c r="G442" s="27" t="inlineStr">
        <is>
          <t>https://www.youtube.com/@kieranmontague</t>
        </is>
      </c>
      <c r="H442" s="27" t="inlineStr">
        <is>
          <t>UCUS00438736597</t>
        </is>
      </c>
      <c r="I442" s="27" t="inlineStr">
        <is>
          <t>380,000</t>
        </is>
      </c>
      <c r="J442" s="27" t="inlineStr">
        <is>
          <t>2026-10-16</t>
        </is>
      </c>
      <c r="K442" s="27" t="inlineStr">
        <is>
          <t>https://www.youtube.com/watch?v=us00438</t>
        </is>
      </c>
      <c r="L442" s="27" t="n">
        <v>16</v>
      </c>
      <c r="M442" s="27" t="n">
        <v>22</v>
      </c>
      <c r="N442" s="27" t="inlineStr">
        <is>
          <t>Consulting</t>
        </is>
      </c>
      <c r="O442" s="27" t="inlineStr">
        <is>
          <t>https://kieranmontague.com/advisory</t>
        </is>
      </c>
      <c r="P442" s="27" t="inlineStr">
        <is>
          <t>Missing Video Captions &amp; Retention Clips</t>
        </is>
      </c>
      <c r="Q442" s="27" t="inlineStr">
        <is>
          <t>https://kieranmontague.com/highlights</t>
        </is>
      </c>
      <c r="R442" s="27" t="inlineStr">
        <is>
          <t>X (Twitter)</t>
        </is>
      </c>
      <c r="S442" s="27" t="inlineStr">
        <is>
          <t>https://x.com/kieranmontague</t>
        </is>
      </c>
      <c r="T442" s="27" t="inlineStr">
        <is>
          <t>https://kieranmontague.com/links</t>
        </is>
      </c>
      <c r="U442" s="27" t="inlineStr">
        <is>
          <t>LinkedIn</t>
        </is>
      </c>
      <c r="V442" s="27" t="inlineStr">
        <is>
          <t>education &amp; applied coding frameworks, specifically regarding episode 39 on Education &amp; Applied Coding workflow optimization</t>
        </is>
      </c>
      <c r="W442" s="27" t="inlineStr">
        <is>
          <t>Hi Kieran,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42" s="27" t="inlineStr">
        <is>
          <t>2026-10-18</t>
        </is>
      </c>
      <c r="Y442" s="27" t="inlineStr">
        <is>
          <t>C</t>
        </is>
      </c>
      <c r="Z442" s="27" t="n">
        <v>81.7</v>
      </c>
      <c r="AA442" s="27" t="inlineStr">
        <is>
          <t>Qualified</t>
        </is>
      </c>
      <c r="AB442" s="27" t="inlineStr"/>
      <c r="AC442" s="28">
        <f>IF(A442="","",IF(COUNTIF($H$5:$H$1004,H442)&gt;1,"DUPLICATE","UNIQUE"))</f>
        <v/>
      </c>
      <c r="AD442" s="28">
        <f>IF(A442="","",IF(AA442="Rejected",IF(AB442&lt;&gt;"","REJECTED","ADD REASON"),IF(AND(B442&lt;&gt;"",C442&lt;&gt;"",D442&lt;&gt;"",E442&lt;&gt;"",F442&lt;&gt;"",G442&lt;&gt;"",H442&lt;&gt;"",J442&lt;&gt;"",K442&lt;&gt;"",N442&lt;&gt;"",O442&lt;&gt;"",P442&lt;&gt;"",Q442&lt;&gt;"",R442&lt;&gt;"",S442&lt;&gt;"",T442&lt;&gt;"",V442&lt;&gt;"",W442&lt;&gt;"",X442&lt;&gt;"",Y442&lt;&gt;""),"COMPLETE","MISSING FIELDS")))</f>
        <v/>
      </c>
    </row>
    <row r="443" ht="15" customHeight="1" s="15">
      <c r="A443" s="27" t="inlineStr">
        <is>
          <t>LEAD-0439</t>
        </is>
      </c>
      <c r="B443" s="27" t="inlineStr">
        <is>
          <t>Kieran Northwood</t>
        </is>
      </c>
      <c r="C443" s="27" t="inlineStr">
        <is>
          <t>Podcaster</t>
        </is>
      </c>
      <c r="D443" s="27" t="inlineStr">
        <is>
          <t>US</t>
        </is>
      </c>
      <c r="E443" s="27" t="inlineStr">
        <is>
          <t>English</t>
        </is>
      </c>
      <c r="F443" s="27" t="inlineStr">
        <is>
          <t>Apple Podcasts</t>
        </is>
      </c>
      <c r="G443" s="27" t="inlineStr">
        <is>
          <t>https://podcasts.apple.com/us/podcast/kierannorthwood/id1000439</t>
        </is>
      </c>
      <c r="H443" s="27" t="inlineStr">
        <is>
          <t>AP-US-1000439</t>
        </is>
      </c>
      <c r="I443" s="27" t="inlineStr">
        <is>
          <t>180,000</t>
        </is>
      </c>
      <c r="J443" s="27" t="inlineStr">
        <is>
          <t>2026-10-17</t>
        </is>
      </c>
      <c r="K443" s="27" t="inlineStr">
        <is>
          <t>https://kierannorthwood.com/episodes/40</t>
        </is>
      </c>
      <c r="L443" s="27" t="n">
        <v>17</v>
      </c>
      <c r="M443" s="27" t="n">
        <v>23</v>
      </c>
      <c r="N443" s="27" t="inlineStr">
        <is>
          <t>Newsletter Subscription</t>
        </is>
      </c>
      <c r="O443" s="27" t="inlineStr">
        <is>
          <t>https://kierannorthwood.com/subscribe</t>
        </is>
      </c>
      <c r="P443" s="27" t="inlineStr">
        <is>
          <t>Shorts Repurposing Bottleneck</t>
        </is>
      </c>
      <c r="Q443" s="27" t="inlineStr">
        <is>
          <t>https://kierannorthwood.com/highlights</t>
        </is>
      </c>
      <c r="R443" s="27" t="inlineStr">
        <is>
          <t>Email</t>
        </is>
      </c>
      <c r="S443" s="27" t="inlineStr">
        <is>
          <t>hello@kierannorthwood.com</t>
        </is>
      </c>
      <c r="T443" s="27" t="inlineStr">
        <is>
          <t>https://kierannorthwood.com/work-with-me</t>
        </is>
      </c>
      <c r="U443" s="27" t="inlineStr">
        <is>
          <t>LinkedIn</t>
        </is>
      </c>
      <c r="V443" s="27" t="inlineStr">
        <is>
          <t>e-commerce &amp; digital brands frameworks, specifically regarding episode 40 on E-Commerce &amp; Digital Brands workflow optimization</t>
        </is>
      </c>
      <c r="W443" s="27" t="inlineStr">
        <is>
          <t>Hi Kieran,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43" s="27" t="inlineStr">
        <is>
          <t>2026-10-18</t>
        </is>
      </c>
      <c r="Y443" s="27" t="inlineStr">
        <is>
          <t>C</t>
        </is>
      </c>
      <c r="Z443" s="27" t="n">
        <v>81.7</v>
      </c>
      <c r="AA443" s="27" t="inlineStr">
        <is>
          <t>Qualified</t>
        </is>
      </c>
      <c r="AB443" s="27" t="inlineStr"/>
      <c r="AC443" s="28">
        <f>IF(A443="","",IF(COUNTIF($H$5:$H$1004,H443)&gt;1,"DUPLICATE","UNIQUE"))</f>
        <v/>
      </c>
      <c r="AD443" s="28">
        <f>IF(A443="","",IF(AA443="Rejected",IF(AB443&lt;&gt;"","REJECTED","ADD REASON"),IF(AND(B443&lt;&gt;"",C443&lt;&gt;"",D443&lt;&gt;"",E443&lt;&gt;"",F443&lt;&gt;"",G443&lt;&gt;"",H443&lt;&gt;"",J443&lt;&gt;"",K443&lt;&gt;"",N443&lt;&gt;"",O443&lt;&gt;"",P443&lt;&gt;"",Q443&lt;&gt;"",R443&lt;&gt;"",S443&lt;&gt;"",T443&lt;&gt;"",V443&lt;&gt;"",W443&lt;&gt;"",X443&lt;&gt;"",Y443&lt;&gt;""),"COMPLETE","MISSING FIELDS")))</f>
        <v/>
      </c>
    </row>
    <row r="444" ht="15" customHeight="1" s="15">
      <c r="A444" s="27" t="inlineStr">
        <is>
          <t>LEAD-0440</t>
        </is>
      </c>
      <c r="B444" s="27" t="inlineStr">
        <is>
          <t>Kieran Oakley</t>
        </is>
      </c>
      <c r="C444" s="27" t="inlineStr">
        <is>
          <t>YouTuber</t>
        </is>
      </c>
      <c r="D444" s="27" t="inlineStr">
        <is>
          <t>US</t>
        </is>
      </c>
      <c r="E444" s="27" t="inlineStr">
        <is>
          <t>English</t>
        </is>
      </c>
      <c r="F444" s="27" t="inlineStr">
        <is>
          <t>YouTube</t>
        </is>
      </c>
      <c r="G444" s="27" t="inlineStr">
        <is>
          <t>https://www.youtube.com/@kieranoakley</t>
        </is>
      </c>
      <c r="H444" s="27" t="inlineStr">
        <is>
          <t>UCUS00440590776</t>
        </is>
      </c>
      <c r="I444" s="27" t="inlineStr">
        <is>
          <t>420,000</t>
        </is>
      </c>
      <c r="J444" s="27" t="inlineStr">
        <is>
          <t>2026-10-10</t>
        </is>
      </c>
      <c r="K444" s="27" t="inlineStr">
        <is>
          <t>https://www.youtube.com/watch?v=us00440</t>
        </is>
      </c>
      <c r="L444" s="27" t="n">
        <v>8</v>
      </c>
      <c r="M444" s="27" t="n">
        <v>24</v>
      </c>
      <c r="N444" s="27" t="inlineStr">
        <is>
          <t>Affiliate</t>
        </is>
      </c>
      <c r="O444" s="27" t="inlineStr">
        <is>
          <t>https://kieranoakley.com/resources</t>
        </is>
      </c>
      <c r="P444" s="27" t="inlineStr">
        <is>
          <t>Shorts Repurposing Bottleneck</t>
        </is>
      </c>
      <c r="Q444" s="27" t="inlineStr">
        <is>
          <t>https://kieranoakley.com/highlights</t>
        </is>
      </c>
      <c r="R444" s="27" t="inlineStr">
        <is>
          <t>Email</t>
        </is>
      </c>
      <c r="S444" s="27" t="inlineStr">
        <is>
          <t>contact@kieranoakley.com</t>
        </is>
      </c>
      <c r="T444" s="27" t="inlineStr">
        <is>
          <t>https://kieranoakley.com/contact</t>
        </is>
      </c>
      <c r="U444" s="27" t="inlineStr">
        <is>
          <t>LinkedIn</t>
        </is>
      </c>
      <c r="V444" s="27" t="inlineStr">
        <is>
          <t>tech &amp; ai frameworks, specifically regarding episode 41 on Tech &amp; AI workflow optimization</t>
        </is>
      </c>
      <c r="W444" s="27" t="inlineStr">
        <is>
          <t>Hi Kieran,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44" s="27" t="inlineStr">
        <is>
          <t>2026-10-18</t>
        </is>
      </c>
      <c r="Y444" s="27" t="inlineStr">
        <is>
          <t>C</t>
        </is>
      </c>
      <c r="Z444" s="27" t="n">
        <v>81.59999999999999</v>
      </c>
      <c r="AA444" s="27" t="inlineStr">
        <is>
          <t>Qualified</t>
        </is>
      </c>
      <c r="AB444" s="27" t="inlineStr"/>
      <c r="AC444" s="28">
        <f>IF(A444="","",IF(COUNTIF($H$5:$H$1004,H444)&gt;1,"DUPLICATE","UNIQUE"))</f>
        <v/>
      </c>
      <c r="AD444" s="28">
        <f>IF(A444="","",IF(AA444="Rejected",IF(AB444&lt;&gt;"","REJECTED","ADD REASON"),IF(AND(B444&lt;&gt;"",C444&lt;&gt;"",D444&lt;&gt;"",E444&lt;&gt;"",F444&lt;&gt;"",G444&lt;&gt;"",H444&lt;&gt;"",J444&lt;&gt;"",K444&lt;&gt;"",N444&lt;&gt;"",O444&lt;&gt;"",P444&lt;&gt;"",Q444&lt;&gt;"",R444&lt;&gt;"",S444&lt;&gt;"",T444&lt;&gt;"",V444&lt;&gt;"",W444&lt;&gt;"",X444&lt;&gt;"",Y444&lt;&gt;""),"COMPLETE","MISSING FIELDS")))</f>
        <v/>
      </c>
    </row>
    <row r="445" ht="15" customHeight="1" s="15">
      <c r="A445" s="27" t="inlineStr">
        <is>
          <t>LEAD-0441</t>
        </is>
      </c>
      <c r="B445" s="27" t="inlineStr">
        <is>
          <t>Kieran Pemberton</t>
        </is>
      </c>
      <c r="C445" s="27" t="inlineStr">
        <is>
          <t>Podcaster</t>
        </is>
      </c>
      <c r="D445" s="27" t="inlineStr">
        <is>
          <t>US</t>
        </is>
      </c>
      <c r="E445" s="27" t="inlineStr">
        <is>
          <t>English</t>
        </is>
      </c>
      <c r="F445" s="27" t="inlineStr">
        <is>
          <t>Apple Podcasts</t>
        </is>
      </c>
      <c r="G445" s="27" t="inlineStr">
        <is>
          <t>https://podcasts.apple.com/us/podcast/kieranpemberton/id1000441</t>
        </is>
      </c>
      <c r="H445" s="27" t="inlineStr">
        <is>
          <t>AP-US-1000441</t>
        </is>
      </c>
      <c r="I445" s="27" t="inlineStr">
        <is>
          <t>204,000</t>
        </is>
      </c>
      <c r="J445" s="27" t="inlineStr">
        <is>
          <t>2026-10-11</t>
        </is>
      </c>
      <c r="K445" s="27" t="inlineStr">
        <is>
          <t>https://kieranpemberton.com/episodes/42</t>
        </is>
      </c>
      <c r="L445" s="27" t="n">
        <v>9</v>
      </c>
      <c r="M445" s="27" t="n">
        <v>25</v>
      </c>
      <c r="N445" s="27" t="inlineStr">
        <is>
          <t>Course</t>
        </is>
      </c>
      <c r="O445" s="27" t="inlineStr">
        <is>
          <t>https://kieranpemberton.com/academy</t>
        </is>
      </c>
      <c r="P445" s="27" t="inlineStr">
        <is>
          <t>Missing Video Captions &amp; Retention Clips</t>
        </is>
      </c>
      <c r="Q445" s="27" t="inlineStr">
        <is>
          <t>https://kieranpemberton.com/highlights</t>
        </is>
      </c>
      <c r="R445" s="27" t="inlineStr">
        <is>
          <t>LinkedIn</t>
        </is>
      </c>
      <c r="S445" s="27" t="inlineStr">
        <is>
          <t>https://linkedin.com/in/kieranpemberton</t>
        </is>
      </c>
      <c r="T445" s="27" t="inlineStr">
        <is>
          <t>https://kieranpemberton.com/about</t>
        </is>
      </c>
      <c r="U445" s="27" t="inlineStr">
        <is>
          <t>Email</t>
        </is>
      </c>
      <c r="V445" s="27" t="inlineStr">
        <is>
          <t>saas &amp; product growth frameworks, specifically regarding episode 42 on SaaS &amp; Product Growth workflow optimization</t>
        </is>
      </c>
      <c r="W445" s="27" t="inlineStr">
        <is>
          <t>Hi Kieran,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45" s="27" t="inlineStr">
        <is>
          <t>2026-10-18</t>
        </is>
      </c>
      <c r="Y445" s="27" t="inlineStr">
        <is>
          <t>C</t>
        </is>
      </c>
      <c r="Z445" s="27" t="n">
        <v>81.5</v>
      </c>
      <c r="AA445" s="27" t="inlineStr">
        <is>
          <t>Qualified</t>
        </is>
      </c>
      <c r="AB445" s="27" t="inlineStr"/>
      <c r="AC445" s="28">
        <f>IF(A445="","",IF(COUNTIF($H$5:$H$1004,H445)&gt;1,"DUPLICATE","UNIQUE"))</f>
        <v/>
      </c>
      <c r="AD445" s="28">
        <f>IF(A445="","",IF(AA445="Rejected",IF(AB445&lt;&gt;"","REJECTED","ADD REASON"),IF(AND(B445&lt;&gt;"",C445&lt;&gt;"",D445&lt;&gt;"",E445&lt;&gt;"",F445&lt;&gt;"",G445&lt;&gt;"",H445&lt;&gt;"",J445&lt;&gt;"",K445&lt;&gt;"",N445&lt;&gt;"",O445&lt;&gt;"",P445&lt;&gt;"",Q445&lt;&gt;"",R445&lt;&gt;"",S445&lt;&gt;"",T445&lt;&gt;"",V445&lt;&gt;"",W445&lt;&gt;"",X445&lt;&gt;"",Y445&lt;&gt;""),"COMPLETE","MISSING FIELDS")))</f>
        <v/>
      </c>
    </row>
    <row r="446" ht="15" customHeight="1" s="15">
      <c r="A446" s="27" t="inlineStr">
        <is>
          <t>LEAD-0442</t>
        </is>
      </c>
      <c r="B446" s="27" t="inlineStr">
        <is>
          <t>Kieran Quatermain</t>
        </is>
      </c>
      <c r="C446" s="27" t="inlineStr">
        <is>
          <t>Expert-Led Creator</t>
        </is>
      </c>
      <c r="D446" s="27" t="inlineStr">
        <is>
          <t>US</t>
        </is>
      </c>
      <c r="E446" s="27" t="inlineStr">
        <is>
          <t>English</t>
        </is>
      </c>
      <c r="F446" s="27" t="inlineStr">
        <is>
          <t>YouTube</t>
        </is>
      </c>
      <c r="G446" s="27" t="inlineStr">
        <is>
          <t>https://www.youtube.com/@kieranquatermain</t>
        </is>
      </c>
      <c r="H446" s="27" t="inlineStr">
        <is>
          <t>UCUS00442367316</t>
        </is>
      </c>
      <c r="I446" s="27" t="inlineStr">
        <is>
          <t>460,000</t>
        </is>
      </c>
      <c r="J446" s="27" t="inlineStr">
        <is>
          <t>2026-10-12</t>
        </is>
      </c>
      <c r="K446" s="27" t="inlineStr">
        <is>
          <t>https://www.youtube.com/watch?v=us00442</t>
        </is>
      </c>
      <c r="L446" s="27" t="n">
        <v>10</v>
      </c>
      <c r="M446" s="27" t="n">
        <v>26</v>
      </c>
      <c r="N446" s="27" t="inlineStr">
        <is>
          <t>Sponsor</t>
        </is>
      </c>
      <c r="O446" s="27" t="inlineStr">
        <is>
          <t>https://kieranquatermain.com/partners</t>
        </is>
      </c>
      <c r="P446" s="27" t="inlineStr">
        <is>
          <t>Editing Backlog &amp; Team Workflow Overhead</t>
        </is>
      </c>
      <c r="Q446" s="27" t="inlineStr">
        <is>
          <t>https://kieranquatermain.com/highlights</t>
        </is>
      </c>
      <c r="R446" s="27" t="inlineStr">
        <is>
          <t>X (Twitter)</t>
        </is>
      </c>
      <c r="S446" s="27" t="inlineStr">
        <is>
          <t>https://x.com/kieranquatermain</t>
        </is>
      </c>
      <c r="T446" s="27" t="inlineStr">
        <is>
          <t>https://kieranquatermain.com/links</t>
        </is>
      </c>
      <c r="U446" s="27" t="inlineStr">
        <is>
          <t>LinkedIn</t>
        </is>
      </c>
      <c r="V446" s="27" t="inlineStr">
        <is>
          <t>creator business &amp; monetization frameworks, specifically regarding episode 43 on Creator Business &amp; Monetization workflow optimization</t>
        </is>
      </c>
      <c r="W446" s="27" t="inlineStr">
        <is>
          <t>Hi Kieran,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46" s="27" t="inlineStr">
        <is>
          <t>2026-10-18</t>
        </is>
      </c>
      <c r="Y446" s="27" t="inlineStr">
        <is>
          <t>C</t>
        </is>
      </c>
      <c r="Z446" s="27" t="n">
        <v>81.5</v>
      </c>
      <c r="AA446" s="27" t="inlineStr">
        <is>
          <t>Qualified</t>
        </is>
      </c>
      <c r="AB446" s="27" t="inlineStr"/>
      <c r="AC446" s="28">
        <f>IF(A446="","",IF(COUNTIF($H$5:$H$1004,H446)&gt;1,"DUPLICATE","UNIQUE"))</f>
        <v/>
      </c>
      <c r="AD446" s="28">
        <f>IF(A446="","",IF(AA446="Rejected",IF(AB446&lt;&gt;"","REJECTED","ADD REASON"),IF(AND(B446&lt;&gt;"",C446&lt;&gt;"",D446&lt;&gt;"",E446&lt;&gt;"",F446&lt;&gt;"",G446&lt;&gt;"",H446&lt;&gt;"",J446&lt;&gt;"",K446&lt;&gt;"",N446&lt;&gt;"",O446&lt;&gt;"",P446&lt;&gt;"",Q446&lt;&gt;"",R446&lt;&gt;"",S446&lt;&gt;"",T446&lt;&gt;"",V446&lt;&gt;"",W446&lt;&gt;"",X446&lt;&gt;"",Y446&lt;&gt;""),"COMPLETE","MISSING FIELDS")))</f>
        <v/>
      </c>
    </row>
    <row r="447" ht="15" customHeight="1" s="15">
      <c r="A447" s="27" t="inlineStr">
        <is>
          <t>LEAD-0443</t>
        </is>
      </c>
      <c r="B447" s="27" t="inlineStr">
        <is>
          <t>Kieran Radcliffe</t>
        </is>
      </c>
      <c r="C447" s="27" t="inlineStr">
        <is>
          <t>YouTuber</t>
        </is>
      </c>
      <c r="D447" s="27" t="inlineStr">
        <is>
          <t>US</t>
        </is>
      </c>
      <c r="E447" s="27" t="inlineStr">
        <is>
          <t>English</t>
        </is>
      </c>
      <c r="F447" s="27" t="inlineStr">
        <is>
          <t>YouTube</t>
        </is>
      </c>
      <c r="G447" s="27" t="inlineStr">
        <is>
          <t>https://www.youtube.com/@kieranradcliffe</t>
        </is>
      </c>
      <c r="H447" s="27" t="inlineStr">
        <is>
          <t>UCUS00443229508</t>
        </is>
      </c>
      <c r="I447" s="27" t="inlineStr">
        <is>
          <t>480,000</t>
        </is>
      </c>
      <c r="J447" s="27" t="inlineStr">
        <is>
          <t>2026-10-13</t>
        </is>
      </c>
      <c r="K447" s="27" t="inlineStr">
        <is>
          <t>https://www.youtube.com/watch?v=us00443</t>
        </is>
      </c>
      <c r="L447" s="27" t="n">
        <v>11</v>
      </c>
      <c r="M447" s="27" t="n">
        <v>27</v>
      </c>
      <c r="N447" s="27" t="inlineStr">
        <is>
          <t>Membership</t>
        </is>
      </c>
      <c r="O447" s="27" t="inlineStr">
        <is>
          <t>https://kieranradcliffe.com/community</t>
        </is>
      </c>
      <c r="P447" s="27" t="inlineStr">
        <is>
          <t>Shorts Repurposing Bottleneck</t>
        </is>
      </c>
      <c r="Q447" s="27" t="inlineStr">
        <is>
          <t>https://kieranradcliffe.com/highlights</t>
        </is>
      </c>
      <c r="R447" s="27" t="inlineStr">
        <is>
          <t>Email</t>
        </is>
      </c>
      <c r="S447" s="27" t="inlineStr">
        <is>
          <t>hello@kieranradcliffe.com</t>
        </is>
      </c>
      <c r="T447" s="27" t="inlineStr">
        <is>
          <t>https://kieranradcliffe.com/work-with-me</t>
        </is>
      </c>
      <c r="U447" s="27" t="inlineStr">
        <is>
          <t>LinkedIn</t>
        </is>
      </c>
      <c r="V447" s="27" t="inlineStr">
        <is>
          <t>productivity &amp; personal systems frameworks, specifically regarding episode 44 on Productivity &amp; Personal Systems workflow optimization</t>
        </is>
      </c>
      <c r="W447" s="27" t="inlineStr">
        <is>
          <t>Hi Kieran,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47" s="27" t="inlineStr">
        <is>
          <t>2026-10-18</t>
        </is>
      </c>
      <c r="Y447" s="27" t="inlineStr">
        <is>
          <t>C</t>
        </is>
      </c>
      <c r="Z447" s="27" t="n">
        <v>81.40000000000001</v>
      </c>
      <c r="AA447" s="27" t="inlineStr">
        <is>
          <t>Qualified</t>
        </is>
      </c>
      <c r="AB447" s="27" t="inlineStr"/>
      <c r="AC447" s="28">
        <f>IF(A447="","",IF(COUNTIF($H$5:$H$1004,H447)&gt;1,"DUPLICATE","UNIQUE"))</f>
        <v/>
      </c>
      <c r="AD447" s="28">
        <f>IF(A447="","",IF(AA447="Rejected",IF(AB447&lt;&gt;"","REJECTED","ADD REASON"),IF(AND(B447&lt;&gt;"",C447&lt;&gt;"",D447&lt;&gt;"",E447&lt;&gt;"",F447&lt;&gt;"",G447&lt;&gt;"",H447&lt;&gt;"",J447&lt;&gt;"",K447&lt;&gt;"",N447&lt;&gt;"",O447&lt;&gt;"",P447&lt;&gt;"",Q447&lt;&gt;"",R447&lt;&gt;"",S447&lt;&gt;"",T447&lt;&gt;"",V447&lt;&gt;"",W447&lt;&gt;"",X447&lt;&gt;"",Y447&lt;&gt;""),"COMPLETE","MISSING FIELDS")))</f>
        <v/>
      </c>
    </row>
    <row r="448" ht="15" customHeight="1" s="15">
      <c r="A448" s="27" t="inlineStr">
        <is>
          <t>LEAD-0444</t>
        </is>
      </c>
      <c r="B448" s="27" t="inlineStr">
        <is>
          <t>Kieran Stanhope</t>
        </is>
      </c>
      <c r="C448" s="27" t="inlineStr">
        <is>
          <t>Podcaster</t>
        </is>
      </c>
      <c r="D448" s="27" t="inlineStr">
        <is>
          <t>US</t>
        </is>
      </c>
      <c r="E448" s="27" t="inlineStr">
        <is>
          <t>English</t>
        </is>
      </c>
      <c r="F448" s="27" t="inlineStr">
        <is>
          <t>Apple Podcasts</t>
        </is>
      </c>
      <c r="G448" s="27" t="inlineStr">
        <is>
          <t>https://podcasts.apple.com/us/podcast/kieranstanhope/id1000444</t>
        </is>
      </c>
      <c r="H448" s="27" t="inlineStr">
        <is>
          <t>AP-US-1000444</t>
        </is>
      </c>
      <c r="I448" s="27" t="inlineStr">
        <is>
          <t>240,000</t>
        </is>
      </c>
      <c r="J448" s="27" t="inlineStr">
        <is>
          <t>2026-10-14</t>
        </is>
      </c>
      <c r="K448" s="27" t="inlineStr">
        <is>
          <t>https://kieranstanhope.com/episodes/45</t>
        </is>
      </c>
      <c r="L448" s="27" t="n">
        <v>12</v>
      </c>
      <c r="M448" s="27" t="n">
        <v>28</v>
      </c>
      <c r="N448" s="27" t="inlineStr">
        <is>
          <t>Product</t>
        </is>
      </c>
      <c r="O448" s="27" t="inlineStr">
        <is>
          <t>https://kieranstanhope.com/shop</t>
        </is>
      </c>
      <c r="P448" s="27" t="inlineStr">
        <is>
          <t>Inconsistent Cross-Platform Publishing</t>
        </is>
      </c>
      <c r="Q448" s="27" t="inlineStr">
        <is>
          <t>https://kieranstanhope.com/highlights</t>
        </is>
      </c>
      <c r="R448" s="27" t="inlineStr">
        <is>
          <t>Email</t>
        </is>
      </c>
      <c r="S448" s="27" t="inlineStr">
        <is>
          <t>contact@kieranstanhope.com</t>
        </is>
      </c>
      <c r="T448" s="27" t="inlineStr">
        <is>
          <t>https://kieranstanhope.com/contact</t>
        </is>
      </c>
      <c r="U448" s="27" t="inlineStr">
        <is>
          <t>LinkedIn</t>
        </is>
      </c>
      <c r="V448" s="27" t="inlineStr">
        <is>
          <t>leadership &amp; team ops frameworks, specifically regarding episode 45 on Leadership &amp; Team Ops workflow optimization</t>
        </is>
      </c>
      <c r="W448" s="27" t="inlineStr">
        <is>
          <t>Hi Kieran,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48" s="27" t="inlineStr">
        <is>
          <t>2026-10-18</t>
        </is>
      </c>
      <c r="Y448" s="27" t="inlineStr">
        <is>
          <t>C</t>
        </is>
      </c>
      <c r="Z448" s="27" t="n">
        <v>81.40000000000001</v>
      </c>
      <c r="AA448" s="27" t="inlineStr">
        <is>
          <t>Qualified</t>
        </is>
      </c>
      <c r="AB448" s="27" t="inlineStr"/>
      <c r="AC448" s="28">
        <f>IF(A448="","",IF(COUNTIF($H$5:$H$1004,H448)&gt;1,"DUPLICATE","UNIQUE"))</f>
        <v/>
      </c>
      <c r="AD448" s="28">
        <f>IF(A448="","",IF(AA448="Rejected",IF(AB448&lt;&gt;"","REJECTED","ADD REASON"),IF(AND(B448&lt;&gt;"",C448&lt;&gt;"",D448&lt;&gt;"",E448&lt;&gt;"",F448&lt;&gt;"",G448&lt;&gt;"",H448&lt;&gt;"",J448&lt;&gt;"",K448&lt;&gt;"",N448&lt;&gt;"",O448&lt;&gt;"",P448&lt;&gt;"",Q448&lt;&gt;"",R448&lt;&gt;"",S448&lt;&gt;"",T448&lt;&gt;"",V448&lt;&gt;"",W448&lt;&gt;"",X448&lt;&gt;"",Y448&lt;&gt;""),"COMPLETE","MISSING FIELDS")))</f>
        <v/>
      </c>
    </row>
    <row r="449" ht="15" customHeight="1" s="15">
      <c r="A449" s="27" t="inlineStr">
        <is>
          <t>LEAD-0445</t>
        </is>
      </c>
      <c r="B449" s="27" t="inlineStr">
        <is>
          <t>Kieran Thackery</t>
        </is>
      </c>
      <c r="C449" s="27" t="inlineStr">
        <is>
          <t>Expert-Led Creator</t>
        </is>
      </c>
      <c r="D449" s="27" t="inlineStr">
        <is>
          <t>US</t>
        </is>
      </c>
      <c r="E449" s="27" t="inlineStr">
        <is>
          <t>English</t>
        </is>
      </c>
      <c r="F449" s="27" t="inlineStr">
        <is>
          <t>LinkedIn</t>
        </is>
      </c>
      <c r="G449" s="27" t="inlineStr">
        <is>
          <t>https://www.linkedin.com/in/kieranthackery</t>
        </is>
      </c>
      <c r="H449" s="27" t="inlineStr">
        <is>
          <t>LI-kieranthackery-0445</t>
        </is>
      </c>
      <c r="I449" s="27" t="inlineStr">
        <is>
          <t>156,000</t>
        </is>
      </c>
      <c r="J449" s="27" t="inlineStr">
        <is>
          <t>2026-10-15</t>
        </is>
      </c>
      <c r="K449" s="27" t="inlineStr">
        <is>
          <t>https://kieranthackery.com/posts/146</t>
        </is>
      </c>
      <c r="L449" s="27" t="n">
        <v>13</v>
      </c>
      <c r="M449" s="27" t="n">
        <v>29</v>
      </c>
      <c r="N449" s="27" t="inlineStr">
        <is>
          <t>Consulting</t>
        </is>
      </c>
      <c r="O449" s="27" t="inlineStr">
        <is>
          <t>https://kieranthackery.com/advisory</t>
        </is>
      </c>
      <c r="P449" s="27" t="inlineStr">
        <is>
          <t>Editing Backlog &amp; Team Workflow Overhead</t>
        </is>
      </c>
      <c r="Q449" s="27" t="inlineStr">
        <is>
          <t>https://kieranthackery.com/highlights</t>
        </is>
      </c>
      <c r="R449" s="27" t="inlineStr">
        <is>
          <t>LinkedIn</t>
        </is>
      </c>
      <c r="S449" s="27" t="inlineStr">
        <is>
          <t>https://linkedin.com/in/kieranthackery</t>
        </is>
      </c>
      <c r="T449" s="27" t="inlineStr">
        <is>
          <t>https://kieranthackery.com/about</t>
        </is>
      </c>
      <c r="U449" s="27" t="inlineStr">
        <is>
          <t>Email</t>
        </is>
      </c>
      <c r="V449" s="27" t="inlineStr">
        <is>
          <t>b2b marketing &amp; sales frameworks, specifically regarding episode 46 on B2B Marketing &amp; Sales workflow optimization</t>
        </is>
      </c>
      <c r="W449" s="27" t="inlineStr">
        <is>
          <t>Hi Kieran,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49" s="27" t="inlineStr">
        <is>
          <t>2026-10-18</t>
        </is>
      </c>
      <c r="Y449" s="27" t="inlineStr">
        <is>
          <t>C</t>
        </is>
      </c>
      <c r="Z449" s="27" t="n">
        <v>81.3</v>
      </c>
      <c r="AA449" s="27" t="inlineStr">
        <is>
          <t>Qualified</t>
        </is>
      </c>
      <c r="AB449" s="27" t="inlineStr"/>
      <c r="AC449" s="28">
        <f>IF(A449="","",IF(COUNTIF($H$5:$H$1004,H449)&gt;1,"DUPLICATE","UNIQUE"))</f>
        <v/>
      </c>
      <c r="AD449" s="28">
        <f>IF(A449="","",IF(AA449="Rejected",IF(AB449&lt;&gt;"","REJECTED","ADD REASON"),IF(AND(B449&lt;&gt;"",C449&lt;&gt;"",D449&lt;&gt;"",E449&lt;&gt;"",F449&lt;&gt;"",G449&lt;&gt;"",H449&lt;&gt;"",J449&lt;&gt;"",K449&lt;&gt;"",N449&lt;&gt;"",O449&lt;&gt;"",P449&lt;&gt;"",Q449&lt;&gt;"",R449&lt;&gt;"",S449&lt;&gt;"",T449&lt;&gt;"",V449&lt;&gt;"",W449&lt;&gt;"",X449&lt;&gt;"",Y449&lt;&gt;""),"COMPLETE","MISSING FIELDS")))</f>
        <v/>
      </c>
    </row>
    <row r="450" ht="15" customHeight="1" s="15">
      <c r="A450" s="27" t="inlineStr">
        <is>
          <t>LEAD-0446</t>
        </is>
      </c>
      <c r="B450" s="27" t="inlineStr">
        <is>
          <t>Kieran Underwood</t>
        </is>
      </c>
      <c r="C450" s="27" t="inlineStr">
        <is>
          <t>YouTuber</t>
        </is>
      </c>
      <c r="D450" s="27" t="inlineStr">
        <is>
          <t>US</t>
        </is>
      </c>
      <c r="E450" s="27" t="inlineStr">
        <is>
          <t>English</t>
        </is>
      </c>
      <c r="F450" s="27" t="inlineStr">
        <is>
          <t>YouTube</t>
        </is>
      </c>
      <c r="G450" s="27" t="inlineStr">
        <is>
          <t>https://www.youtube.com/@kieranunderwood</t>
        </is>
      </c>
      <c r="H450" s="27" t="inlineStr">
        <is>
          <t>UCUS00446168715</t>
        </is>
      </c>
      <c r="I450" s="27" t="inlineStr">
        <is>
          <t>540,000</t>
        </is>
      </c>
      <c r="J450" s="27" t="inlineStr">
        <is>
          <t>2026-10-16</t>
        </is>
      </c>
      <c r="K450" s="27" t="inlineStr">
        <is>
          <t>https://www.youtube.com/watch?v=us00446</t>
        </is>
      </c>
      <c r="L450" s="27" t="n">
        <v>14</v>
      </c>
      <c r="M450" s="27" t="n">
        <v>30</v>
      </c>
      <c r="N450" s="27" t="inlineStr">
        <is>
          <t>Newsletter Subscription</t>
        </is>
      </c>
      <c r="O450" s="27" t="inlineStr">
        <is>
          <t>https://kieranunderwood.com/subscribe</t>
        </is>
      </c>
      <c r="P450" s="27" t="inlineStr">
        <is>
          <t>Multilingual Audio Dubbing</t>
        </is>
      </c>
      <c r="Q450" s="27" t="inlineStr">
        <is>
          <t>https://kieranunderwood.com/highlights</t>
        </is>
      </c>
      <c r="R450" s="27" t="inlineStr">
        <is>
          <t>X (Twitter)</t>
        </is>
      </c>
      <c r="S450" s="27" t="inlineStr">
        <is>
          <t>https://x.com/kieranunderwood</t>
        </is>
      </c>
      <c r="T450" s="27" t="inlineStr">
        <is>
          <t>https://kieranunderwood.com/links</t>
        </is>
      </c>
      <c r="U450" s="27" t="inlineStr">
        <is>
          <t>LinkedIn</t>
        </is>
      </c>
      <c r="V450" s="27" t="inlineStr">
        <is>
          <t>finance &amp; wealth engineering frameworks, specifically regarding episode 47 on Finance &amp; Wealth Engineering workflow optimization</t>
        </is>
      </c>
      <c r="W450" s="27" t="inlineStr">
        <is>
          <t>Hi Kieran,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50" s="27" t="inlineStr">
        <is>
          <t>2026-10-18</t>
        </is>
      </c>
      <c r="Y450" s="27" t="inlineStr">
        <is>
          <t>C</t>
        </is>
      </c>
      <c r="Z450" s="27" t="n">
        <v>81.2</v>
      </c>
      <c r="AA450" s="27" t="inlineStr">
        <is>
          <t>Qualified</t>
        </is>
      </c>
      <c r="AB450" s="27" t="inlineStr"/>
      <c r="AC450" s="28">
        <f>IF(A450="","",IF(COUNTIF($H$5:$H$1004,H450)&gt;1,"DUPLICATE","UNIQUE"))</f>
        <v/>
      </c>
      <c r="AD450" s="28">
        <f>IF(A450="","",IF(AA450="Rejected",IF(AB450&lt;&gt;"","REJECTED","ADD REASON"),IF(AND(B450&lt;&gt;"",C450&lt;&gt;"",D450&lt;&gt;"",E450&lt;&gt;"",F450&lt;&gt;"",G450&lt;&gt;"",H450&lt;&gt;"",J450&lt;&gt;"",K450&lt;&gt;"",N450&lt;&gt;"",O450&lt;&gt;"",P450&lt;&gt;"",Q450&lt;&gt;"",R450&lt;&gt;"",S450&lt;&gt;"",T450&lt;&gt;"",V450&lt;&gt;"",W450&lt;&gt;"",X450&lt;&gt;"",Y450&lt;&gt;""),"COMPLETE","MISSING FIELDS")))</f>
        <v/>
      </c>
    </row>
    <row r="451" ht="15" customHeight="1" s="15">
      <c r="A451" s="27" t="inlineStr">
        <is>
          <t>LEAD-0447</t>
        </is>
      </c>
      <c r="B451" s="27" t="inlineStr">
        <is>
          <t>Kieran Vanguard</t>
        </is>
      </c>
      <c r="C451" s="27" t="inlineStr">
        <is>
          <t>Podcaster</t>
        </is>
      </c>
      <c r="D451" s="27" t="inlineStr">
        <is>
          <t>US</t>
        </is>
      </c>
      <c r="E451" s="27" t="inlineStr">
        <is>
          <t>English</t>
        </is>
      </c>
      <c r="F451" s="27" t="inlineStr">
        <is>
          <t>Apple Podcasts</t>
        </is>
      </c>
      <c r="G451" s="27" t="inlineStr">
        <is>
          <t>https://podcasts.apple.com/us/podcast/kieranvanguard/id1000447</t>
        </is>
      </c>
      <c r="H451" s="27" t="inlineStr">
        <is>
          <t>AP-US-1000447</t>
        </is>
      </c>
      <c r="I451" s="27" t="inlineStr">
        <is>
          <t>276,000</t>
        </is>
      </c>
      <c r="J451" s="27" t="inlineStr">
        <is>
          <t>2026-10-17</t>
        </is>
      </c>
      <c r="K451" s="27" t="inlineStr">
        <is>
          <t>https://kieranvanguard.com/episodes/48</t>
        </is>
      </c>
      <c r="L451" s="27" t="n">
        <v>15</v>
      </c>
      <c r="M451" s="27" t="n">
        <v>31</v>
      </c>
      <c r="N451" s="27" t="inlineStr">
        <is>
          <t>Affiliate</t>
        </is>
      </c>
      <c r="O451" s="27" t="inlineStr">
        <is>
          <t>https://kieranvanguard.com/resources</t>
        </is>
      </c>
      <c r="P451" s="27" t="inlineStr">
        <is>
          <t>Multilingual Audio Dubbing</t>
        </is>
      </c>
      <c r="Q451" s="27" t="inlineStr">
        <is>
          <t>https://kieranvanguard.com/highlights</t>
        </is>
      </c>
      <c r="R451" s="27" t="inlineStr">
        <is>
          <t>Email</t>
        </is>
      </c>
      <c r="S451" s="27" t="inlineStr">
        <is>
          <t>hello@kieranvanguard.com</t>
        </is>
      </c>
      <c r="T451" s="27" t="inlineStr">
        <is>
          <t>https://kieranvanguard.com/work-with-me</t>
        </is>
      </c>
      <c r="U451" s="27" t="inlineStr">
        <is>
          <t>LinkedIn</t>
        </is>
      </c>
      <c r="V451" s="27" t="inlineStr">
        <is>
          <t>health &amp; longevity science frameworks, specifically regarding episode 48 on Health &amp; Longevity Science workflow optimization</t>
        </is>
      </c>
      <c r="W451" s="27" t="inlineStr">
        <is>
          <t>Hi Kieran,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51" s="27" t="inlineStr">
        <is>
          <t>2026-10-18</t>
        </is>
      </c>
      <c r="Y451" s="27" t="inlineStr">
        <is>
          <t>C</t>
        </is>
      </c>
      <c r="Z451" s="27" t="n">
        <v>81.2</v>
      </c>
      <c r="AA451" s="27" t="inlineStr">
        <is>
          <t>Qualified</t>
        </is>
      </c>
      <c r="AB451" s="27" t="inlineStr"/>
      <c r="AC451" s="28">
        <f>IF(A451="","",IF(COUNTIF($H$5:$H$1004,H451)&gt;1,"DUPLICATE","UNIQUE"))</f>
        <v/>
      </c>
      <c r="AD451" s="28">
        <f>IF(A451="","",IF(AA451="Rejected",IF(AB451&lt;&gt;"","REJECTED","ADD REASON"),IF(AND(B451&lt;&gt;"",C451&lt;&gt;"",D451&lt;&gt;"",E451&lt;&gt;"",F451&lt;&gt;"",G451&lt;&gt;"",H451&lt;&gt;"",J451&lt;&gt;"",K451&lt;&gt;"",N451&lt;&gt;"",O451&lt;&gt;"",P451&lt;&gt;"",Q451&lt;&gt;"",R451&lt;&gt;"",S451&lt;&gt;"",T451&lt;&gt;"",V451&lt;&gt;"",W451&lt;&gt;"",X451&lt;&gt;"",Y451&lt;&gt;""),"COMPLETE","MISSING FIELDS")))</f>
        <v/>
      </c>
    </row>
    <row r="452" ht="15" customHeight="1" s="15">
      <c r="A452" s="27" t="inlineStr">
        <is>
          <t>LEAD-0448</t>
        </is>
      </c>
      <c r="B452" s="27" t="inlineStr">
        <is>
          <t>Kieran Waverly</t>
        </is>
      </c>
      <c r="C452" s="27" t="inlineStr">
        <is>
          <t>YouTuber</t>
        </is>
      </c>
      <c r="D452" s="27" t="inlineStr">
        <is>
          <t>US</t>
        </is>
      </c>
      <c r="E452" s="27" t="inlineStr">
        <is>
          <t>English</t>
        </is>
      </c>
      <c r="F452" s="27" t="inlineStr">
        <is>
          <t>YouTube</t>
        </is>
      </c>
      <c r="G452" s="27" t="inlineStr">
        <is>
          <t>https://www.youtube.com/@kieranwaverly</t>
        </is>
      </c>
      <c r="H452" s="27" t="inlineStr">
        <is>
          <t>UCUS00448974468</t>
        </is>
      </c>
      <c r="I452" s="27" t="inlineStr">
        <is>
          <t>580,000</t>
        </is>
      </c>
      <c r="J452" s="27" t="inlineStr">
        <is>
          <t>2026-10-10</t>
        </is>
      </c>
      <c r="K452" s="27" t="inlineStr">
        <is>
          <t>https://www.youtube.com/watch?v=us00448</t>
        </is>
      </c>
      <c r="L452" s="27" t="n">
        <v>16</v>
      </c>
      <c r="M452" s="27" t="n">
        <v>32</v>
      </c>
      <c r="N452" s="27" t="inlineStr">
        <is>
          <t>Course</t>
        </is>
      </c>
      <c r="O452" s="27" t="inlineStr">
        <is>
          <t>https://kieranwaverly.com/academy</t>
        </is>
      </c>
      <c r="P452" s="27" t="inlineStr">
        <is>
          <t>Missing Video Captions &amp; Retention Clips</t>
        </is>
      </c>
      <c r="Q452" s="27" t="inlineStr">
        <is>
          <t>https://kieranwaverly.com/highlights</t>
        </is>
      </c>
      <c r="R452" s="27" t="inlineStr">
        <is>
          <t>Email</t>
        </is>
      </c>
      <c r="S452" s="27" t="inlineStr">
        <is>
          <t>contact@kieranwaverly.com</t>
        </is>
      </c>
      <c r="T452" s="27" t="inlineStr">
        <is>
          <t>https://kieranwaverly.com/contact</t>
        </is>
      </c>
      <c r="U452" s="27" t="inlineStr">
        <is>
          <t>LinkedIn</t>
        </is>
      </c>
      <c r="V452" s="27" t="inlineStr">
        <is>
          <t>education &amp; applied coding frameworks, specifically regarding episode 49 on Education &amp; Applied Coding workflow optimization</t>
        </is>
      </c>
      <c r="W452" s="27" t="inlineStr">
        <is>
          <t>Hi Kieran,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52" s="27" t="inlineStr">
        <is>
          <t>2026-10-18</t>
        </is>
      </c>
      <c r="Y452" s="27" t="inlineStr">
        <is>
          <t>C</t>
        </is>
      </c>
      <c r="Z452" s="27" t="n">
        <v>81.09999999999999</v>
      </c>
      <c r="AA452" s="27" t="inlineStr">
        <is>
          <t>Qualified</t>
        </is>
      </c>
      <c r="AB452" s="27" t="inlineStr"/>
      <c r="AC452" s="28">
        <f>IF(A452="","",IF(COUNTIF($H$5:$H$1004,H452)&gt;1,"DUPLICATE","UNIQUE"))</f>
        <v/>
      </c>
      <c r="AD452" s="28">
        <f>IF(A452="","",IF(AA452="Rejected",IF(AB452&lt;&gt;"","REJECTED","ADD REASON"),IF(AND(B452&lt;&gt;"",C452&lt;&gt;"",D452&lt;&gt;"",E452&lt;&gt;"",F452&lt;&gt;"",G452&lt;&gt;"",H452&lt;&gt;"",J452&lt;&gt;"",K452&lt;&gt;"",N452&lt;&gt;"",O452&lt;&gt;"",P452&lt;&gt;"",Q452&lt;&gt;"",R452&lt;&gt;"",S452&lt;&gt;"",T452&lt;&gt;"",V452&lt;&gt;"",W452&lt;&gt;"",X452&lt;&gt;"",Y452&lt;&gt;""),"COMPLETE","MISSING FIELDS")))</f>
        <v/>
      </c>
    </row>
    <row r="453" ht="15" customHeight="1" s="15">
      <c r="A453" s="27" t="inlineStr">
        <is>
          <t>LEAD-0449</t>
        </is>
      </c>
      <c r="B453" s="27" t="inlineStr">
        <is>
          <t>Kieran Yardley</t>
        </is>
      </c>
      <c r="C453" s="27" t="inlineStr">
        <is>
          <t>Podcaster</t>
        </is>
      </c>
      <c r="D453" s="27" t="inlineStr">
        <is>
          <t>US</t>
        </is>
      </c>
      <c r="E453" s="27" t="inlineStr">
        <is>
          <t>English</t>
        </is>
      </c>
      <c r="F453" s="27" t="inlineStr">
        <is>
          <t>Apple Podcasts</t>
        </is>
      </c>
      <c r="G453" s="27" t="inlineStr">
        <is>
          <t>https://podcasts.apple.com/us/podcast/kieranyardley/id1000449</t>
        </is>
      </c>
      <c r="H453" s="27" t="inlineStr">
        <is>
          <t>AP-US-1000449</t>
        </is>
      </c>
      <c r="I453" s="27" t="inlineStr">
        <is>
          <t>300,000</t>
        </is>
      </c>
      <c r="J453" s="27" t="inlineStr">
        <is>
          <t>2026-10-11</t>
        </is>
      </c>
      <c r="K453" s="27" t="inlineStr">
        <is>
          <t>https://kieranyardley.com/episodes/50</t>
        </is>
      </c>
      <c r="L453" s="27" t="n">
        <v>17</v>
      </c>
      <c r="M453" s="27" t="n">
        <v>33</v>
      </c>
      <c r="N453" s="27" t="inlineStr">
        <is>
          <t>Sponsor</t>
        </is>
      </c>
      <c r="O453" s="27" t="inlineStr">
        <is>
          <t>https://kieranyardley.com/partners</t>
        </is>
      </c>
      <c r="P453" s="27" t="inlineStr">
        <is>
          <t>Shorts Repurposing Bottleneck</t>
        </is>
      </c>
      <c r="Q453" s="27" t="inlineStr">
        <is>
          <t>https://kieranyardley.com/highlights</t>
        </is>
      </c>
      <c r="R453" s="27" t="inlineStr">
        <is>
          <t>LinkedIn</t>
        </is>
      </c>
      <c r="S453" s="27" t="inlineStr">
        <is>
          <t>https://linkedin.com/in/kieranyardley</t>
        </is>
      </c>
      <c r="T453" s="27" t="inlineStr">
        <is>
          <t>https://kieranyardley.com/about</t>
        </is>
      </c>
      <c r="U453" s="27" t="inlineStr">
        <is>
          <t>Email</t>
        </is>
      </c>
      <c r="V453" s="27" t="inlineStr">
        <is>
          <t>e-commerce &amp; digital brands frameworks, specifically regarding episode 50 on E-Commerce &amp; Digital Brands workflow optimization</t>
        </is>
      </c>
      <c r="W453" s="27" t="inlineStr">
        <is>
          <t>Hi Kieran,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53" s="27" t="inlineStr">
        <is>
          <t>2026-10-18</t>
        </is>
      </c>
      <c r="Y453" s="27" t="inlineStr">
        <is>
          <t>C</t>
        </is>
      </c>
      <c r="Z453" s="27" t="n">
        <v>81.09999999999999</v>
      </c>
      <c r="AA453" s="27" t="inlineStr">
        <is>
          <t>Qualified</t>
        </is>
      </c>
      <c r="AB453" s="27" t="inlineStr"/>
      <c r="AC453" s="28">
        <f>IF(A453="","",IF(COUNTIF($H$5:$H$1004,H453)&gt;1,"DUPLICATE","UNIQUE"))</f>
        <v/>
      </c>
      <c r="AD453" s="28">
        <f>IF(A453="","",IF(AA453="Rejected",IF(AB453&lt;&gt;"","REJECTED","ADD REASON"),IF(AND(B453&lt;&gt;"",C453&lt;&gt;"",D453&lt;&gt;"",E453&lt;&gt;"",F453&lt;&gt;"",G453&lt;&gt;"",H453&lt;&gt;"",J453&lt;&gt;"",K453&lt;&gt;"",N453&lt;&gt;"",O453&lt;&gt;"",P453&lt;&gt;"",Q453&lt;&gt;"",R453&lt;&gt;"",S453&lt;&gt;"",T453&lt;&gt;"",V453&lt;&gt;"",W453&lt;&gt;"",X453&lt;&gt;"",Y453&lt;&gt;""),"COMPLETE","MISSING FIELDS")))</f>
        <v/>
      </c>
    </row>
    <row r="454" ht="15" customHeight="1" s="15">
      <c r="A454" s="27" t="inlineStr">
        <is>
          <t>LEAD-0450</t>
        </is>
      </c>
      <c r="B454" s="27" t="inlineStr">
        <is>
          <t>Kieran Zimmerman</t>
        </is>
      </c>
      <c r="C454" s="27" t="inlineStr">
        <is>
          <t>YouTuber</t>
        </is>
      </c>
      <c r="D454" s="27" t="inlineStr">
        <is>
          <t>US</t>
        </is>
      </c>
      <c r="E454" s="27" t="inlineStr">
        <is>
          <t>English</t>
        </is>
      </c>
      <c r="F454" s="27" t="inlineStr">
        <is>
          <t>YouTube</t>
        </is>
      </c>
      <c r="G454" s="27" t="inlineStr">
        <is>
          <t>https://www.youtube.com/@kieranzimmerman</t>
        </is>
      </c>
      <c r="H454" s="27" t="inlineStr">
        <is>
          <t>UCUS00450336631</t>
        </is>
      </c>
      <c r="I454" s="27" t="inlineStr">
        <is>
          <t>620,000</t>
        </is>
      </c>
      <c r="J454" s="27" t="inlineStr">
        <is>
          <t>2026-10-12</t>
        </is>
      </c>
      <c r="K454" s="27" t="inlineStr">
        <is>
          <t>https://www.youtube.com/watch?v=us00450</t>
        </is>
      </c>
      <c r="L454" s="27" t="n">
        <v>8</v>
      </c>
      <c r="M454" s="27" t="n">
        <v>16</v>
      </c>
      <c r="N454" s="27" t="inlineStr">
        <is>
          <t>Membership</t>
        </is>
      </c>
      <c r="O454" s="27" t="inlineStr">
        <is>
          <t>https://kieranzimmerman.com/community</t>
        </is>
      </c>
      <c r="P454" s="27" t="inlineStr">
        <is>
          <t>Shorts Repurposing Bottleneck</t>
        </is>
      </c>
      <c r="Q454" s="27" t="inlineStr">
        <is>
          <t>https://kieranzimmerman.com/highlights</t>
        </is>
      </c>
      <c r="R454" s="27" t="inlineStr">
        <is>
          <t>X (Twitter)</t>
        </is>
      </c>
      <c r="S454" s="27" t="inlineStr">
        <is>
          <t>https://x.com/kieranzimmerman</t>
        </is>
      </c>
      <c r="T454" s="27" t="inlineStr">
        <is>
          <t>https://kieranzimmerman.com/links</t>
        </is>
      </c>
      <c r="U454" s="27" t="inlineStr">
        <is>
          <t>LinkedIn</t>
        </is>
      </c>
      <c r="V454" s="27" t="inlineStr">
        <is>
          <t>tech &amp; ai frameworks, specifically regarding episode 1 on Tech &amp; AI workflow optimization</t>
        </is>
      </c>
      <c r="W454" s="27" t="inlineStr">
        <is>
          <t>Hi Kieran,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54" s="27" t="inlineStr">
        <is>
          <t>2026-10-18</t>
        </is>
      </c>
      <c r="Y454" s="27" t="inlineStr">
        <is>
          <t>C</t>
        </is>
      </c>
      <c r="Z454" s="27" t="n">
        <v>81</v>
      </c>
      <c r="AA454" s="27" t="inlineStr">
        <is>
          <t>Qualified</t>
        </is>
      </c>
      <c r="AB454" s="27" t="inlineStr"/>
      <c r="AC454" s="28">
        <f>IF(A454="","",IF(COUNTIF($H$5:$H$1004,H454)&gt;1,"DUPLICATE","UNIQUE"))</f>
        <v/>
      </c>
      <c r="AD454" s="28">
        <f>IF(A454="","",IF(AA454="Rejected",IF(AB454&lt;&gt;"","REJECTED","ADD REASON"),IF(AND(B454&lt;&gt;"",C454&lt;&gt;"",D454&lt;&gt;"",E454&lt;&gt;"",F454&lt;&gt;"",G454&lt;&gt;"",H454&lt;&gt;"",J454&lt;&gt;"",K454&lt;&gt;"",N454&lt;&gt;"",O454&lt;&gt;"",P454&lt;&gt;"",Q454&lt;&gt;"",R454&lt;&gt;"",S454&lt;&gt;"",T454&lt;&gt;"",V454&lt;&gt;"",W454&lt;&gt;"",X454&lt;&gt;"",Y454&lt;&gt;""),"COMPLETE","MISSING FIELDS")))</f>
        <v/>
      </c>
    </row>
    <row r="455" ht="15" customHeight="1" s="15">
      <c r="A455" s="27" t="inlineStr">
        <is>
          <t>LEAD-0451</t>
        </is>
      </c>
      <c r="B455" s="27" t="inlineStr">
        <is>
          <t>Kieran Sterling</t>
        </is>
      </c>
      <c r="C455" s="27" t="inlineStr">
        <is>
          <t>Podcaster</t>
        </is>
      </c>
      <c r="D455" s="27" t="inlineStr">
        <is>
          <t>US</t>
        </is>
      </c>
      <c r="E455" s="27" t="inlineStr">
        <is>
          <t>English</t>
        </is>
      </c>
      <c r="F455" s="27" t="inlineStr">
        <is>
          <t>Apple Podcasts</t>
        </is>
      </c>
      <c r="G455" s="27" t="inlineStr">
        <is>
          <t>https://podcasts.apple.com/us/podcast/kieransterling/id1000451</t>
        </is>
      </c>
      <c r="H455" s="27" t="inlineStr">
        <is>
          <t>AP-US-1000451</t>
        </is>
      </c>
      <c r="I455" s="27" t="inlineStr">
        <is>
          <t>24,000</t>
        </is>
      </c>
      <c r="J455" s="27" t="inlineStr">
        <is>
          <t>2026-10-13</t>
        </is>
      </c>
      <c r="K455" s="27" t="inlineStr">
        <is>
          <t>https://kieransterling.com/episodes/52</t>
        </is>
      </c>
      <c r="L455" s="27" t="n">
        <v>9</v>
      </c>
      <c r="M455" s="27" t="n">
        <v>17</v>
      </c>
      <c r="N455" s="27" t="inlineStr">
        <is>
          <t>Product</t>
        </is>
      </c>
      <c r="O455" s="27" t="inlineStr">
        <is>
          <t>https://kieransterling.com/shop</t>
        </is>
      </c>
      <c r="P455" s="27" t="inlineStr">
        <is>
          <t>Missing Video Captions &amp; Retention Clips</t>
        </is>
      </c>
      <c r="Q455" s="27" t="inlineStr">
        <is>
          <t>https://kieransterling.com/highlights</t>
        </is>
      </c>
      <c r="R455" s="27" t="inlineStr">
        <is>
          <t>Email</t>
        </is>
      </c>
      <c r="S455" s="27" t="inlineStr">
        <is>
          <t>hello@kieransterling.com</t>
        </is>
      </c>
      <c r="T455" s="27" t="inlineStr">
        <is>
          <t>https://kieransterling.com/work-with-me</t>
        </is>
      </c>
      <c r="U455" s="27" t="inlineStr">
        <is>
          <t>LinkedIn</t>
        </is>
      </c>
      <c r="V455" s="27" t="inlineStr">
        <is>
          <t>saas &amp; product growth frameworks, specifically regarding episode 2 on SaaS &amp; Product Growth workflow optimization</t>
        </is>
      </c>
      <c r="W455" s="27" t="inlineStr">
        <is>
          <t>Hi Kieran, loved your recent piece on 'saas &amp; product growth frameworks, specifically regarding episode 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55" s="27" t="inlineStr">
        <is>
          <t>2026-10-18</t>
        </is>
      </c>
      <c r="Y455" s="27" t="inlineStr">
        <is>
          <t>C</t>
        </is>
      </c>
      <c r="Z455" s="27" t="n">
        <v>80.90000000000001</v>
      </c>
      <c r="AA455" s="27" t="inlineStr">
        <is>
          <t>Qualified</t>
        </is>
      </c>
      <c r="AB455" s="27" t="inlineStr"/>
      <c r="AC455" s="28">
        <f>IF(A455="","",IF(COUNTIF($H$5:$H$1004,H455)&gt;1,"DUPLICATE","UNIQUE"))</f>
        <v/>
      </c>
      <c r="AD455" s="28">
        <f>IF(A455="","",IF(AA455="Rejected",IF(AB455&lt;&gt;"","REJECTED","ADD REASON"),IF(AND(B455&lt;&gt;"",C455&lt;&gt;"",D455&lt;&gt;"",E455&lt;&gt;"",F455&lt;&gt;"",G455&lt;&gt;"",H455&lt;&gt;"",J455&lt;&gt;"",K455&lt;&gt;"",N455&lt;&gt;"",O455&lt;&gt;"",P455&lt;&gt;"",Q455&lt;&gt;"",R455&lt;&gt;"",S455&lt;&gt;"",T455&lt;&gt;"",V455&lt;&gt;"",W455&lt;&gt;"",X455&lt;&gt;"",Y455&lt;&gt;""),"COMPLETE","MISSING FIELDS")))</f>
        <v/>
      </c>
    </row>
    <row r="456" ht="15" customHeight="1" s="15">
      <c r="A456" s="27" t="inlineStr">
        <is>
          <t>LEAD-0452</t>
        </is>
      </c>
      <c r="B456" s="27" t="inlineStr">
        <is>
          <t>Kieran Cross</t>
        </is>
      </c>
      <c r="C456" s="27" t="inlineStr">
        <is>
          <t>Expert-Led Creator</t>
        </is>
      </c>
      <c r="D456" s="27" t="inlineStr">
        <is>
          <t>US</t>
        </is>
      </c>
      <c r="E456" s="27" t="inlineStr">
        <is>
          <t>English</t>
        </is>
      </c>
      <c r="F456" s="27" t="inlineStr">
        <is>
          <t>YouTube</t>
        </is>
      </c>
      <c r="G456" s="27" t="inlineStr">
        <is>
          <t>https://www.youtube.com/@kierancross</t>
        </is>
      </c>
      <c r="H456" s="27" t="inlineStr">
        <is>
          <t>UCUS00452529760</t>
        </is>
      </c>
      <c r="I456" s="27" t="inlineStr">
        <is>
          <t>660,000</t>
        </is>
      </c>
      <c r="J456" s="27" t="inlineStr">
        <is>
          <t>2026-10-14</t>
        </is>
      </c>
      <c r="K456" s="27" t="inlineStr">
        <is>
          <t>https://www.youtube.com/watch?v=us00452</t>
        </is>
      </c>
      <c r="L456" s="27" t="n">
        <v>10</v>
      </c>
      <c r="M456" s="27" t="n">
        <v>18</v>
      </c>
      <c r="N456" s="27" t="inlineStr">
        <is>
          <t>Consulting</t>
        </is>
      </c>
      <c r="O456" s="27" t="inlineStr">
        <is>
          <t>https://kierancross.com/advisory</t>
        </is>
      </c>
      <c r="P456" s="27" t="inlineStr">
        <is>
          <t>Editing Backlog &amp; Team Workflow Overhead</t>
        </is>
      </c>
      <c r="Q456" s="27" t="inlineStr">
        <is>
          <t>https://kierancross.com/highlights</t>
        </is>
      </c>
      <c r="R456" s="27" t="inlineStr">
        <is>
          <t>Email</t>
        </is>
      </c>
      <c r="S456" s="27" t="inlineStr">
        <is>
          <t>contact@kierancross.com</t>
        </is>
      </c>
      <c r="T456" s="27" t="inlineStr">
        <is>
          <t>https://kierancross.com/contact</t>
        </is>
      </c>
      <c r="U456" s="27" t="inlineStr">
        <is>
          <t>LinkedIn</t>
        </is>
      </c>
      <c r="V456" s="27" t="inlineStr">
        <is>
          <t>creator business &amp; monetization frameworks, specifically regarding episode 3 on Creator Business &amp; Monetization workflow optimization</t>
        </is>
      </c>
      <c r="W456" s="27" t="inlineStr">
        <is>
          <t>Hi Kieran, loved your recent piece on 'creator business &amp; monetization frameworks, specifically regarding episode 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56" s="27" t="inlineStr">
        <is>
          <t>2026-10-18</t>
        </is>
      </c>
      <c r="Y456" s="27" t="inlineStr">
        <is>
          <t>C</t>
        </is>
      </c>
      <c r="Z456" s="27" t="n">
        <v>80.90000000000001</v>
      </c>
      <c r="AA456" s="27" t="inlineStr">
        <is>
          <t>Qualified</t>
        </is>
      </c>
      <c r="AB456" s="27" t="inlineStr"/>
      <c r="AC456" s="28">
        <f>IF(A456="","",IF(COUNTIF($H$5:$H$1004,H456)&gt;1,"DUPLICATE","UNIQUE"))</f>
        <v/>
      </c>
      <c r="AD456" s="28">
        <f>IF(A456="","",IF(AA456="Rejected",IF(AB456&lt;&gt;"","REJECTED","ADD REASON"),IF(AND(B456&lt;&gt;"",C456&lt;&gt;"",D456&lt;&gt;"",E456&lt;&gt;"",F456&lt;&gt;"",G456&lt;&gt;"",H456&lt;&gt;"",J456&lt;&gt;"",K456&lt;&gt;"",N456&lt;&gt;"",O456&lt;&gt;"",P456&lt;&gt;"",Q456&lt;&gt;"",R456&lt;&gt;"",S456&lt;&gt;"",T456&lt;&gt;"",V456&lt;&gt;"",W456&lt;&gt;"",X456&lt;&gt;"",Y456&lt;&gt;""),"COMPLETE","MISSING FIELDS")))</f>
        <v/>
      </c>
    </row>
    <row r="457" ht="15" customHeight="1" s="15">
      <c r="A457" s="27" t="inlineStr">
        <is>
          <t>LEAD-0453</t>
        </is>
      </c>
      <c r="B457" s="27" t="inlineStr">
        <is>
          <t>Kieran Vance</t>
        </is>
      </c>
      <c r="C457" s="27" t="inlineStr">
        <is>
          <t>YouTuber</t>
        </is>
      </c>
      <c r="D457" s="27" t="inlineStr">
        <is>
          <t>US</t>
        </is>
      </c>
      <c r="E457" s="27" t="inlineStr">
        <is>
          <t>English</t>
        </is>
      </c>
      <c r="F457" s="27" t="inlineStr">
        <is>
          <t>YouTube</t>
        </is>
      </c>
      <c r="G457" s="27" t="inlineStr">
        <is>
          <t>https://www.youtube.com/@kieranvance</t>
        </is>
      </c>
      <c r="H457" s="27" t="inlineStr">
        <is>
          <t>UCUS00453016722</t>
        </is>
      </c>
      <c r="I457" s="27" t="inlineStr">
        <is>
          <t>680,000</t>
        </is>
      </c>
      <c r="J457" s="27" t="inlineStr">
        <is>
          <t>2026-10-15</t>
        </is>
      </c>
      <c r="K457" s="27" t="inlineStr">
        <is>
          <t>https://www.youtube.com/watch?v=us00453</t>
        </is>
      </c>
      <c r="L457" s="27" t="n">
        <v>11</v>
      </c>
      <c r="M457" s="27" t="n">
        <v>19</v>
      </c>
      <c r="N457" s="27" t="inlineStr">
        <is>
          <t>Newsletter Subscription</t>
        </is>
      </c>
      <c r="O457" s="27" t="inlineStr">
        <is>
          <t>https://kieranvance.com/subscribe</t>
        </is>
      </c>
      <c r="P457" s="27" t="inlineStr">
        <is>
          <t>Shorts Repurposing Bottleneck</t>
        </is>
      </c>
      <c r="Q457" s="27" t="inlineStr">
        <is>
          <t>https://kieranvance.com/highlights</t>
        </is>
      </c>
      <c r="R457" s="27" t="inlineStr">
        <is>
          <t>LinkedIn</t>
        </is>
      </c>
      <c r="S457" s="27" t="inlineStr">
        <is>
          <t>https://linkedin.com/in/kieranvance</t>
        </is>
      </c>
      <c r="T457" s="27" t="inlineStr">
        <is>
          <t>https://kieranvance.com/about</t>
        </is>
      </c>
      <c r="U457" s="27" t="inlineStr">
        <is>
          <t>Email</t>
        </is>
      </c>
      <c r="V457" s="27" t="inlineStr">
        <is>
          <t>productivity &amp; personal systems frameworks, specifically regarding episode 4 on Productivity &amp; Personal Systems workflow optimization</t>
        </is>
      </c>
      <c r="W457" s="27" t="inlineStr">
        <is>
          <t>Hi Kieran, loved your recent piece on 'productivity &amp; personal systems frameworks, specifically regarding episode 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57" s="27" t="inlineStr">
        <is>
          <t>2026-10-18</t>
        </is>
      </c>
      <c r="Y457" s="27" t="inlineStr">
        <is>
          <t>C</t>
        </is>
      </c>
      <c r="Z457" s="27" t="n">
        <v>80.8</v>
      </c>
      <c r="AA457" s="27" t="inlineStr">
        <is>
          <t>Qualified</t>
        </is>
      </c>
      <c r="AB457" s="27" t="inlineStr"/>
      <c r="AC457" s="28">
        <f>IF(A457="","",IF(COUNTIF($H$5:$H$1004,H457)&gt;1,"DUPLICATE","UNIQUE"))</f>
        <v/>
      </c>
      <c r="AD457" s="28">
        <f>IF(A457="","",IF(AA457="Rejected",IF(AB457&lt;&gt;"","REJECTED","ADD REASON"),IF(AND(B457&lt;&gt;"",C457&lt;&gt;"",D457&lt;&gt;"",E457&lt;&gt;"",F457&lt;&gt;"",G457&lt;&gt;"",H457&lt;&gt;"",J457&lt;&gt;"",K457&lt;&gt;"",N457&lt;&gt;"",O457&lt;&gt;"",P457&lt;&gt;"",Q457&lt;&gt;"",R457&lt;&gt;"",S457&lt;&gt;"",T457&lt;&gt;"",V457&lt;&gt;"",W457&lt;&gt;"",X457&lt;&gt;"",Y457&lt;&gt;""),"COMPLETE","MISSING FIELDS")))</f>
        <v/>
      </c>
    </row>
    <row r="458" ht="15" customHeight="1" s="15">
      <c r="A458" s="27" t="inlineStr">
        <is>
          <t>LEAD-0454</t>
        </is>
      </c>
      <c r="B458" s="27" t="inlineStr">
        <is>
          <t>Kieran Mercer</t>
        </is>
      </c>
      <c r="C458" s="27" t="inlineStr">
        <is>
          <t>Podcaster</t>
        </is>
      </c>
      <c r="D458" s="27" t="inlineStr">
        <is>
          <t>US</t>
        </is>
      </c>
      <c r="E458" s="27" t="inlineStr">
        <is>
          <t>English</t>
        </is>
      </c>
      <c r="F458" s="27" t="inlineStr">
        <is>
          <t>Apple Podcasts</t>
        </is>
      </c>
      <c r="G458" s="27" t="inlineStr">
        <is>
          <t>https://podcasts.apple.com/us/podcast/kieranmercer/id1000454</t>
        </is>
      </c>
      <c r="H458" s="27" t="inlineStr">
        <is>
          <t>AP-US-1000454</t>
        </is>
      </c>
      <c r="I458" s="27" t="inlineStr">
        <is>
          <t>60,000</t>
        </is>
      </c>
      <c r="J458" s="27" t="inlineStr">
        <is>
          <t>2026-10-16</t>
        </is>
      </c>
      <c r="K458" s="27" t="inlineStr">
        <is>
          <t>https://kieranmercer.com/episodes/55</t>
        </is>
      </c>
      <c r="L458" s="27" t="n">
        <v>12</v>
      </c>
      <c r="M458" s="27" t="n">
        <v>20</v>
      </c>
      <c r="N458" s="27" t="inlineStr">
        <is>
          <t>Affiliate</t>
        </is>
      </c>
      <c r="O458" s="27" t="inlineStr">
        <is>
          <t>https://kieranmercer.com/resources</t>
        </is>
      </c>
      <c r="P458" s="27" t="inlineStr">
        <is>
          <t>Inconsistent Cross-Platform Publishing</t>
        </is>
      </c>
      <c r="Q458" s="27" t="inlineStr">
        <is>
          <t>https://kieranmercer.com/highlights</t>
        </is>
      </c>
      <c r="R458" s="27" t="inlineStr">
        <is>
          <t>X (Twitter)</t>
        </is>
      </c>
      <c r="S458" s="27" t="inlineStr">
        <is>
          <t>https://x.com/kieranmercer</t>
        </is>
      </c>
      <c r="T458" s="27" t="inlineStr">
        <is>
          <t>https://kieranmercer.com/links</t>
        </is>
      </c>
      <c r="U458" s="27" t="inlineStr">
        <is>
          <t>LinkedIn</t>
        </is>
      </c>
      <c r="V458" s="27" t="inlineStr">
        <is>
          <t>leadership &amp; team ops frameworks, specifically regarding episode 5 on Leadership &amp; Team Ops workflow optimization</t>
        </is>
      </c>
      <c r="W458" s="27" t="inlineStr">
        <is>
          <t>Hi Kieran, loved your recent piece on 'leadership &amp; team ops frameworks, specifically regarding episode 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58" s="27" t="inlineStr">
        <is>
          <t>2026-10-18</t>
        </is>
      </c>
      <c r="Y458" s="27" t="inlineStr">
        <is>
          <t>C</t>
        </is>
      </c>
      <c r="Z458" s="27" t="n">
        <v>80.8</v>
      </c>
      <c r="AA458" s="27" t="inlineStr">
        <is>
          <t>Qualified</t>
        </is>
      </c>
      <c r="AB458" s="27" t="inlineStr"/>
      <c r="AC458" s="28">
        <f>IF(A458="","",IF(COUNTIF($H$5:$H$1004,H458)&gt;1,"DUPLICATE","UNIQUE"))</f>
        <v/>
      </c>
      <c r="AD458" s="28">
        <f>IF(A458="","",IF(AA458="Rejected",IF(AB458&lt;&gt;"","REJECTED","ADD REASON"),IF(AND(B458&lt;&gt;"",C458&lt;&gt;"",D458&lt;&gt;"",E458&lt;&gt;"",F458&lt;&gt;"",G458&lt;&gt;"",H458&lt;&gt;"",J458&lt;&gt;"",K458&lt;&gt;"",N458&lt;&gt;"",O458&lt;&gt;"",P458&lt;&gt;"",Q458&lt;&gt;"",R458&lt;&gt;"",S458&lt;&gt;"",T458&lt;&gt;"",V458&lt;&gt;"",W458&lt;&gt;"",X458&lt;&gt;"",Y458&lt;&gt;""),"COMPLETE","MISSING FIELDS")))</f>
        <v/>
      </c>
    </row>
    <row r="459" ht="15" customHeight="1" s="15">
      <c r="A459" s="27" t="inlineStr">
        <is>
          <t>LEAD-0455</t>
        </is>
      </c>
      <c r="B459" s="27" t="inlineStr">
        <is>
          <t>Kieran Sinclair</t>
        </is>
      </c>
      <c r="C459" s="27" t="inlineStr">
        <is>
          <t>Expert-Led Creator</t>
        </is>
      </c>
      <c r="D459" s="27" t="inlineStr">
        <is>
          <t>US</t>
        </is>
      </c>
      <c r="E459" s="27" t="inlineStr">
        <is>
          <t>English</t>
        </is>
      </c>
      <c r="F459" s="27" t="inlineStr">
        <is>
          <t>LinkedIn</t>
        </is>
      </c>
      <c r="G459" s="27" t="inlineStr">
        <is>
          <t>https://www.linkedin.com/in/kieransinclair</t>
        </is>
      </c>
      <c r="H459" s="27" t="inlineStr">
        <is>
          <t>LI-kieransinclair-0455</t>
        </is>
      </c>
      <c r="I459" s="27" t="inlineStr">
        <is>
          <t>36,000</t>
        </is>
      </c>
      <c r="J459" s="27" t="inlineStr">
        <is>
          <t>2026-10-17</t>
        </is>
      </c>
      <c r="K459" s="27" t="inlineStr">
        <is>
          <t>https://kieransinclair.com/posts/6</t>
        </is>
      </c>
      <c r="L459" s="27" t="n">
        <v>13</v>
      </c>
      <c r="M459" s="27" t="n">
        <v>21</v>
      </c>
      <c r="N459" s="27" t="inlineStr">
        <is>
          <t>Course</t>
        </is>
      </c>
      <c r="O459" s="27" t="inlineStr">
        <is>
          <t>https://kieransinclair.com/academy</t>
        </is>
      </c>
      <c r="P459" s="27" t="inlineStr">
        <is>
          <t>Editing Backlog &amp; Team Workflow Overhead</t>
        </is>
      </c>
      <c r="Q459" s="27" t="inlineStr">
        <is>
          <t>https://kieransinclair.com/highlights</t>
        </is>
      </c>
      <c r="R459" s="27" t="inlineStr">
        <is>
          <t>Email</t>
        </is>
      </c>
      <c r="S459" s="27" t="inlineStr">
        <is>
          <t>hello@kieransinclair.com</t>
        </is>
      </c>
      <c r="T459" s="27" t="inlineStr">
        <is>
          <t>https://kieransinclair.com/work-with-me</t>
        </is>
      </c>
      <c r="U459" s="27" t="inlineStr">
        <is>
          <t>LinkedIn</t>
        </is>
      </c>
      <c r="V459" s="27" t="inlineStr">
        <is>
          <t>b2b marketing &amp; sales frameworks, specifically regarding episode 6 on B2B Marketing &amp; Sales workflow optimization</t>
        </is>
      </c>
      <c r="W459" s="27" t="inlineStr">
        <is>
          <t>Hi Kieran, loved your recent piece on 'b2b marketing &amp; sales frameworks, specifically regarding episode 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59" s="27" t="inlineStr">
        <is>
          <t>2026-10-18</t>
        </is>
      </c>
      <c r="Y459" s="27" t="inlineStr">
        <is>
          <t>C</t>
        </is>
      </c>
      <c r="Z459" s="27" t="n">
        <v>80.7</v>
      </c>
      <c r="AA459" s="27" t="inlineStr">
        <is>
          <t>Qualified</t>
        </is>
      </c>
      <c r="AB459" s="27" t="inlineStr"/>
      <c r="AC459" s="28">
        <f>IF(A459="","",IF(COUNTIF($H$5:$H$1004,H459)&gt;1,"DUPLICATE","UNIQUE"))</f>
        <v/>
      </c>
      <c r="AD459" s="28">
        <f>IF(A459="","",IF(AA459="Rejected",IF(AB459&lt;&gt;"","REJECTED","ADD REASON"),IF(AND(B459&lt;&gt;"",C459&lt;&gt;"",D459&lt;&gt;"",E459&lt;&gt;"",F459&lt;&gt;"",G459&lt;&gt;"",H459&lt;&gt;"",J459&lt;&gt;"",K459&lt;&gt;"",N459&lt;&gt;"",O459&lt;&gt;"",P459&lt;&gt;"",Q459&lt;&gt;"",R459&lt;&gt;"",S459&lt;&gt;"",T459&lt;&gt;"",V459&lt;&gt;"",W459&lt;&gt;"",X459&lt;&gt;"",Y459&lt;&gt;""),"COMPLETE","MISSING FIELDS")))</f>
        <v/>
      </c>
    </row>
    <row r="460" ht="15" customHeight="1" s="15">
      <c r="A460" s="27" t="inlineStr">
        <is>
          <t>LEAD-0456</t>
        </is>
      </c>
      <c r="B460" s="27" t="inlineStr">
        <is>
          <t>Kieran Carrington</t>
        </is>
      </c>
      <c r="C460" s="27" t="inlineStr">
        <is>
          <t>YouTuber</t>
        </is>
      </c>
      <c r="D460" s="27" t="inlineStr">
        <is>
          <t>US</t>
        </is>
      </c>
      <c r="E460" s="27" t="inlineStr">
        <is>
          <t>English</t>
        </is>
      </c>
      <c r="F460" s="27" t="inlineStr">
        <is>
          <t>YouTube</t>
        </is>
      </c>
      <c r="G460" s="27" t="inlineStr">
        <is>
          <t>https://www.youtube.com/@kierancarrington</t>
        </is>
      </c>
      <c r="H460" s="27" t="inlineStr">
        <is>
          <t>UCUS00456480890</t>
        </is>
      </c>
      <c r="I460" s="27" t="inlineStr">
        <is>
          <t>40,000</t>
        </is>
      </c>
      <c r="J460" s="27" t="inlineStr">
        <is>
          <t>2026-10-10</t>
        </is>
      </c>
      <c r="K460" s="27" t="inlineStr">
        <is>
          <t>https://www.youtube.com/watch?v=us00456</t>
        </is>
      </c>
      <c r="L460" s="27" t="n">
        <v>14</v>
      </c>
      <c r="M460" s="27" t="n">
        <v>22</v>
      </c>
      <c r="N460" s="27" t="inlineStr">
        <is>
          <t>Sponsor</t>
        </is>
      </c>
      <c r="O460" s="27" t="inlineStr">
        <is>
          <t>https://kierancarrington.com/partners</t>
        </is>
      </c>
      <c r="P460" s="27" t="inlineStr">
        <is>
          <t>Multilingual Audio Dubbing</t>
        </is>
      </c>
      <c r="Q460" s="27" t="inlineStr">
        <is>
          <t>https://kierancarrington.com/highlights</t>
        </is>
      </c>
      <c r="R460" s="27" t="inlineStr">
        <is>
          <t>Email</t>
        </is>
      </c>
      <c r="S460" s="27" t="inlineStr">
        <is>
          <t>contact@kierancarrington.com</t>
        </is>
      </c>
      <c r="T460" s="27" t="inlineStr">
        <is>
          <t>https://kierancarrington.com/contact</t>
        </is>
      </c>
      <c r="U460" s="27" t="inlineStr">
        <is>
          <t>LinkedIn</t>
        </is>
      </c>
      <c r="V460" s="27" t="inlineStr">
        <is>
          <t>finance &amp; wealth engineering frameworks, specifically regarding episode 7 on Finance &amp; Wealth Engineering workflow optimization</t>
        </is>
      </c>
      <c r="W460" s="27" t="inlineStr">
        <is>
          <t>Hi Kieran, loved your recent piece on 'finance &amp; wealth engineering frameworks, specifically regarding episode 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60" s="27" t="inlineStr">
        <is>
          <t>2026-10-18</t>
        </is>
      </c>
      <c r="Y460" s="27" t="inlineStr">
        <is>
          <t>C</t>
        </is>
      </c>
      <c r="Z460" s="27" t="n">
        <v>80.59999999999999</v>
      </c>
      <c r="AA460" s="27" t="inlineStr">
        <is>
          <t>Qualified</t>
        </is>
      </c>
      <c r="AB460" s="27" t="inlineStr"/>
      <c r="AC460" s="28">
        <f>IF(A460="","",IF(COUNTIF($H$5:$H$1004,H460)&gt;1,"DUPLICATE","UNIQUE"))</f>
        <v/>
      </c>
      <c r="AD460" s="28">
        <f>IF(A460="","",IF(AA460="Rejected",IF(AB460&lt;&gt;"","REJECTED","ADD REASON"),IF(AND(B460&lt;&gt;"",C460&lt;&gt;"",D460&lt;&gt;"",E460&lt;&gt;"",F460&lt;&gt;"",G460&lt;&gt;"",H460&lt;&gt;"",J460&lt;&gt;"",K460&lt;&gt;"",N460&lt;&gt;"",O460&lt;&gt;"",P460&lt;&gt;"",Q460&lt;&gt;"",R460&lt;&gt;"",S460&lt;&gt;"",T460&lt;&gt;"",V460&lt;&gt;"",W460&lt;&gt;"",X460&lt;&gt;"",Y460&lt;&gt;""),"COMPLETE","MISSING FIELDS")))</f>
        <v/>
      </c>
    </row>
    <row r="461" ht="15" customHeight="1" s="15">
      <c r="A461" s="27" t="inlineStr">
        <is>
          <t>LEAD-0457</t>
        </is>
      </c>
      <c r="B461" s="27" t="inlineStr">
        <is>
          <t>Kieran Prescott</t>
        </is>
      </c>
      <c r="C461" s="27" t="inlineStr">
        <is>
          <t>Podcaster</t>
        </is>
      </c>
      <c r="D461" s="27" t="inlineStr">
        <is>
          <t>US</t>
        </is>
      </c>
      <c r="E461" s="27" t="inlineStr">
        <is>
          <t>English</t>
        </is>
      </c>
      <c r="F461" s="27" t="inlineStr">
        <is>
          <t>Apple Podcasts</t>
        </is>
      </c>
      <c r="G461" s="27" t="inlineStr">
        <is>
          <t>https://podcasts.apple.com/us/podcast/kieranprescott/id1000457</t>
        </is>
      </c>
      <c r="H461" s="27" t="inlineStr">
        <is>
          <t>AP-US-1000457</t>
        </is>
      </c>
      <c r="I461" s="27" t="inlineStr">
        <is>
          <t>96,000</t>
        </is>
      </c>
      <c r="J461" s="27" t="inlineStr">
        <is>
          <t>2026-10-11</t>
        </is>
      </c>
      <c r="K461" s="27" t="inlineStr">
        <is>
          <t>https://kieranprescott.com/episodes/58</t>
        </is>
      </c>
      <c r="L461" s="27" t="n">
        <v>15</v>
      </c>
      <c r="M461" s="27" t="n">
        <v>23</v>
      </c>
      <c r="N461" s="27" t="inlineStr">
        <is>
          <t>Membership</t>
        </is>
      </c>
      <c r="O461" s="27" t="inlineStr">
        <is>
          <t>https://kieranprescott.com/community</t>
        </is>
      </c>
      <c r="P461" s="27" t="inlineStr">
        <is>
          <t>Multilingual Audio Dubbing</t>
        </is>
      </c>
      <c r="Q461" s="27" t="inlineStr">
        <is>
          <t>https://kieranprescott.com/highlights</t>
        </is>
      </c>
      <c r="R461" s="27" t="inlineStr">
        <is>
          <t>LinkedIn</t>
        </is>
      </c>
      <c r="S461" s="27" t="inlineStr">
        <is>
          <t>https://linkedin.com/in/kieranprescott</t>
        </is>
      </c>
      <c r="T461" s="27" t="inlineStr">
        <is>
          <t>https://kieranprescott.com/about</t>
        </is>
      </c>
      <c r="U461" s="27" t="inlineStr">
        <is>
          <t>Email</t>
        </is>
      </c>
      <c r="V461" s="27" t="inlineStr">
        <is>
          <t>health &amp; longevity science frameworks, specifically regarding episode 8 on Health &amp; Longevity Science workflow optimization</t>
        </is>
      </c>
      <c r="W461" s="27" t="inlineStr">
        <is>
          <t>Hi Kieran, loved your recent piece on 'health &amp; longevity science frameworks, specifically regarding episode 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61" s="27" t="inlineStr">
        <is>
          <t>2026-10-18</t>
        </is>
      </c>
      <c r="Y461" s="27" t="inlineStr">
        <is>
          <t>C</t>
        </is>
      </c>
      <c r="Z461" s="27" t="n">
        <v>80.59999999999999</v>
      </c>
      <c r="AA461" s="27" t="inlineStr">
        <is>
          <t>Qualified</t>
        </is>
      </c>
      <c r="AB461" s="27" t="inlineStr"/>
      <c r="AC461" s="28">
        <f>IF(A461="","",IF(COUNTIF($H$5:$H$1004,H461)&gt;1,"DUPLICATE","UNIQUE"))</f>
        <v/>
      </c>
      <c r="AD461" s="28">
        <f>IF(A461="","",IF(AA461="Rejected",IF(AB461&lt;&gt;"","REJECTED","ADD REASON"),IF(AND(B461&lt;&gt;"",C461&lt;&gt;"",D461&lt;&gt;"",E461&lt;&gt;"",F461&lt;&gt;"",G461&lt;&gt;"",H461&lt;&gt;"",J461&lt;&gt;"",K461&lt;&gt;"",N461&lt;&gt;"",O461&lt;&gt;"",P461&lt;&gt;"",Q461&lt;&gt;"",R461&lt;&gt;"",S461&lt;&gt;"",T461&lt;&gt;"",V461&lt;&gt;"",W461&lt;&gt;"",X461&lt;&gt;"",Y461&lt;&gt;""),"COMPLETE","MISSING FIELDS")))</f>
        <v/>
      </c>
    </row>
    <row r="462" ht="15" customHeight="1" s="15">
      <c r="A462" s="27" t="inlineStr">
        <is>
          <t>LEAD-0458</t>
        </is>
      </c>
      <c r="B462" s="27" t="inlineStr">
        <is>
          <t>Kieran Winslow</t>
        </is>
      </c>
      <c r="C462" s="27" t="inlineStr">
        <is>
          <t>YouTuber</t>
        </is>
      </c>
      <c r="D462" s="27" t="inlineStr">
        <is>
          <t>US</t>
        </is>
      </c>
      <c r="E462" s="27" t="inlineStr">
        <is>
          <t>English</t>
        </is>
      </c>
      <c r="F462" s="27" t="inlineStr">
        <is>
          <t>YouTube</t>
        </is>
      </c>
      <c r="G462" s="27" t="inlineStr">
        <is>
          <t>https://www.youtube.com/@kieranwinslow</t>
        </is>
      </c>
      <c r="H462" s="27" t="inlineStr">
        <is>
          <t>UCUS00458353668</t>
        </is>
      </c>
      <c r="I462" s="27" t="inlineStr">
        <is>
          <t>80,000</t>
        </is>
      </c>
      <c r="J462" s="27" t="inlineStr">
        <is>
          <t>2026-10-12</t>
        </is>
      </c>
      <c r="K462" s="27" t="inlineStr">
        <is>
          <t>https://www.youtube.com/watch?v=us00458</t>
        </is>
      </c>
      <c r="L462" s="27" t="n">
        <v>16</v>
      </c>
      <c r="M462" s="27" t="n">
        <v>24</v>
      </c>
      <c r="N462" s="27" t="inlineStr">
        <is>
          <t>Product</t>
        </is>
      </c>
      <c r="O462" s="27" t="inlineStr">
        <is>
          <t>https://kieranwinslow.com/shop</t>
        </is>
      </c>
      <c r="P462" s="27" t="inlineStr">
        <is>
          <t>Missing Video Captions &amp; Retention Clips</t>
        </is>
      </c>
      <c r="Q462" s="27" t="inlineStr">
        <is>
          <t>https://kieranwinslow.com/highlights</t>
        </is>
      </c>
      <c r="R462" s="27" t="inlineStr">
        <is>
          <t>X (Twitter)</t>
        </is>
      </c>
      <c r="S462" s="27" t="inlineStr">
        <is>
          <t>https://x.com/kieranwinslow</t>
        </is>
      </c>
      <c r="T462" s="27" t="inlineStr">
        <is>
          <t>https://kieranwinslow.com/links</t>
        </is>
      </c>
      <c r="U462" s="27" t="inlineStr">
        <is>
          <t>LinkedIn</t>
        </is>
      </c>
      <c r="V462" s="27" t="inlineStr">
        <is>
          <t>education &amp; applied coding frameworks, specifically regarding episode 9 on Education &amp; Applied Coding workflow optimization</t>
        </is>
      </c>
      <c r="W462" s="27" t="inlineStr">
        <is>
          <t>Hi Kieran, loved your recent piece on 'education &amp; applied coding frameworks, specifically regarding episode 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62" s="27" t="inlineStr">
        <is>
          <t>2026-10-18</t>
        </is>
      </c>
      <c r="Y462" s="27" t="inlineStr">
        <is>
          <t>C</t>
        </is>
      </c>
      <c r="Z462" s="27" t="n">
        <v>80.5</v>
      </c>
      <c r="AA462" s="27" t="inlineStr">
        <is>
          <t>Qualified</t>
        </is>
      </c>
      <c r="AB462" s="27" t="inlineStr"/>
      <c r="AC462" s="28">
        <f>IF(A462="","",IF(COUNTIF($H$5:$H$1004,H462)&gt;1,"DUPLICATE","UNIQUE"))</f>
        <v/>
      </c>
      <c r="AD462" s="28">
        <f>IF(A462="","",IF(AA462="Rejected",IF(AB462&lt;&gt;"","REJECTED","ADD REASON"),IF(AND(B462&lt;&gt;"",C462&lt;&gt;"",D462&lt;&gt;"",E462&lt;&gt;"",F462&lt;&gt;"",G462&lt;&gt;"",H462&lt;&gt;"",J462&lt;&gt;"",K462&lt;&gt;"",N462&lt;&gt;"",O462&lt;&gt;"",P462&lt;&gt;"",Q462&lt;&gt;"",R462&lt;&gt;"",S462&lt;&gt;"",T462&lt;&gt;"",V462&lt;&gt;"",W462&lt;&gt;"",X462&lt;&gt;"",Y462&lt;&gt;""),"COMPLETE","MISSING FIELDS")))</f>
        <v/>
      </c>
    </row>
    <row r="463" ht="15" customHeight="1" s="15">
      <c r="A463" s="27" t="inlineStr">
        <is>
          <t>LEAD-0459</t>
        </is>
      </c>
      <c r="B463" s="27" t="inlineStr">
        <is>
          <t>Kieran Bradford</t>
        </is>
      </c>
      <c r="C463" s="27" t="inlineStr">
        <is>
          <t>Podcaster</t>
        </is>
      </c>
      <c r="D463" s="27" t="inlineStr">
        <is>
          <t>US</t>
        </is>
      </c>
      <c r="E463" s="27" t="inlineStr">
        <is>
          <t>English</t>
        </is>
      </c>
      <c r="F463" s="27" t="inlineStr">
        <is>
          <t>Apple Podcasts</t>
        </is>
      </c>
      <c r="G463" s="27" t="inlineStr">
        <is>
          <t>https://podcasts.apple.com/us/podcast/kieranbradford/id1000459</t>
        </is>
      </c>
      <c r="H463" s="27" t="inlineStr">
        <is>
          <t>AP-US-1000459</t>
        </is>
      </c>
      <c r="I463" s="27" t="inlineStr">
        <is>
          <t>120,000</t>
        </is>
      </c>
      <c r="J463" s="27" t="inlineStr">
        <is>
          <t>2026-10-13</t>
        </is>
      </c>
      <c r="K463" s="27" t="inlineStr">
        <is>
          <t>https://kieranbradford.com/episodes/60</t>
        </is>
      </c>
      <c r="L463" s="27" t="n">
        <v>17</v>
      </c>
      <c r="M463" s="27" t="n">
        <v>25</v>
      </c>
      <c r="N463" s="27" t="inlineStr">
        <is>
          <t>Consulting</t>
        </is>
      </c>
      <c r="O463" s="27" t="inlineStr">
        <is>
          <t>https://kieranbradford.com/advisory</t>
        </is>
      </c>
      <c r="P463" s="27" t="inlineStr">
        <is>
          <t>Shorts Repurposing Bottleneck</t>
        </is>
      </c>
      <c r="Q463" s="27" t="inlineStr">
        <is>
          <t>https://kieranbradford.com/highlights</t>
        </is>
      </c>
      <c r="R463" s="27" t="inlineStr">
        <is>
          <t>Email</t>
        </is>
      </c>
      <c r="S463" s="27" t="inlineStr">
        <is>
          <t>hello@kieranbradford.com</t>
        </is>
      </c>
      <c r="T463" s="27" t="inlineStr">
        <is>
          <t>https://kieranbradford.com/work-with-me</t>
        </is>
      </c>
      <c r="U463" s="27" t="inlineStr">
        <is>
          <t>LinkedIn</t>
        </is>
      </c>
      <c r="V463" s="27" t="inlineStr">
        <is>
          <t>e-commerce &amp; digital brands frameworks, specifically regarding episode 10 on E-Commerce &amp; Digital Brands workflow optimization</t>
        </is>
      </c>
      <c r="W463" s="27" t="inlineStr">
        <is>
          <t>Hi Kieran, loved your recent piece on 'e-commerce &amp; digital brands frameworks, specifically regarding episode 10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63" s="27" t="inlineStr">
        <is>
          <t>2026-10-18</t>
        </is>
      </c>
      <c r="Y463" s="27" t="inlineStr">
        <is>
          <t>C</t>
        </is>
      </c>
      <c r="Z463" s="27" t="n">
        <v>80.5</v>
      </c>
      <c r="AA463" s="27" t="inlineStr">
        <is>
          <t>Qualified</t>
        </is>
      </c>
      <c r="AB463" s="27" t="inlineStr"/>
      <c r="AC463" s="28">
        <f>IF(A463="","",IF(COUNTIF($H$5:$H$1004,H463)&gt;1,"DUPLICATE","UNIQUE"))</f>
        <v/>
      </c>
      <c r="AD463" s="28">
        <f>IF(A463="","",IF(AA463="Rejected",IF(AB463&lt;&gt;"","REJECTED","ADD REASON"),IF(AND(B463&lt;&gt;"",C463&lt;&gt;"",D463&lt;&gt;"",E463&lt;&gt;"",F463&lt;&gt;"",G463&lt;&gt;"",H463&lt;&gt;"",J463&lt;&gt;"",K463&lt;&gt;"",N463&lt;&gt;"",O463&lt;&gt;"",P463&lt;&gt;"",Q463&lt;&gt;"",R463&lt;&gt;"",S463&lt;&gt;"",T463&lt;&gt;"",V463&lt;&gt;"",W463&lt;&gt;"",X463&lt;&gt;"",Y463&lt;&gt;""),"COMPLETE","MISSING FIELDS")))</f>
        <v/>
      </c>
    </row>
    <row r="464" ht="15" customHeight="1" s="15">
      <c r="A464" s="27" t="inlineStr">
        <is>
          <t>LEAD-0460</t>
        </is>
      </c>
      <c r="B464" s="27" t="inlineStr">
        <is>
          <t>Kieran Kensington</t>
        </is>
      </c>
      <c r="C464" s="27" t="inlineStr">
        <is>
          <t>YouTuber</t>
        </is>
      </c>
      <c r="D464" s="27" t="inlineStr">
        <is>
          <t>US</t>
        </is>
      </c>
      <c r="E464" s="27" t="inlineStr">
        <is>
          <t>English</t>
        </is>
      </c>
      <c r="F464" s="27" t="inlineStr">
        <is>
          <t>YouTube</t>
        </is>
      </c>
      <c r="G464" s="27" t="inlineStr">
        <is>
          <t>https://www.youtube.com/@kierankensington</t>
        </is>
      </c>
      <c r="H464" s="27" t="inlineStr">
        <is>
          <t>UCUS00460335523</t>
        </is>
      </c>
      <c r="I464" s="27" t="inlineStr">
        <is>
          <t>120,000</t>
        </is>
      </c>
      <c r="J464" s="27" t="inlineStr">
        <is>
          <t>2026-10-14</t>
        </is>
      </c>
      <c r="K464" s="27" t="inlineStr">
        <is>
          <t>https://www.youtube.com/watch?v=us00460</t>
        </is>
      </c>
      <c r="L464" s="27" t="n">
        <v>8</v>
      </c>
      <c r="M464" s="27" t="n">
        <v>26</v>
      </c>
      <c r="N464" s="27" t="inlineStr">
        <is>
          <t>Newsletter Subscription</t>
        </is>
      </c>
      <c r="O464" s="27" t="inlineStr">
        <is>
          <t>https://kierankensington.com/subscribe</t>
        </is>
      </c>
      <c r="P464" s="27" t="inlineStr">
        <is>
          <t>Shorts Repurposing Bottleneck</t>
        </is>
      </c>
      <c r="Q464" s="27" t="inlineStr">
        <is>
          <t>https://kierankensington.com/highlights</t>
        </is>
      </c>
      <c r="R464" s="27" t="inlineStr">
        <is>
          <t>Email</t>
        </is>
      </c>
      <c r="S464" s="27" t="inlineStr">
        <is>
          <t>contact@kierankensington.com</t>
        </is>
      </c>
      <c r="T464" s="27" t="inlineStr">
        <is>
          <t>https://kierankensington.com/contact</t>
        </is>
      </c>
      <c r="U464" s="27" t="inlineStr">
        <is>
          <t>LinkedIn</t>
        </is>
      </c>
      <c r="V464" s="27" t="inlineStr">
        <is>
          <t>tech &amp; ai frameworks, specifically regarding episode 11 on Tech &amp; AI workflow optimization</t>
        </is>
      </c>
      <c r="W464" s="27" t="inlineStr">
        <is>
          <t>Hi Kieran, loved your recent piece on 'tech &amp; ai frameworks, specifically regarding episode 11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64" s="27" t="inlineStr">
        <is>
          <t>2026-10-18</t>
        </is>
      </c>
      <c r="Y464" s="27" t="inlineStr">
        <is>
          <t>C</t>
        </is>
      </c>
      <c r="Z464" s="27" t="n">
        <v>80.40000000000001</v>
      </c>
      <c r="AA464" s="27" t="inlineStr">
        <is>
          <t>Qualified</t>
        </is>
      </c>
      <c r="AB464" s="27" t="inlineStr"/>
      <c r="AC464" s="28">
        <f>IF(A464="","",IF(COUNTIF($H$5:$H$1004,H464)&gt;1,"DUPLICATE","UNIQUE"))</f>
        <v/>
      </c>
      <c r="AD464" s="28">
        <f>IF(A464="","",IF(AA464="Rejected",IF(AB464&lt;&gt;"","REJECTED","ADD REASON"),IF(AND(B464&lt;&gt;"",C464&lt;&gt;"",D464&lt;&gt;"",E464&lt;&gt;"",F464&lt;&gt;"",G464&lt;&gt;"",H464&lt;&gt;"",J464&lt;&gt;"",K464&lt;&gt;"",N464&lt;&gt;"",O464&lt;&gt;"",P464&lt;&gt;"",Q464&lt;&gt;"",R464&lt;&gt;"",S464&lt;&gt;"",T464&lt;&gt;"",V464&lt;&gt;"",W464&lt;&gt;"",X464&lt;&gt;"",Y464&lt;&gt;""),"COMPLETE","MISSING FIELDS")))</f>
        <v/>
      </c>
    </row>
    <row r="465" ht="15" customHeight="1" s="15">
      <c r="A465" s="27" t="inlineStr">
        <is>
          <t>LEAD-0461</t>
        </is>
      </c>
      <c r="B465" s="27" t="inlineStr">
        <is>
          <t>Kieran Lancaster</t>
        </is>
      </c>
      <c r="C465" s="27" t="inlineStr">
        <is>
          <t>Podcaster</t>
        </is>
      </c>
      <c r="D465" s="27" t="inlineStr">
        <is>
          <t>US</t>
        </is>
      </c>
      <c r="E465" s="27" t="inlineStr">
        <is>
          <t>English</t>
        </is>
      </c>
      <c r="F465" s="27" t="inlineStr">
        <is>
          <t>Apple Podcasts</t>
        </is>
      </c>
      <c r="G465" s="27" t="inlineStr">
        <is>
          <t>https://podcasts.apple.com/us/podcast/kieranlancaster/id1000461</t>
        </is>
      </c>
      <c r="H465" s="27" t="inlineStr">
        <is>
          <t>AP-US-1000461</t>
        </is>
      </c>
      <c r="I465" s="27" t="inlineStr">
        <is>
          <t>144,000</t>
        </is>
      </c>
      <c r="J465" s="27" t="inlineStr">
        <is>
          <t>2026-10-15</t>
        </is>
      </c>
      <c r="K465" s="27" t="inlineStr">
        <is>
          <t>https://kieranlancaster.com/episodes/62</t>
        </is>
      </c>
      <c r="L465" s="27" t="n">
        <v>9</v>
      </c>
      <c r="M465" s="27" t="n">
        <v>27</v>
      </c>
      <c r="N465" s="27" t="inlineStr">
        <is>
          <t>Affiliate</t>
        </is>
      </c>
      <c r="O465" s="27" t="inlineStr">
        <is>
          <t>https://kieranlancaster.com/resources</t>
        </is>
      </c>
      <c r="P465" s="27" t="inlineStr">
        <is>
          <t>Missing Video Captions &amp; Retention Clips</t>
        </is>
      </c>
      <c r="Q465" s="27" t="inlineStr">
        <is>
          <t>https://kieranlancaster.com/highlights</t>
        </is>
      </c>
      <c r="R465" s="27" t="inlineStr">
        <is>
          <t>LinkedIn</t>
        </is>
      </c>
      <c r="S465" s="27" t="inlineStr">
        <is>
          <t>https://linkedin.com/in/kieranlancaster</t>
        </is>
      </c>
      <c r="T465" s="27" t="inlineStr">
        <is>
          <t>https://kieranlancaster.com/about</t>
        </is>
      </c>
      <c r="U465" s="27" t="inlineStr">
        <is>
          <t>Email</t>
        </is>
      </c>
      <c r="V465" s="27" t="inlineStr">
        <is>
          <t>saas &amp; product growth frameworks, specifically regarding episode 12 on SaaS &amp; Product Growth workflow optimization</t>
        </is>
      </c>
      <c r="W465" s="27" t="inlineStr">
        <is>
          <t>Hi Kieran, loved your recent piece on 'saas &amp; product growth frameworks, specifically regarding episode 12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65" s="27" t="inlineStr">
        <is>
          <t>2026-10-18</t>
        </is>
      </c>
      <c r="Y465" s="27" t="inlineStr">
        <is>
          <t>C</t>
        </is>
      </c>
      <c r="Z465" s="27" t="n">
        <v>80.3</v>
      </c>
      <c r="AA465" s="27" t="inlineStr">
        <is>
          <t>Qualified</t>
        </is>
      </c>
      <c r="AB465" s="27" t="inlineStr"/>
      <c r="AC465" s="28">
        <f>IF(A465="","",IF(COUNTIF($H$5:$H$1004,H465)&gt;1,"DUPLICATE","UNIQUE"))</f>
        <v/>
      </c>
      <c r="AD465" s="28">
        <f>IF(A465="","",IF(AA465="Rejected",IF(AB465&lt;&gt;"","REJECTED","ADD REASON"),IF(AND(B465&lt;&gt;"",C465&lt;&gt;"",D465&lt;&gt;"",E465&lt;&gt;"",F465&lt;&gt;"",G465&lt;&gt;"",H465&lt;&gt;"",J465&lt;&gt;"",K465&lt;&gt;"",N465&lt;&gt;"",O465&lt;&gt;"",P465&lt;&gt;"",Q465&lt;&gt;"",R465&lt;&gt;"",S465&lt;&gt;"",T465&lt;&gt;"",V465&lt;&gt;"",W465&lt;&gt;"",X465&lt;&gt;"",Y465&lt;&gt;""),"COMPLETE","MISSING FIELDS")))</f>
        <v/>
      </c>
    </row>
    <row r="466" ht="15" customHeight="1" s="15">
      <c r="A466" s="27" t="inlineStr">
        <is>
          <t>LEAD-0462</t>
        </is>
      </c>
      <c r="B466" s="27" t="inlineStr">
        <is>
          <t>Kieran Montgomery</t>
        </is>
      </c>
      <c r="C466" s="27" t="inlineStr">
        <is>
          <t>Expert-Led Creator</t>
        </is>
      </c>
      <c r="D466" s="27" t="inlineStr">
        <is>
          <t>US</t>
        </is>
      </c>
      <c r="E466" s="27" t="inlineStr">
        <is>
          <t>English</t>
        </is>
      </c>
      <c r="F466" s="27" t="inlineStr">
        <is>
          <t>YouTube</t>
        </is>
      </c>
      <c r="G466" s="27" t="inlineStr">
        <is>
          <t>https://www.youtube.com/@kieranmontgomery</t>
        </is>
      </c>
      <c r="H466" s="27" t="inlineStr">
        <is>
          <t>UCUS00462316752</t>
        </is>
      </c>
      <c r="I466" s="27" t="inlineStr">
        <is>
          <t>160,000</t>
        </is>
      </c>
      <c r="J466" s="27" t="inlineStr">
        <is>
          <t>2026-10-16</t>
        </is>
      </c>
      <c r="K466" s="27" t="inlineStr">
        <is>
          <t>https://www.youtube.com/watch?v=us00462</t>
        </is>
      </c>
      <c r="L466" s="27" t="n">
        <v>10</v>
      </c>
      <c r="M466" s="27" t="n">
        <v>28</v>
      </c>
      <c r="N466" s="27" t="inlineStr">
        <is>
          <t>Course</t>
        </is>
      </c>
      <c r="O466" s="27" t="inlineStr">
        <is>
          <t>https://kieranmontgomery.com/academy</t>
        </is>
      </c>
      <c r="P466" s="27" t="inlineStr">
        <is>
          <t>Editing Backlog &amp; Team Workflow Overhead</t>
        </is>
      </c>
      <c r="Q466" s="27" t="inlineStr">
        <is>
          <t>https://kieranmontgomery.com/highlights</t>
        </is>
      </c>
      <c r="R466" s="27" t="inlineStr">
        <is>
          <t>X (Twitter)</t>
        </is>
      </c>
      <c r="S466" s="27" t="inlineStr">
        <is>
          <t>https://x.com/kieranmontgomery</t>
        </is>
      </c>
      <c r="T466" s="27" t="inlineStr">
        <is>
          <t>https://kieranmontgomery.com/links</t>
        </is>
      </c>
      <c r="U466" s="27" t="inlineStr">
        <is>
          <t>LinkedIn</t>
        </is>
      </c>
      <c r="V466" s="27" t="inlineStr">
        <is>
          <t>creator business &amp; monetization frameworks, specifically regarding episode 13 on Creator Business &amp; Monetization workflow optimization</t>
        </is>
      </c>
      <c r="W466" s="27" t="inlineStr">
        <is>
          <t>Hi Kieran, loved your recent piece on 'creator business &amp; monetization frameworks, specifically regarding episode 13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66" s="27" t="inlineStr">
        <is>
          <t>2026-10-18</t>
        </is>
      </c>
      <c r="Y466" s="27" t="inlineStr">
        <is>
          <t>C</t>
        </is>
      </c>
      <c r="Z466" s="27" t="n">
        <v>80.3</v>
      </c>
      <c r="AA466" s="27" t="inlineStr">
        <is>
          <t>Qualified</t>
        </is>
      </c>
      <c r="AB466" s="27" t="inlineStr"/>
      <c r="AC466" s="28">
        <f>IF(A466="","",IF(COUNTIF($H$5:$H$1004,H466)&gt;1,"DUPLICATE","UNIQUE"))</f>
        <v/>
      </c>
      <c r="AD466" s="28">
        <f>IF(A466="","",IF(AA466="Rejected",IF(AB466&lt;&gt;"","REJECTED","ADD REASON"),IF(AND(B466&lt;&gt;"",C466&lt;&gt;"",D466&lt;&gt;"",E466&lt;&gt;"",F466&lt;&gt;"",G466&lt;&gt;"",H466&lt;&gt;"",J466&lt;&gt;"",K466&lt;&gt;"",N466&lt;&gt;"",O466&lt;&gt;"",P466&lt;&gt;"",Q466&lt;&gt;"",R466&lt;&gt;"",S466&lt;&gt;"",T466&lt;&gt;"",V466&lt;&gt;"",W466&lt;&gt;"",X466&lt;&gt;"",Y466&lt;&gt;""),"COMPLETE","MISSING FIELDS")))</f>
        <v/>
      </c>
    </row>
    <row r="467" ht="15" customHeight="1" s="15">
      <c r="A467" s="27" t="inlineStr">
        <is>
          <t>LEAD-0463</t>
        </is>
      </c>
      <c r="B467" s="27" t="inlineStr">
        <is>
          <t>Kieran Barrington</t>
        </is>
      </c>
      <c r="C467" s="27" t="inlineStr">
        <is>
          <t>YouTuber</t>
        </is>
      </c>
      <c r="D467" s="27" t="inlineStr">
        <is>
          <t>US</t>
        </is>
      </c>
      <c r="E467" s="27" t="inlineStr">
        <is>
          <t>English</t>
        </is>
      </c>
      <c r="F467" s="27" t="inlineStr">
        <is>
          <t>YouTube</t>
        </is>
      </c>
      <c r="G467" s="27" t="inlineStr">
        <is>
          <t>https://www.youtube.com/@kieranbarrington</t>
        </is>
      </c>
      <c r="H467" s="27" t="inlineStr">
        <is>
          <t>UCUS00463897413</t>
        </is>
      </c>
      <c r="I467" s="27" t="inlineStr">
        <is>
          <t>180,000</t>
        </is>
      </c>
      <c r="J467" s="27" t="inlineStr">
        <is>
          <t>2026-10-17</t>
        </is>
      </c>
      <c r="K467" s="27" t="inlineStr">
        <is>
          <t>https://www.youtube.com/watch?v=us00463</t>
        </is>
      </c>
      <c r="L467" s="27" t="n">
        <v>11</v>
      </c>
      <c r="M467" s="27" t="n">
        <v>29</v>
      </c>
      <c r="N467" s="27" t="inlineStr">
        <is>
          <t>Sponsor</t>
        </is>
      </c>
      <c r="O467" s="27" t="inlineStr">
        <is>
          <t>https://kieranbarrington.com/partners</t>
        </is>
      </c>
      <c r="P467" s="27" t="inlineStr">
        <is>
          <t>Shorts Repurposing Bottleneck</t>
        </is>
      </c>
      <c r="Q467" s="27" t="inlineStr">
        <is>
          <t>https://kieranbarrington.com/highlights</t>
        </is>
      </c>
      <c r="R467" s="27" t="inlineStr">
        <is>
          <t>Email</t>
        </is>
      </c>
      <c r="S467" s="27" t="inlineStr">
        <is>
          <t>hello@kieranbarrington.com</t>
        </is>
      </c>
      <c r="T467" s="27" t="inlineStr">
        <is>
          <t>https://kieranbarrington.com/work-with-me</t>
        </is>
      </c>
      <c r="U467" s="27" t="inlineStr">
        <is>
          <t>LinkedIn</t>
        </is>
      </c>
      <c r="V467" s="27" t="inlineStr">
        <is>
          <t>productivity &amp; personal systems frameworks, specifically regarding episode 14 on Productivity &amp; Personal Systems workflow optimization</t>
        </is>
      </c>
      <c r="W467" s="27" t="inlineStr">
        <is>
          <t>Hi Kieran, loved your recent piece on 'productivity &amp; personal systems frameworks, specifically regarding episode 14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67" s="27" t="inlineStr">
        <is>
          <t>2026-10-18</t>
        </is>
      </c>
      <c r="Y467" s="27" t="inlineStr">
        <is>
          <t>C</t>
        </is>
      </c>
      <c r="Z467" s="27" t="n">
        <v>80.2</v>
      </c>
      <c r="AA467" s="27" t="inlineStr">
        <is>
          <t>Qualified</t>
        </is>
      </c>
      <c r="AB467" s="27" t="inlineStr"/>
      <c r="AC467" s="28">
        <f>IF(A467="","",IF(COUNTIF($H$5:$H$1004,H467)&gt;1,"DUPLICATE","UNIQUE"))</f>
        <v/>
      </c>
      <c r="AD467" s="28">
        <f>IF(A467="","",IF(AA467="Rejected",IF(AB467&lt;&gt;"","REJECTED","ADD REASON"),IF(AND(B467&lt;&gt;"",C467&lt;&gt;"",D467&lt;&gt;"",E467&lt;&gt;"",F467&lt;&gt;"",G467&lt;&gt;"",H467&lt;&gt;"",J467&lt;&gt;"",K467&lt;&gt;"",N467&lt;&gt;"",O467&lt;&gt;"",P467&lt;&gt;"",Q467&lt;&gt;"",R467&lt;&gt;"",S467&lt;&gt;"",T467&lt;&gt;"",V467&lt;&gt;"",W467&lt;&gt;"",X467&lt;&gt;"",Y467&lt;&gt;""),"COMPLETE","MISSING FIELDS")))</f>
        <v/>
      </c>
    </row>
    <row r="468" ht="15" customHeight="1" s="15">
      <c r="A468" s="27" t="inlineStr">
        <is>
          <t>LEAD-0464</t>
        </is>
      </c>
      <c r="B468" s="27" t="inlineStr">
        <is>
          <t>Kieran Thornton</t>
        </is>
      </c>
      <c r="C468" s="27" t="inlineStr">
        <is>
          <t>Podcaster</t>
        </is>
      </c>
      <c r="D468" s="27" t="inlineStr">
        <is>
          <t>US</t>
        </is>
      </c>
      <c r="E468" s="27" t="inlineStr">
        <is>
          <t>English</t>
        </is>
      </c>
      <c r="F468" s="27" t="inlineStr">
        <is>
          <t>Apple Podcasts</t>
        </is>
      </c>
      <c r="G468" s="27" t="inlineStr">
        <is>
          <t>https://podcasts.apple.com/us/podcast/kieranthornton/id1000464</t>
        </is>
      </c>
      <c r="H468" s="27" t="inlineStr">
        <is>
          <t>AP-US-1000464</t>
        </is>
      </c>
      <c r="I468" s="27" t="inlineStr">
        <is>
          <t>180,000</t>
        </is>
      </c>
      <c r="J468" s="27" t="inlineStr">
        <is>
          <t>2026-10-10</t>
        </is>
      </c>
      <c r="K468" s="27" t="inlineStr">
        <is>
          <t>https://kieranthornton.com/episodes/65</t>
        </is>
      </c>
      <c r="L468" s="27" t="n">
        <v>12</v>
      </c>
      <c r="M468" s="27" t="n">
        <v>30</v>
      </c>
      <c r="N468" s="27" t="inlineStr">
        <is>
          <t>Membership</t>
        </is>
      </c>
      <c r="O468" s="27" t="inlineStr">
        <is>
          <t>https://kieranthornton.com/community</t>
        </is>
      </c>
      <c r="P468" s="27" t="inlineStr">
        <is>
          <t>Inconsistent Cross-Platform Publishing</t>
        </is>
      </c>
      <c r="Q468" s="27" t="inlineStr">
        <is>
          <t>https://kieranthornton.com/highlights</t>
        </is>
      </c>
      <c r="R468" s="27" t="inlineStr">
        <is>
          <t>Email</t>
        </is>
      </c>
      <c r="S468" s="27" t="inlineStr">
        <is>
          <t>contact@kieranthornton.com</t>
        </is>
      </c>
      <c r="T468" s="27" t="inlineStr">
        <is>
          <t>https://kieranthornton.com/contact</t>
        </is>
      </c>
      <c r="U468" s="27" t="inlineStr">
        <is>
          <t>LinkedIn</t>
        </is>
      </c>
      <c r="V468" s="27" t="inlineStr">
        <is>
          <t>leadership &amp; team ops frameworks, specifically regarding episode 15 on Leadership &amp; Team Ops workflow optimization</t>
        </is>
      </c>
      <c r="W468" s="27" t="inlineStr">
        <is>
          <t>Hi Kieran, loved your recent piece on 'leadership &amp; team ops frameworks, specifically regarding episode 15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68" s="27" t="inlineStr">
        <is>
          <t>2026-10-18</t>
        </is>
      </c>
      <c r="Y468" s="27" t="inlineStr">
        <is>
          <t>C</t>
        </is>
      </c>
      <c r="Z468" s="27" t="n">
        <v>80.2</v>
      </c>
      <c r="AA468" s="27" t="inlineStr">
        <is>
          <t>Qualified</t>
        </is>
      </c>
      <c r="AB468" s="27" t="inlineStr"/>
      <c r="AC468" s="28">
        <f>IF(A468="","",IF(COUNTIF($H$5:$H$1004,H468)&gt;1,"DUPLICATE","UNIQUE"))</f>
        <v/>
      </c>
      <c r="AD468" s="28">
        <f>IF(A468="","",IF(AA468="Rejected",IF(AB468&lt;&gt;"","REJECTED","ADD REASON"),IF(AND(B468&lt;&gt;"",C468&lt;&gt;"",D468&lt;&gt;"",E468&lt;&gt;"",F468&lt;&gt;"",G468&lt;&gt;"",H468&lt;&gt;"",J468&lt;&gt;"",K468&lt;&gt;"",N468&lt;&gt;"",O468&lt;&gt;"",P468&lt;&gt;"",Q468&lt;&gt;"",R468&lt;&gt;"",S468&lt;&gt;"",T468&lt;&gt;"",V468&lt;&gt;"",W468&lt;&gt;"",X468&lt;&gt;"",Y468&lt;&gt;""),"COMPLETE","MISSING FIELDS")))</f>
        <v/>
      </c>
    </row>
    <row r="469" ht="15" customHeight="1" s="15">
      <c r="A469" s="27" t="inlineStr">
        <is>
          <t>LEAD-0465</t>
        </is>
      </c>
      <c r="B469" s="27" t="inlineStr">
        <is>
          <t>Kieran Wellington</t>
        </is>
      </c>
      <c r="C469" s="27" t="inlineStr">
        <is>
          <t>Expert-Led Creator</t>
        </is>
      </c>
      <c r="D469" s="27" t="inlineStr">
        <is>
          <t>US</t>
        </is>
      </c>
      <c r="E469" s="27" t="inlineStr">
        <is>
          <t>English</t>
        </is>
      </c>
      <c r="F469" s="27" t="inlineStr">
        <is>
          <t>LinkedIn</t>
        </is>
      </c>
      <c r="G469" s="27" t="inlineStr">
        <is>
          <t>https://www.linkedin.com/in/kieranwellington</t>
        </is>
      </c>
      <c r="H469" s="27" t="inlineStr">
        <is>
          <t>LI-kieranwellington-0465</t>
        </is>
      </c>
      <c r="I469" s="27" t="inlineStr">
        <is>
          <t>96,000</t>
        </is>
      </c>
      <c r="J469" s="27" t="inlineStr">
        <is>
          <t>2026-10-11</t>
        </is>
      </c>
      <c r="K469" s="27" t="inlineStr">
        <is>
          <t>https://kieranwellington.com/posts/16</t>
        </is>
      </c>
      <c r="L469" s="27" t="n">
        <v>13</v>
      </c>
      <c r="M469" s="27" t="n">
        <v>31</v>
      </c>
      <c r="N469" s="27" t="inlineStr">
        <is>
          <t>Product</t>
        </is>
      </c>
      <c r="O469" s="27" t="inlineStr">
        <is>
          <t>https://kieranwellington.com/shop</t>
        </is>
      </c>
      <c r="P469" s="27" t="inlineStr">
        <is>
          <t>Editing Backlog &amp; Team Workflow Overhead</t>
        </is>
      </c>
      <c r="Q469" s="27" t="inlineStr">
        <is>
          <t>https://kieranwellington.com/highlights</t>
        </is>
      </c>
      <c r="R469" s="27" t="inlineStr">
        <is>
          <t>LinkedIn</t>
        </is>
      </c>
      <c r="S469" s="27" t="inlineStr">
        <is>
          <t>https://linkedin.com/in/kieranwellington</t>
        </is>
      </c>
      <c r="T469" s="27" t="inlineStr">
        <is>
          <t>https://kieranwellington.com/about</t>
        </is>
      </c>
      <c r="U469" s="27" t="inlineStr">
        <is>
          <t>Email</t>
        </is>
      </c>
      <c r="V469" s="27" t="inlineStr">
        <is>
          <t>b2b marketing &amp; sales frameworks, specifically regarding episode 16 on B2B Marketing &amp; Sales workflow optimization</t>
        </is>
      </c>
      <c r="W469" s="27" t="inlineStr">
        <is>
          <t>Hi Kieran, loved your recent piece on 'b2b marketing &amp; sales frameworks, specifically regarding episode 16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69" s="27" t="inlineStr">
        <is>
          <t>2026-10-18</t>
        </is>
      </c>
      <c r="Y469" s="27" t="inlineStr">
        <is>
          <t>C</t>
        </is>
      </c>
      <c r="Z469" s="27" t="n">
        <v>80.09999999999999</v>
      </c>
      <c r="AA469" s="27" t="inlineStr">
        <is>
          <t>Qualified</t>
        </is>
      </c>
      <c r="AB469" s="27" t="inlineStr"/>
      <c r="AC469" s="28">
        <f>IF(A469="","",IF(COUNTIF($H$5:$H$1004,H469)&gt;1,"DUPLICATE","UNIQUE"))</f>
        <v/>
      </c>
      <c r="AD469" s="28">
        <f>IF(A469="","",IF(AA469="Rejected",IF(AB469&lt;&gt;"","REJECTED","ADD REASON"),IF(AND(B469&lt;&gt;"",C469&lt;&gt;"",D469&lt;&gt;"",E469&lt;&gt;"",F469&lt;&gt;"",G469&lt;&gt;"",H469&lt;&gt;"",J469&lt;&gt;"",K469&lt;&gt;"",N469&lt;&gt;"",O469&lt;&gt;"",P469&lt;&gt;"",Q469&lt;&gt;"",R469&lt;&gt;"",S469&lt;&gt;"",T469&lt;&gt;"",V469&lt;&gt;"",W469&lt;&gt;"",X469&lt;&gt;"",Y469&lt;&gt;""),"COMPLETE","MISSING FIELDS")))</f>
        <v/>
      </c>
    </row>
    <row r="470" ht="15" customHeight="1" s="15">
      <c r="A470" s="27" t="inlineStr">
        <is>
          <t>LEAD-0466</t>
        </is>
      </c>
      <c r="B470" s="27" t="inlineStr">
        <is>
          <t>Lucas Ashford</t>
        </is>
      </c>
      <c r="C470" s="27" t="inlineStr">
        <is>
          <t>YouTuber</t>
        </is>
      </c>
      <c r="D470" s="27" t="inlineStr">
        <is>
          <t>US</t>
        </is>
      </c>
      <c r="E470" s="27" t="inlineStr">
        <is>
          <t>English</t>
        </is>
      </c>
      <c r="F470" s="27" t="inlineStr">
        <is>
          <t>YouTube</t>
        </is>
      </c>
      <c r="G470" s="27" t="inlineStr">
        <is>
          <t>https://www.youtube.com/@lucasashford</t>
        </is>
      </c>
      <c r="H470" s="27" t="inlineStr">
        <is>
          <t>UCUS00466854323</t>
        </is>
      </c>
      <c r="I470" s="27" t="inlineStr">
        <is>
          <t>240,000</t>
        </is>
      </c>
      <c r="J470" s="27" t="inlineStr">
        <is>
          <t>2026-10-12</t>
        </is>
      </c>
      <c r="K470" s="27" t="inlineStr">
        <is>
          <t>https://www.youtube.com/watch?v=us00466</t>
        </is>
      </c>
      <c r="L470" s="27" t="n">
        <v>14</v>
      </c>
      <c r="M470" s="27" t="n">
        <v>32</v>
      </c>
      <c r="N470" s="27" t="inlineStr">
        <is>
          <t>Consulting</t>
        </is>
      </c>
      <c r="O470" s="27" t="inlineStr">
        <is>
          <t>https://lucasashford.com/advisory</t>
        </is>
      </c>
      <c r="P470" s="27" t="inlineStr">
        <is>
          <t>Multilingual Audio Dubbing</t>
        </is>
      </c>
      <c r="Q470" s="27" t="inlineStr">
        <is>
          <t>https://lucasashford.com/highlights</t>
        </is>
      </c>
      <c r="R470" s="27" t="inlineStr">
        <is>
          <t>X (Twitter)</t>
        </is>
      </c>
      <c r="S470" s="27" t="inlineStr">
        <is>
          <t>https://x.com/lucasashford</t>
        </is>
      </c>
      <c r="T470" s="27" t="inlineStr">
        <is>
          <t>https://lucasashford.com/links</t>
        </is>
      </c>
      <c r="U470" s="27" t="inlineStr">
        <is>
          <t>LinkedIn</t>
        </is>
      </c>
      <c r="V470" s="27" t="inlineStr">
        <is>
          <t>finance &amp; wealth engineering frameworks, specifically regarding episode 17 on Finance &amp; Wealth Engineering workflow optimization</t>
        </is>
      </c>
      <c r="W470" s="27" t="inlineStr">
        <is>
          <t>Hi Lucas, loved your recent piece on 'finance &amp; wealth engineering frameworks, specifically regarding episode 17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70" s="27" t="inlineStr">
        <is>
          <t>2026-10-18</t>
        </is>
      </c>
      <c r="Y470" s="27" t="inlineStr">
        <is>
          <t>C</t>
        </is>
      </c>
      <c r="Z470" s="27" t="n">
        <v>80</v>
      </c>
      <c r="AA470" s="27" t="inlineStr">
        <is>
          <t>Qualified</t>
        </is>
      </c>
      <c r="AB470" s="27" t="inlineStr"/>
      <c r="AC470" s="28">
        <f>IF(A470="","",IF(COUNTIF($H$5:$H$1004,H470)&gt;1,"DUPLICATE","UNIQUE"))</f>
        <v/>
      </c>
      <c r="AD470" s="28">
        <f>IF(A470="","",IF(AA470="Rejected",IF(AB470&lt;&gt;"","REJECTED","ADD REASON"),IF(AND(B470&lt;&gt;"",C470&lt;&gt;"",D470&lt;&gt;"",E470&lt;&gt;"",F470&lt;&gt;"",G470&lt;&gt;"",H470&lt;&gt;"",J470&lt;&gt;"",K470&lt;&gt;"",N470&lt;&gt;"",O470&lt;&gt;"",P470&lt;&gt;"",Q470&lt;&gt;"",R470&lt;&gt;"",S470&lt;&gt;"",T470&lt;&gt;"",V470&lt;&gt;"",W470&lt;&gt;"",X470&lt;&gt;"",Y470&lt;&gt;""),"COMPLETE","MISSING FIELDS")))</f>
        <v/>
      </c>
    </row>
    <row r="471" ht="15" customHeight="1" s="15">
      <c r="A471" s="27" t="inlineStr">
        <is>
          <t>LEAD-0467</t>
        </is>
      </c>
      <c r="B471" s="27" t="inlineStr">
        <is>
          <t>Lucas Bancroft</t>
        </is>
      </c>
      <c r="C471" s="27" t="inlineStr">
        <is>
          <t>Podcaster</t>
        </is>
      </c>
      <c r="D471" s="27" t="inlineStr">
        <is>
          <t>US</t>
        </is>
      </c>
      <c r="E471" s="27" t="inlineStr">
        <is>
          <t>English</t>
        </is>
      </c>
      <c r="F471" s="27" t="inlineStr">
        <is>
          <t>Apple Podcasts</t>
        </is>
      </c>
      <c r="G471" s="27" t="inlineStr">
        <is>
          <t>https://podcasts.apple.com/us/podcast/lucasbancroft/id1000467</t>
        </is>
      </c>
      <c r="H471" s="27" t="inlineStr">
        <is>
          <t>AP-US-1000467</t>
        </is>
      </c>
      <c r="I471" s="27" t="inlineStr">
        <is>
          <t>216,000</t>
        </is>
      </c>
      <c r="J471" s="27" t="inlineStr">
        <is>
          <t>2026-10-13</t>
        </is>
      </c>
      <c r="K471" s="27" t="inlineStr">
        <is>
          <t>https://lucasbancroft.com/episodes/68</t>
        </is>
      </c>
      <c r="L471" s="27" t="n">
        <v>15</v>
      </c>
      <c r="M471" s="27" t="n">
        <v>33</v>
      </c>
      <c r="N471" s="27" t="inlineStr">
        <is>
          <t>Newsletter Subscription</t>
        </is>
      </c>
      <c r="O471" s="27" t="inlineStr">
        <is>
          <t>https://lucasbancroft.com/subscribe</t>
        </is>
      </c>
      <c r="P471" s="27" t="inlineStr">
        <is>
          <t>Multilingual Audio Dubbing</t>
        </is>
      </c>
      <c r="Q471" s="27" t="inlineStr">
        <is>
          <t>https://lucasbancroft.com/highlights</t>
        </is>
      </c>
      <c r="R471" s="27" t="inlineStr">
        <is>
          <t>Email</t>
        </is>
      </c>
      <c r="S471" s="27" t="inlineStr">
        <is>
          <t>hello@lucasbancroft.com</t>
        </is>
      </c>
      <c r="T471" s="27" t="inlineStr">
        <is>
          <t>https://lucasbancroft.com/work-with-me</t>
        </is>
      </c>
      <c r="U471" s="27" t="inlineStr">
        <is>
          <t>LinkedIn</t>
        </is>
      </c>
      <c r="V471" s="27" t="inlineStr">
        <is>
          <t>health &amp; longevity science frameworks, specifically regarding episode 18 on Health &amp; Longevity Science workflow optimization</t>
        </is>
      </c>
      <c r="W471" s="27" t="inlineStr">
        <is>
          <t>Hi Lucas, loved your recent piece on 'health &amp; longevity science frameworks, specifically regarding episode 18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71" s="27" t="inlineStr">
        <is>
          <t>2026-10-18</t>
        </is>
      </c>
      <c r="Y471" s="27" t="inlineStr">
        <is>
          <t>C</t>
        </is>
      </c>
      <c r="Z471" s="27" t="n">
        <v>80</v>
      </c>
      <c r="AA471" s="27" t="inlineStr">
        <is>
          <t>Qualified</t>
        </is>
      </c>
      <c r="AB471" s="27" t="inlineStr"/>
      <c r="AC471" s="28">
        <f>IF(A471="","",IF(COUNTIF($H$5:$H$1004,H471)&gt;1,"DUPLICATE","UNIQUE"))</f>
        <v/>
      </c>
      <c r="AD471" s="28">
        <f>IF(A471="","",IF(AA471="Rejected",IF(AB471&lt;&gt;"","REJECTED","ADD REASON"),IF(AND(B471&lt;&gt;"",C471&lt;&gt;"",D471&lt;&gt;"",E471&lt;&gt;"",F471&lt;&gt;"",G471&lt;&gt;"",H471&lt;&gt;"",J471&lt;&gt;"",K471&lt;&gt;"",N471&lt;&gt;"",O471&lt;&gt;"",P471&lt;&gt;"",Q471&lt;&gt;"",R471&lt;&gt;"",S471&lt;&gt;"",T471&lt;&gt;"",V471&lt;&gt;"",W471&lt;&gt;"",X471&lt;&gt;"",Y471&lt;&gt;""),"COMPLETE","MISSING FIELDS")))</f>
        <v/>
      </c>
    </row>
    <row r="472" ht="15" customHeight="1" s="15">
      <c r="A472" s="27" t="inlineStr">
        <is>
          <t>LEAD-0468</t>
        </is>
      </c>
      <c r="B472" s="27" t="inlineStr">
        <is>
          <t>Lucas Calloway</t>
        </is>
      </c>
      <c r="C472" s="27" t="inlineStr">
        <is>
          <t>YouTuber</t>
        </is>
      </c>
      <c r="D472" s="27" t="inlineStr">
        <is>
          <t>US</t>
        </is>
      </c>
      <c r="E472" s="27" t="inlineStr">
        <is>
          <t>English</t>
        </is>
      </c>
      <c r="F472" s="27" t="inlineStr">
        <is>
          <t>YouTube</t>
        </is>
      </c>
      <c r="G472" s="27" t="inlineStr">
        <is>
          <t>https://www.youtube.com/@lucascalloway</t>
        </is>
      </c>
      <c r="H472" s="27" t="inlineStr">
        <is>
          <t>UCUS00468199272</t>
        </is>
      </c>
      <c r="I472" s="27" t="inlineStr">
        <is>
          <t>280,000</t>
        </is>
      </c>
      <c r="J472" s="27" t="inlineStr">
        <is>
          <t>2026-10-14</t>
        </is>
      </c>
      <c r="K472" s="27" t="inlineStr">
        <is>
          <t>https://www.youtube.com/watch?v=us00468</t>
        </is>
      </c>
      <c r="L472" s="27" t="n">
        <v>16</v>
      </c>
      <c r="M472" s="27" t="n">
        <v>16</v>
      </c>
      <c r="N472" s="27" t="inlineStr">
        <is>
          <t>Affiliate</t>
        </is>
      </c>
      <c r="O472" s="27" t="inlineStr">
        <is>
          <t>https://lucascalloway.com/resources</t>
        </is>
      </c>
      <c r="P472" s="27" t="inlineStr">
        <is>
          <t>Missing Video Captions &amp; Retention Clips</t>
        </is>
      </c>
      <c r="Q472" s="27" t="inlineStr">
        <is>
          <t>https://lucascalloway.com/highlights</t>
        </is>
      </c>
      <c r="R472" s="27" t="inlineStr">
        <is>
          <t>Email</t>
        </is>
      </c>
      <c r="S472" s="27" t="inlineStr">
        <is>
          <t>contact@lucascalloway.com</t>
        </is>
      </c>
      <c r="T472" s="27" t="inlineStr">
        <is>
          <t>https://lucascalloway.com/contact</t>
        </is>
      </c>
      <c r="U472" s="27" t="inlineStr">
        <is>
          <t>LinkedIn</t>
        </is>
      </c>
      <c r="V472" s="27" t="inlineStr">
        <is>
          <t>education &amp; applied coding frameworks, specifically regarding episode 19 on Education &amp; Applied Coding workflow optimization</t>
        </is>
      </c>
      <c r="W472" s="27" t="inlineStr">
        <is>
          <t>Hi Lucas, loved your recent piece on 'education &amp; applied coding frameworks, specifically regarding episode 19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72" s="27" t="inlineStr">
        <is>
          <t>2026-10-18</t>
        </is>
      </c>
      <c r="Y472" s="27" t="inlineStr">
        <is>
          <t>C</t>
        </is>
      </c>
      <c r="Z472" s="27" t="n">
        <v>79.90000000000001</v>
      </c>
      <c r="AA472" s="27" t="inlineStr">
        <is>
          <t>Qualified</t>
        </is>
      </c>
      <c r="AB472" s="27" t="inlineStr"/>
      <c r="AC472" s="28">
        <f>IF(A472="","",IF(COUNTIF($H$5:$H$1004,H472)&gt;1,"DUPLICATE","UNIQUE"))</f>
        <v/>
      </c>
      <c r="AD472" s="28">
        <f>IF(A472="","",IF(AA472="Rejected",IF(AB472&lt;&gt;"","REJECTED","ADD REASON"),IF(AND(B472&lt;&gt;"",C472&lt;&gt;"",D472&lt;&gt;"",E472&lt;&gt;"",F472&lt;&gt;"",G472&lt;&gt;"",H472&lt;&gt;"",J472&lt;&gt;"",K472&lt;&gt;"",N472&lt;&gt;"",O472&lt;&gt;"",P472&lt;&gt;"",Q472&lt;&gt;"",R472&lt;&gt;"",S472&lt;&gt;"",T472&lt;&gt;"",V472&lt;&gt;"",W472&lt;&gt;"",X472&lt;&gt;"",Y472&lt;&gt;""),"COMPLETE","MISSING FIELDS")))</f>
        <v/>
      </c>
    </row>
    <row r="473" ht="15" customHeight="1" s="15">
      <c r="A473" s="27" t="inlineStr">
        <is>
          <t>LEAD-0469</t>
        </is>
      </c>
      <c r="B473" s="27" t="inlineStr">
        <is>
          <t>Lucas Delaney</t>
        </is>
      </c>
      <c r="C473" s="27" t="inlineStr">
        <is>
          <t>Podcaster</t>
        </is>
      </c>
      <c r="D473" s="27" t="inlineStr">
        <is>
          <t>US</t>
        </is>
      </c>
      <c r="E473" s="27" t="inlineStr">
        <is>
          <t>English</t>
        </is>
      </c>
      <c r="F473" s="27" t="inlineStr">
        <is>
          <t>Apple Podcasts</t>
        </is>
      </c>
      <c r="G473" s="27" t="inlineStr">
        <is>
          <t>https://podcasts.apple.com/us/podcast/lucasdelaney/id1000469</t>
        </is>
      </c>
      <c r="H473" s="27" t="inlineStr">
        <is>
          <t>AP-US-1000469</t>
        </is>
      </c>
      <c r="I473" s="27" t="inlineStr">
        <is>
          <t>240,000</t>
        </is>
      </c>
      <c r="J473" s="27" t="inlineStr">
        <is>
          <t>2026-10-15</t>
        </is>
      </c>
      <c r="K473" s="27" t="inlineStr">
        <is>
          <t>https://lucasdelaney.com/episodes/70</t>
        </is>
      </c>
      <c r="L473" s="27" t="n">
        <v>17</v>
      </c>
      <c r="M473" s="27" t="n">
        <v>17</v>
      </c>
      <c r="N473" s="27" t="inlineStr">
        <is>
          <t>Course</t>
        </is>
      </c>
      <c r="O473" s="27" t="inlineStr">
        <is>
          <t>https://lucasdelaney.com/academy</t>
        </is>
      </c>
      <c r="P473" s="27" t="inlineStr">
        <is>
          <t>Shorts Repurposing Bottleneck</t>
        </is>
      </c>
      <c r="Q473" s="27" t="inlineStr">
        <is>
          <t>https://lucasdelaney.com/highlights</t>
        </is>
      </c>
      <c r="R473" s="27" t="inlineStr">
        <is>
          <t>LinkedIn</t>
        </is>
      </c>
      <c r="S473" s="27" t="inlineStr">
        <is>
          <t>https://linkedin.com/in/lucasdelaney</t>
        </is>
      </c>
      <c r="T473" s="27" t="inlineStr">
        <is>
          <t>https://lucasdelaney.com/about</t>
        </is>
      </c>
      <c r="U473" s="27" t="inlineStr">
        <is>
          <t>Email</t>
        </is>
      </c>
      <c r="V473" s="27" t="inlineStr">
        <is>
          <t>e-commerce &amp; digital brands frameworks, specifically regarding episode 20 on E-Commerce &amp; Digital Brands workflow optimization</t>
        </is>
      </c>
      <c r="W473" s="27" t="inlineStr">
        <is>
          <t>Hi Lucas, loved your recent piece on 'e-commerce &amp; digital brands frameworks, specifically regarding episode 20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73" s="27" t="inlineStr">
        <is>
          <t>2026-10-18</t>
        </is>
      </c>
      <c r="Y473" s="27" t="inlineStr">
        <is>
          <t>C</t>
        </is>
      </c>
      <c r="Z473" s="27" t="n">
        <v>79.90000000000001</v>
      </c>
      <c r="AA473" s="27" t="inlineStr">
        <is>
          <t>Qualified</t>
        </is>
      </c>
      <c r="AB473" s="27" t="inlineStr"/>
      <c r="AC473" s="28">
        <f>IF(A473="","",IF(COUNTIF($H$5:$H$1004,H473)&gt;1,"DUPLICATE","UNIQUE"))</f>
        <v/>
      </c>
      <c r="AD473" s="28">
        <f>IF(A473="","",IF(AA473="Rejected",IF(AB473&lt;&gt;"","REJECTED","ADD REASON"),IF(AND(B473&lt;&gt;"",C473&lt;&gt;"",D473&lt;&gt;"",E473&lt;&gt;"",F473&lt;&gt;"",G473&lt;&gt;"",H473&lt;&gt;"",J473&lt;&gt;"",K473&lt;&gt;"",N473&lt;&gt;"",O473&lt;&gt;"",P473&lt;&gt;"",Q473&lt;&gt;"",R473&lt;&gt;"",S473&lt;&gt;"",T473&lt;&gt;"",V473&lt;&gt;"",W473&lt;&gt;"",X473&lt;&gt;"",Y473&lt;&gt;""),"COMPLETE","MISSING FIELDS")))</f>
        <v/>
      </c>
    </row>
    <row r="474" ht="15" customHeight="1" s="15">
      <c r="A474" s="27" t="inlineStr">
        <is>
          <t>LEAD-0470</t>
        </is>
      </c>
      <c r="B474" s="27" t="inlineStr">
        <is>
          <t>Lucas Eastwood</t>
        </is>
      </c>
      <c r="C474" s="27" t="inlineStr">
        <is>
          <t>YouTuber</t>
        </is>
      </c>
      <c r="D474" s="27" t="inlineStr">
        <is>
          <t>US</t>
        </is>
      </c>
      <c r="E474" s="27" t="inlineStr">
        <is>
          <t>English</t>
        </is>
      </c>
      <c r="F474" s="27" t="inlineStr">
        <is>
          <t>YouTube</t>
        </is>
      </c>
      <c r="G474" s="27" t="inlineStr">
        <is>
          <t>https://www.youtube.com/@lucaseastwood</t>
        </is>
      </c>
      <c r="H474" s="27" t="inlineStr">
        <is>
          <t>UCUS00470035416</t>
        </is>
      </c>
      <c r="I474" s="27" t="inlineStr">
        <is>
          <t>320,000</t>
        </is>
      </c>
      <c r="J474" s="27" t="inlineStr">
        <is>
          <t>2026-10-16</t>
        </is>
      </c>
      <c r="K474" s="27" t="inlineStr">
        <is>
          <t>https://www.youtube.com/watch?v=us00470</t>
        </is>
      </c>
      <c r="L474" s="27" t="n">
        <v>8</v>
      </c>
      <c r="M474" s="27" t="n">
        <v>18</v>
      </c>
      <c r="N474" s="27" t="inlineStr">
        <is>
          <t>Sponsor</t>
        </is>
      </c>
      <c r="O474" s="27" t="inlineStr">
        <is>
          <t>https://lucaseastwood.com/partners</t>
        </is>
      </c>
      <c r="P474" s="27" t="inlineStr">
        <is>
          <t>Shorts Repurposing Bottleneck</t>
        </is>
      </c>
      <c r="Q474" s="27" t="inlineStr">
        <is>
          <t>https://lucaseastwood.com/highlights</t>
        </is>
      </c>
      <c r="R474" s="27" t="inlineStr">
        <is>
          <t>X (Twitter)</t>
        </is>
      </c>
      <c r="S474" s="27" t="inlineStr">
        <is>
          <t>https://x.com/lucaseastwood</t>
        </is>
      </c>
      <c r="T474" s="27" t="inlineStr">
        <is>
          <t>https://lucaseastwood.com/links</t>
        </is>
      </c>
      <c r="U474" s="27" t="inlineStr">
        <is>
          <t>LinkedIn</t>
        </is>
      </c>
      <c r="V474" s="27" t="inlineStr">
        <is>
          <t>tech &amp; ai frameworks, specifically regarding episode 21 on Tech &amp; AI workflow optimization</t>
        </is>
      </c>
      <c r="W474" s="27" t="inlineStr">
        <is>
          <t>Hi Lucas, loved your recent piece on 'tech &amp; ai frameworks, specifically regarding episode 21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74" s="27" t="inlineStr">
        <is>
          <t>2026-10-18</t>
        </is>
      </c>
      <c r="Y474" s="27" t="inlineStr">
        <is>
          <t>C</t>
        </is>
      </c>
      <c r="Z474" s="27" t="n">
        <v>79.8</v>
      </c>
      <c r="AA474" s="27" t="inlineStr">
        <is>
          <t>Qualified</t>
        </is>
      </c>
      <c r="AB474" s="27" t="inlineStr"/>
      <c r="AC474" s="28">
        <f>IF(A474="","",IF(COUNTIF($H$5:$H$1004,H474)&gt;1,"DUPLICATE","UNIQUE"))</f>
        <v/>
      </c>
      <c r="AD474" s="28">
        <f>IF(A474="","",IF(AA474="Rejected",IF(AB474&lt;&gt;"","REJECTED","ADD REASON"),IF(AND(B474&lt;&gt;"",C474&lt;&gt;"",D474&lt;&gt;"",E474&lt;&gt;"",F474&lt;&gt;"",G474&lt;&gt;"",H474&lt;&gt;"",J474&lt;&gt;"",K474&lt;&gt;"",N474&lt;&gt;"",O474&lt;&gt;"",P474&lt;&gt;"",Q474&lt;&gt;"",R474&lt;&gt;"",S474&lt;&gt;"",T474&lt;&gt;"",V474&lt;&gt;"",W474&lt;&gt;"",X474&lt;&gt;"",Y474&lt;&gt;""),"COMPLETE","MISSING FIELDS")))</f>
        <v/>
      </c>
    </row>
    <row r="475" ht="15" customHeight="1" s="15">
      <c r="A475" s="27" t="inlineStr">
        <is>
          <t>LEAD-0471</t>
        </is>
      </c>
      <c r="B475" s="27" t="inlineStr">
        <is>
          <t>Lucas Fairchild</t>
        </is>
      </c>
      <c r="C475" s="27" t="inlineStr">
        <is>
          <t>Podcaster</t>
        </is>
      </c>
      <c r="D475" s="27" t="inlineStr">
        <is>
          <t>US</t>
        </is>
      </c>
      <c r="E475" s="27" t="inlineStr">
        <is>
          <t>English</t>
        </is>
      </c>
      <c r="F475" s="27" t="inlineStr">
        <is>
          <t>Apple Podcasts</t>
        </is>
      </c>
      <c r="G475" s="27" t="inlineStr">
        <is>
          <t>https://podcasts.apple.com/us/podcast/lucasfairchild/id1000471</t>
        </is>
      </c>
      <c r="H475" s="27" t="inlineStr">
        <is>
          <t>AP-US-1000471</t>
        </is>
      </c>
      <c r="I475" s="27" t="inlineStr">
        <is>
          <t>264,000</t>
        </is>
      </c>
      <c r="J475" s="27" t="inlineStr">
        <is>
          <t>2026-10-17</t>
        </is>
      </c>
      <c r="K475" s="27" t="inlineStr">
        <is>
          <t>https://lucasfairchild.com/episodes/72</t>
        </is>
      </c>
      <c r="L475" s="27" t="n">
        <v>9</v>
      </c>
      <c r="M475" s="27" t="n">
        <v>19</v>
      </c>
      <c r="N475" s="27" t="inlineStr">
        <is>
          <t>Membership</t>
        </is>
      </c>
      <c r="O475" s="27" t="inlineStr">
        <is>
          <t>https://lucasfairchild.com/community</t>
        </is>
      </c>
      <c r="P475" s="27" t="inlineStr">
        <is>
          <t>Missing Video Captions &amp; Retention Clips</t>
        </is>
      </c>
      <c r="Q475" s="27" t="inlineStr">
        <is>
          <t>https://lucasfairchild.com/highlights</t>
        </is>
      </c>
      <c r="R475" s="27" t="inlineStr">
        <is>
          <t>Email</t>
        </is>
      </c>
      <c r="S475" s="27" t="inlineStr">
        <is>
          <t>hello@lucasfairchild.com</t>
        </is>
      </c>
      <c r="T475" s="27" t="inlineStr">
        <is>
          <t>https://lucasfairchild.com/work-with-me</t>
        </is>
      </c>
      <c r="U475" s="27" t="inlineStr">
        <is>
          <t>LinkedIn</t>
        </is>
      </c>
      <c r="V475" s="27" t="inlineStr">
        <is>
          <t>saas &amp; product growth frameworks, specifically regarding episode 22 on SaaS &amp; Product Growth workflow optimization</t>
        </is>
      </c>
      <c r="W475" s="27" t="inlineStr">
        <is>
          <t>Hi Lucas, loved your recent piece on 'saas &amp; product growth frameworks, specifically regarding episode 22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75" s="27" t="inlineStr">
        <is>
          <t>2026-10-18</t>
        </is>
      </c>
      <c r="Y475" s="27" t="inlineStr">
        <is>
          <t>C</t>
        </is>
      </c>
      <c r="Z475" s="27" t="n">
        <v>79.7</v>
      </c>
      <c r="AA475" s="27" t="inlineStr">
        <is>
          <t>Qualified</t>
        </is>
      </c>
      <c r="AB475" s="27" t="inlineStr"/>
      <c r="AC475" s="28">
        <f>IF(A475="","",IF(COUNTIF($H$5:$H$1004,H475)&gt;1,"DUPLICATE","UNIQUE"))</f>
        <v/>
      </c>
      <c r="AD475" s="28">
        <f>IF(A475="","",IF(AA475="Rejected",IF(AB475&lt;&gt;"","REJECTED","ADD REASON"),IF(AND(B475&lt;&gt;"",C475&lt;&gt;"",D475&lt;&gt;"",E475&lt;&gt;"",F475&lt;&gt;"",G475&lt;&gt;"",H475&lt;&gt;"",J475&lt;&gt;"",K475&lt;&gt;"",N475&lt;&gt;"",O475&lt;&gt;"",P475&lt;&gt;"",Q475&lt;&gt;"",R475&lt;&gt;"",S475&lt;&gt;"",T475&lt;&gt;"",V475&lt;&gt;"",W475&lt;&gt;"",X475&lt;&gt;"",Y475&lt;&gt;""),"COMPLETE","MISSING FIELDS")))</f>
        <v/>
      </c>
    </row>
    <row r="476" ht="15" customHeight="1" s="15">
      <c r="A476" s="27" t="inlineStr">
        <is>
          <t>LEAD-0472</t>
        </is>
      </c>
      <c r="B476" s="27" t="inlineStr">
        <is>
          <t>Lucas Gallagher</t>
        </is>
      </c>
      <c r="C476" s="27" t="inlineStr">
        <is>
          <t>Expert-Led Creator</t>
        </is>
      </c>
      <c r="D476" s="27" t="inlineStr">
        <is>
          <t>US</t>
        </is>
      </c>
      <c r="E476" s="27" t="inlineStr">
        <is>
          <t>English</t>
        </is>
      </c>
      <c r="F476" s="27" t="inlineStr">
        <is>
          <t>YouTube</t>
        </is>
      </c>
      <c r="G476" s="27" t="inlineStr">
        <is>
          <t>https://www.youtube.com/@lucasgallagher</t>
        </is>
      </c>
      <c r="H476" s="27" t="inlineStr">
        <is>
          <t>UCUS00472665407</t>
        </is>
      </c>
      <c r="I476" s="27" t="inlineStr">
        <is>
          <t>360,000</t>
        </is>
      </c>
      <c r="J476" s="27" t="inlineStr">
        <is>
          <t>2026-10-10</t>
        </is>
      </c>
      <c r="K476" s="27" t="inlineStr">
        <is>
          <t>https://www.youtube.com/watch?v=us00472</t>
        </is>
      </c>
      <c r="L476" s="27" t="n">
        <v>10</v>
      </c>
      <c r="M476" s="27" t="n">
        <v>20</v>
      </c>
      <c r="N476" s="27" t="inlineStr">
        <is>
          <t>Product</t>
        </is>
      </c>
      <c r="O476" s="27" t="inlineStr">
        <is>
          <t>https://lucasgallagher.com/shop</t>
        </is>
      </c>
      <c r="P476" s="27" t="inlineStr">
        <is>
          <t>Editing Backlog &amp; Team Workflow Overhead</t>
        </is>
      </c>
      <c r="Q476" s="27" t="inlineStr">
        <is>
          <t>https://lucasgallagher.com/highlights</t>
        </is>
      </c>
      <c r="R476" s="27" t="inlineStr">
        <is>
          <t>Email</t>
        </is>
      </c>
      <c r="S476" s="27" t="inlineStr">
        <is>
          <t>contact@lucasgallagher.com</t>
        </is>
      </c>
      <c r="T476" s="27" t="inlineStr">
        <is>
          <t>https://lucasgallagher.com/contact</t>
        </is>
      </c>
      <c r="U476" s="27" t="inlineStr">
        <is>
          <t>LinkedIn</t>
        </is>
      </c>
      <c r="V476" s="27" t="inlineStr">
        <is>
          <t>creator business &amp; monetization frameworks, specifically regarding episode 23 on Creator Business &amp; Monetization workflow optimization</t>
        </is>
      </c>
      <c r="W476" s="27" t="inlineStr">
        <is>
          <t>Hi Lucas, loved your recent piece on 'creator business &amp; monetization frameworks, specifically regarding episode 23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76" s="27" t="inlineStr">
        <is>
          <t>2026-10-18</t>
        </is>
      </c>
      <c r="Y476" s="27" t="inlineStr">
        <is>
          <t>C</t>
        </is>
      </c>
      <c r="Z476" s="27" t="n">
        <v>79.7</v>
      </c>
      <c r="AA476" s="27" t="inlineStr">
        <is>
          <t>Qualified</t>
        </is>
      </c>
      <c r="AB476" s="27" t="inlineStr"/>
      <c r="AC476" s="28">
        <f>IF(A476="","",IF(COUNTIF($H$5:$H$1004,H476)&gt;1,"DUPLICATE","UNIQUE"))</f>
        <v/>
      </c>
      <c r="AD476" s="28">
        <f>IF(A476="","",IF(AA476="Rejected",IF(AB476&lt;&gt;"","REJECTED","ADD REASON"),IF(AND(B476&lt;&gt;"",C476&lt;&gt;"",D476&lt;&gt;"",E476&lt;&gt;"",F476&lt;&gt;"",G476&lt;&gt;"",H476&lt;&gt;"",J476&lt;&gt;"",K476&lt;&gt;"",N476&lt;&gt;"",O476&lt;&gt;"",P476&lt;&gt;"",Q476&lt;&gt;"",R476&lt;&gt;"",S476&lt;&gt;"",T476&lt;&gt;"",V476&lt;&gt;"",W476&lt;&gt;"",X476&lt;&gt;"",Y476&lt;&gt;""),"COMPLETE","MISSING FIELDS")))</f>
        <v/>
      </c>
    </row>
    <row r="477" ht="15" customHeight="1" s="15">
      <c r="A477" s="27" t="inlineStr">
        <is>
          <t>LEAD-0473</t>
        </is>
      </c>
      <c r="B477" s="27" t="inlineStr">
        <is>
          <t>Lucas Hawthorne</t>
        </is>
      </c>
      <c r="C477" s="27" t="inlineStr">
        <is>
          <t>YouTuber</t>
        </is>
      </c>
      <c r="D477" s="27" t="inlineStr">
        <is>
          <t>US</t>
        </is>
      </c>
      <c r="E477" s="27" t="inlineStr">
        <is>
          <t>English</t>
        </is>
      </c>
      <c r="F477" s="27" t="inlineStr">
        <is>
          <t>YouTube</t>
        </is>
      </c>
      <c r="G477" s="27" t="inlineStr">
        <is>
          <t>https://www.youtube.com/@lucashawthorne</t>
        </is>
      </c>
      <c r="H477" s="27" t="inlineStr">
        <is>
          <t>UCUS00473121089</t>
        </is>
      </c>
      <c r="I477" s="27" t="inlineStr">
        <is>
          <t>380,000</t>
        </is>
      </c>
      <c r="J477" s="27" t="inlineStr">
        <is>
          <t>2026-10-11</t>
        </is>
      </c>
      <c r="K477" s="27" t="inlineStr">
        <is>
          <t>https://www.youtube.com/watch?v=us00473</t>
        </is>
      </c>
      <c r="L477" s="27" t="n">
        <v>11</v>
      </c>
      <c r="M477" s="27" t="n">
        <v>21</v>
      </c>
      <c r="N477" s="27" t="inlineStr">
        <is>
          <t>Consulting</t>
        </is>
      </c>
      <c r="O477" s="27" t="inlineStr">
        <is>
          <t>https://lucashawthorne.com/advisory</t>
        </is>
      </c>
      <c r="P477" s="27" t="inlineStr">
        <is>
          <t>Shorts Repurposing Bottleneck</t>
        </is>
      </c>
      <c r="Q477" s="27" t="inlineStr">
        <is>
          <t>https://lucashawthorne.com/highlights</t>
        </is>
      </c>
      <c r="R477" s="27" t="inlineStr">
        <is>
          <t>LinkedIn</t>
        </is>
      </c>
      <c r="S477" s="27" t="inlineStr">
        <is>
          <t>https://linkedin.com/in/lucashawthorne</t>
        </is>
      </c>
      <c r="T477" s="27" t="inlineStr">
        <is>
          <t>https://lucashawthorne.com/about</t>
        </is>
      </c>
      <c r="U477" s="27" t="inlineStr">
        <is>
          <t>Email</t>
        </is>
      </c>
      <c r="V477" s="27" t="inlineStr">
        <is>
          <t>productivity &amp; personal systems frameworks, specifically regarding episode 24 on Productivity &amp; Personal Systems workflow optimization</t>
        </is>
      </c>
      <c r="W477" s="27" t="inlineStr">
        <is>
          <t>Hi Lucas, loved your recent piece on 'productivity &amp; personal systems frameworks, specifically regarding episode 24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77" s="27" t="inlineStr">
        <is>
          <t>2026-10-18</t>
        </is>
      </c>
      <c r="Y477" s="27" t="inlineStr">
        <is>
          <t>C</t>
        </is>
      </c>
      <c r="Z477" s="27" t="n">
        <v>79.59999999999999</v>
      </c>
      <c r="AA477" s="27" t="inlineStr">
        <is>
          <t>Qualified</t>
        </is>
      </c>
      <c r="AB477" s="27" t="inlineStr"/>
      <c r="AC477" s="28">
        <f>IF(A477="","",IF(COUNTIF($H$5:$H$1004,H477)&gt;1,"DUPLICATE","UNIQUE"))</f>
        <v/>
      </c>
      <c r="AD477" s="28">
        <f>IF(A477="","",IF(AA477="Rejected",IF(AB477&lt;&gt;"","REJECTED","ADD REASON"),IF(AND(B477&lt;&gt;"",C477&lt;&gt;"",D477&lt;&gt;"",E477&lt;&gt;"",F477&lt;&gt;"",G477&lt;&gt;"",H477&lt;&gt;"",J477&lt;&gt;"",K477&lt;&gt;"",N477&lt;&gt;"",O477&lt;&gt;"",P477&lt;&gt;"",Q477&lt;&gt;"",R477&lt;&gt;"",S477&lt;&gt;"",T477&lt;&gt;"",V477&lt;&gt;"",W477&lt;&gt;"",X477&lt;&gt;"",Y477&lt;&gt;""),"COMPLETE","MISSING FIELDS")))</f>
        <v/>
      </c>
    </row>
    <row r="478" ht="15" customHeight="1" s="15">
      <c r="A478" s="27" t="inlineStr">
        <is>
          <t>LEAD-0474</t>
        </is>
      </c>
      <c r="B478" s="27" t="inlineStr">
        <is>
          <t>Lucas Ingram</t>
        </is>
      </c>
      <c r="C478" s="27" t="inlineStr">
        <is>
          <t>Podcaster</t>
        </is>
      </c>
      <c r="D478" s="27" t="inlineStr">
        <is>
          <t>US</t>
        </is>
      </c>
      <c r="E478" s="27" t="inlineStr">
        <is>
          <t>English</t>
        </is>
      </c>
      <c r="F478" s="27" t="inlineStr">
        <is>
          <t>Apple Podcasts</t>
        </is>
      </c>
      <c r="G478" s="27" t="inlineStr">
        <is>
          <t>https://podcasts.apple.com/us/podcast/lucasingram/id1000474</t>
        </is>
      </c>
      <c r="H478" s="27" t="inlineStr">
        <is>
          <t>AP-US-1000474</t>
        </is>
      </c>
      <c r="I478" s="27" t="inlineStr">
        <is>
          <t>300,000</t>
        </is>
      </c>
      <c r="J478" s="27" t="inlineStr">
        <is>
          <t>2026-10-12</t>
        </is>
      </c>
      <c r="K478" s="27" t="inlineStr">
        <is>
          <t>https://lucasingram.com/episodes/75</t>
        </is>
      </c>
      <c r="L478" s="27" t="n">
        <v>12</v>
      </c>
      <c r="M478" s="27" t="n">
        <v>22</v>
      </c>
      <c r="N478" s="27" t="inlineStr">
        <is>
          <t>Newsletter Subscription</t>
        </is>
      </c>
      <c r="O478" s="27" t="inlineStr">
        <is>
          <t>https://lucasingram.com/subscribe</t>
        </is>
      </c>
      <c r="P478" s="27" t="inlineStr">
        <is>
          <t>Inconsistent Cross-Platform Publishing</t>
        </is>
      </c>
      <c r="Q478" s="27" t="inlineStr">
        <is>
          <t>https://lucasingram.com/highlights</t>
        </is>
      </c>
      <c r="R478" s="27" t="inlineStr">
        <is>
          <t>X (Twitter)</t>
        </is>
      </c>
      <c r="S478" s="27" t="inlineStr">
        <is>
          <t>https://x.com/lucasingram</t>
        </is>
      </c>
      <c r="T478" s="27" t="inlineStr">
        <is>
          <t>https://lucasingram.com/links</t>
        </is>
      </c>
      <c r="U478" s="27" t="inlineStr">
        <is>
          <t>LinkedIn</t>
        </is>
      </c>
      <c r="V478" s="27" t="inlineStr">
        <is>
          <t>leadership &amp; team ops frameworks, specifically regarding episode 25 on Leadership &amp; Team Ops workflow optimization</t>
        </is>
      </c>
      <c r="W478" s="27" t="inlineStr">
        <is>
          <t>Hi Lucas, loved your recent piece on 'leadership &amp; team ops frameworks, specifically regarding episode 25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78" s="27" t="inlineStr">
        <is>
          <t>2026-10-18</t>
        </is>
      </c>
      <c r="Y478" s="27" t="inlineStr">
        <is>
          <t>C</t>
        </is>
      </c>
      <c r="Z478" s="27" t="n">
        <v>79.59999999999999</v>
      </c>
      <c r="AA478" s="27" t="inlineStr">
        <is>
          <t>Qualified</t>
        </is>
      </c>
      <c r="AB478" s="27" t="inlineStr"/>
      <c r="AC478" s="28">
        <f>IF(A478="","",IF(COUNTIF($H$5:$H$1004,H478)&gt;1,"DUPLICATE","UNIQUE"))</f>
        <v/>
      </c>
      <c r="AD478" s="28">
        <f>IF(A478="","",IF(AA478="Rejected",IF(AB478&lt;&gt;"","REJECTED","ADD REASON"),IF(AND(B478&lt;&gt;"",C478&lt;&gt;"",D478&lt;&gt;"",E478&lt;&gt;"",F478&lt;&gt;"",G478&lt;&gt;"",H478&lt;&gt;"",J478&lt;&gt;"",K478&lt;&gt;"",N478&lt;&gt;"",O478&lt;&gt;"",P478&lt;&gt;"",Q478&lt;&gt;"",R478&lt;&gt;"",S478&lt;&gt;"",T478&lt;&gt;"",V478&lt;&gt;"",W478&lt;&gt;"",X478&lt;&gt;"",Y478&lt;&gt;""),"COMPLETE","MISSING FIELDS")))</f>
        <v/>
      </c>
    </row>
    <row r="479" ht="15" customHeight="1" s="15">
      <c r="A479" s="27" t="inlineStr">
        <is>
          <t>LEAD-0475</t>
        </is>
      </c>
      <c r="B479" s="27" t="inlineStr">
        <is>
          <t>Lucas Jennings</t>
        </is>
      </c>
      <c r="C479" s="27" t="inlineStr">
        <is>
          <t>Expert-Led Creator</t>
        </is>
      </c>
      <c r="D479" s="27" t="inlineStr">
        <is>
          <t>US</t>
        </is>
      </c>
      <c r="E479" s="27" t="inlineStr">
        <is>
          <t>English</t>
        </is>
      </c>
      <c r="F479" s="27" t="inlineStr">
        <is>
          <t>LinkedIn</t>
        </is>
      </c>
      <c r="G479" s="27" t="inlineStr">
        <is>
          <t>https://www.linkedin.com/in/lucasjennings</t>
        </is>
      </c>
      <c r="H479" s="27" t="inlineStr">
        <is>
          <t>LI-lucasjennings-0475</t>
        </is>
      </c>
      <c r="I479" s="27" t="inlineStr">
        <is>
          <t>156,000</t>
        </is>
      </c>
      <c r="J479" s="27" t="inlineStr">
        <is>
          <t>2026-10-13</t>
        </is>
      </c>
      <c r="K479" s="27" t="inlineStr">
        <is>
          <t>https://lucasjennings.com/posts/26</t>
        </is>
      </c>
      <c r="L479" s="27" t="n">
        <v>13</v>
      </c>
      <c r="M479" s="27" t="n">
        <v>23</v>
      </c>
      <c r="N479" s="27" t="inlineStr">
        <is>
          <t>Affiliate</t>
        </is>
      </c>
      <c r="O479" s="27" t="inlineStr">
        <is>
          <t>https://lucasjennings.com/resources</t>
        </is>
      </c>
      <c r="P479" s="27" t="inlineStr">
        <is>
          <t>Editing Backlog &amp; Team Workflow Overhead</t>
        </is>
      </c>
      <c r="Q479" s="27" t="inlineStr">
        <is>
          <t>https://lucasjennings.com/highlights</t>
        </is>
      </c>
      <c r="R479" s="27" t="inlineStr">
        <is>
          <t>Email</t>
        </is>
      </c>
      <c r="S479" s="27" t="inlineStr">
        <is>
          <t>hello@lucasjennings.com</t>
        </is>
      </c>
      <c r="T479" s="27" t="inlineStr">
        <is>
          <t>https://lucasjennings.com/work-with-me</t>
        </is>
      </c>
      <c r="U479" s="27" t="inlineStr">
        <is>
          <t>LinkedIn</t>
        </is>
      </c>
      <c r="V479" s="27" t="inlineStr">
        <is>
          <t>b2b marketing &amp; sales frameworks, specifically regarding episode 26 on B2B Marketing &amp; Sales workflow optimization</t>
        </is>
      </c>
      <c r="W479" s="27" t="inlineStr">
        <is>
          <t>Hi Lucas, loved your recent piece on 'b2b marketing &amp; sales frameworks, specifically regarding episode 26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79" s="27" t="inlineStr">
        <is>
          <t>2026-10-18</t>
        </is>
      </c>
      <c r="Y479" s="27" t="inlineStr">
        <is>
          <t>C</t>
        </is>
      </c>
      <c r="Z479" s="27" t="n">
        <v>79.5</v>
      </c>
      <c r="AA479" s="27" t="inlineStr">
        <is>
          <t>Qualified</t>
        </is>
      </c>
      <c r="AB479" s="27" t="inlineStr"/>
      <c r="AC479" s="28">
        <f>IF(A479="","",IF(COUNTIF($H$5:$H$1004,H479)&gt;1,"DUPLICATE","UNIQUE"))</f>
        <v/>
      </c>
      <c r="AD479" s="28">
        <f>IF(A479="","",IF(AA479="Rejected",IF(AB479&lt;&gt;"","REJECTED","ADD REASON"),IF(AND(B479&lt;&gt;"",C479&lt;&gt;"",D479&lt;&gt;"",E479&lt;&gt;"",F479&lt;&gt;"",G479&lt;&gt;"",H479&lt;&gt;"",J479&lt;&gt;"",K479&lt;&gt;"",N479&lt;&gt;"",O479&lt;&gt;"",P479&lt;&gt;"",Q479&lt;&gt;"",R479&lt;&gt;"",S479&lt;&gt;"",T479&lt;&gt;"",V479&lt;&gt;"",W479&lt;&gt;"",X479&lt;&gt;"",Y479&lt;&gt;""),"COMPLETE","MISSING FIELDS")))</f>
        <v/>
      </c>
    </row>
    <row r="480" ht="15" customHeight="1" s="15">
      <c r="A480" s="27" t="inlineStr">
        <is>
          <t>LEAD-0476</t>
        </is>
      </c>
      <c r="B480" s="27" t="inlineStr">
        <is>
          <t>Lucas Kingsley</t>
        </is>
      </c>
      <c r="C480" s="27" t="inlineStr">
        <is>
          <t>YouTuber</t>
        </is>
      </c>
      <c r="D480" s="27" t="inlineStr">
        <is>
          <t>US</t>
        </is>
      </c>
      <c r="E480" s="27" t="inlineStr">
        <is>
          <t>English</t>
        </is>
      </c>
      <c r="F480" s="27" t="inlineStr">
        <is>
          <t>YouTube</t>
        </is>
      </c>
      <c r="G480" s="27" t="inlineStr">
        <is>
          <t>https://www.youtube.com/@lucaskingsley</t>
        </is>
      </c>
      <c r="H480" s="27" t="inlineStr">
        <is>
          <t>UCUS00476988069</t>
        </is>
      </c>
      <c r="I480" s="27" t="inlineStr">
        <is>
          <t>440,000</t>
        </is>
      </c>
      <c r="J480" s="27" t="inlineStr">
        <is>
          <t>2026-10-14</t>
        </is>
      </c>
      <c r="K480" s="27" t="inlineStr">
        <is>
          <t>https://www.youtube.com/watch?v=us00476</t>
        </is>
      </c>
      <c r="L480" s="27" t="n">
        <v>14</v>
      </c>
      <c r="M480" s="27" t="n">
        <v>24</v>
      </c>
      <c r="N480" s="27" t="inlineStr">
        <is>
          <t>Course</t>
        </is>
      </c>
      <c r="O480" s="27" t="inlineStr">
        <is>
          <t>https://lucaskingsley.com/academy</t>
        </is>
      </c>
      <c r="P480" s="27" t="inlineStr">
        <is>
          <t>Multilingual Audio Dubbing</t>
        </is>
      </c>
      <c r="Q480" s="27" t="inlineStr">
        <is>
          <t>https://lucaskingsley.com/highlights</t>
        </is>
      </c>
      <c r="R480" s="27" t="inlineStr">
        <is>
          <t>Email</t>
        </is>
      </c>
      <c r="S480" s="27" t="inlineStr">
        <is>
          <t>contact@lucaskingsley.com</t>
        </is>
      </c>
      <c r="T480" s="27" t="inlineStr">
        <is>
          <t>https://lucaskingsley.com/contact</t>
        </is>
      </c>
      <c r="U480" s="27" t="inlineStr">
        <is>
          <t>LinkedIn</t>
        </is>
      </c>
      <c r="V480" s="27" t="inlineStr">
        <is>
          <t>finance &amp; wealth engineering frameworks, specifically regarding episode 27 on Finance &amp; Wealth Engineering workflow optimization</t>
        </is>
      </c>
      <c r="W480" s="27" t="inlineStr">
        <is>
          <t>Hi Lucas,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80" s="27" t="inlineStr">
        <is>
          <t>2026-10-18</t>
        </is>
      </c>
      <c r="Y480" s="27" t="inlineStr">
        <is>
          <t>C</t>
        </is>
      </c>
      <c r="Z480" s="27" t="n">
        <v>79.40000000000001</v>
      </c>
      <c r="AA480" s="27" t="inlineStr">
        <is>
          <t>Qualified</t>
        </is>
      </c>
      <c r="AB480" s="27" t="inlineStr"/>
      <c r="AC480" s="28">
        <f>IF(A480="","",IF(COUNTIF($H$5:$H$1004,H480)&gt;1,"DUPLICATE","UNIQUE"))</f>
        <v/>
      </c>
      <c r="AD480" s="28">
        <f>IF(A480="","",IF(AA480="Rejected",IF(AB480&lt;&gt;"","REJECTED","ADD REASON"),IF(AND(B480&lt;&gt;"",C480&lt;&gt;"",D480&lt;&gt;"",E480&lt;&gt;"",F480&lt;&gt;"",G480&lt;&gt;"",H480&lt;&gt;"",J480&lt;&gt;"",K480&lt;&gt;"",N480&lt;&gt;"",O480&lt;&gt;"",P480&lt;&gt;"",Q480&lt;&gt;"",R480&lt;&gt;"",S480&lt;&gt;"",T480&lt;&gt;"",V480&lt;&gt;"",W480&lt;&gt;"",X480&lt;&gt;"",Y480&lt;&gt;""),"COMPLETE","MISSING FIELDS")))</f>
        <v/>
      </c>
    </row>
    <row r="481" ht="15" customHeight="1" s="15">
      <c r="A481" s="27" t="inlineStr">
        <is>
          <t>LEAD-0477</t>
        </is>
      </c>
      <c r="B481" s="27" t="inlineStr">
        <is>
          <t>Lucas Lockwood</t>
        </is>
      </c>
      <c r="C481" s="27" t="inlineStr">
        <is>
          <t>Podcaster</t>
        </is>
      </c>
      <c r="D481" s="27" t="inlineStr">
        <is>
          <t>US</t>
        </is>
      </c>
      <c r="E481" s="27" t="inlineStr">
        <is>
          <t>English</t>
        </is>
      </c>
      <c r="F481" s="27" t="inlineStr">
        <is>
          <t>Apple Podcasts</t>
        </is>
      </c>
      <c r="G481" s="27" t="inlineStr">
        <is>
          <t>https://podcasts.apple.com/us/podcast/lucaslockwood/id1000477</t>
        </is>
      </c>
      <c r="H481" s="27" t="inlineStr">
        <is>
          <t>AP-US-1000477</t>
        </is>
      </c>
      <c r="I481" s="27" t="inlineStr">
        <is>
          <t>36,000</t>
        </is>
      </c>
      <c r="J481" s="27" t="inlineStr">
        <is>
          <t>2026-10-15</t>
        </is>
      </c>
      <c r="K481" s="27" t="inlineStr">
        <is>
          <t>https://lucaslockwood.com/episodes/78</t>
        </is>
      </c>
      <c r="L481" s="27" t="n">
        <v>15</v>
      </c>
      <c r="M481" s="27" t="n">
        <v>25</v>
      </c>
      <c r="N481" s="27" t="inlineStr">
        <is>
          <t>Sponsor</t>
        </is>
      </c>
      <c r="O481" s="27" t="inlineStr">
        <is>
          <t>https://lucaslockwood.com/partners</t>
        </is>
      </c>
      <c r="P481" s="27" t="inlineStr">
        <is>
          <t>Multilingual Audio Dubbing</t>
        </is>
      </c>
      <c r="Q481" s="27" t="inlineStr">
        <is>
          <t>https://lucaslockwood.com/highlights</t>
        </is>
      </c>
      <c r="R481" s="27" t="inlineStr">
        <is>
          <t>LinkedIn</t>
        </is>
      </c>
      <c r="S481" s="27" t="inlineStr">
        <is>
          <t>https://linkedin.com/in/lucaslockwood</t>
        </is>
      </c>
      <c r="T481" s="27" t="inlineStr">
        <is>
          <t>https://lucaslockwood.com/about</t>
        </is>
      </c>
      <c r="U481" s="27" t="inlineStr">
        <is>
          <t>Email</t>
        </is>
      </c>
      <c r="V481" s="27" t="inlineStr">
        <is>
          <t>health &amp; longevity science frameworks, specifically regarding episode 28 on Health &amp; Longevity Science workflow optimization</t>
        </is>
      </c>
      <c r="W481" s="27" t="inlineStr">
        <is>
          <t>Hi Lucas,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81" s="27" t="inlineStr">
        <is>
          <t>2026-10-18</t>
        </is>
      </c>
      <c r="Y481" s="27" t="inlineStr">
        <is>
          <t>C</t>
        </is>
      </c>
      <c r="Z481" s="27" t="n">
        <v>79.40000000000001</v>
      </c>
      <c r="AA481" s="27" t="inlineStr">
        <is>
          <t>Qualified</t>
        </is>
      </c>
      <c r="AB481" s="27" t="inlineStr"/>
      <c r="AC481" s="28">
        <f>IF(A481="","",IF(COUNTIF($H$5:$H$1004,H481)&gt;1,"DUPLICATE","UNIQUE"))</f>
        <v/>
      </c>
      <c r="AD481" s="28">
        <f>IF(A481="","",IF(AA481="Rejected",IF(AB481&lt;&gt;"","REJECTED","ADD REASON"),IF(AND(B481&lt;&gt;"",C481&lt;&gt;"",D481&lt;&gt;"",E481&lt;&gt;"",F481&lt;&gt;"",G481&lt;&gt;"",H481&lt;&gt;"",J481&lt;&gt;"",K481&lt;&gt;"",N481&lt;&gt;"",O481&lt;&gt;"",P481&lt;&gt;"",Q481&lt;&gt;"",R481&lt;&gt;"",S481&lt;&gt;"",T481&lt;&gt;"",V481&lt;&gt;"",W481&lt;&gt;"",X481&lt;&gt;"",Y481&lt;&gt;""),"COMPLETE","MISSING FIELDS")))</f>
        <v/>
      </c>
    </row>
    <row r="482" ht="15" customHeight="1" s="15">
      <c r="A482" s="27" t="inlineStr">
        <is>
          <t>LEAD-0478</t>
        </is>
      </c>
      <c r="B482" s="27" t="inlineStr">
        <is>
          <t>Lucas Montague</t>
        </is>
      </c>
      <c r="C482" s="27" t="inlineStr">
        <is>
          <t>YouTuber</t>
        </is>
      </c>
      <c r="D482" s="27" t="inlineStr">
        <is>
          <t>US</t>
        </is>
      </c>
      <c r="E482" s="27" t="inlineStr">
        <is>
          <t>English</t>
        </is>
      </c>
      <c r="F482" s="27" t="inlineStr">
        <is>
          <t>YouTube</t>
        </is>
      </c>
      <c r="G482" s="27" t="inlineStr">
        <is>
          <t>https://www.youtube.com/@lucasmontague</t>
        </is>
      </c>
      <c r="H482" s="27" t="inlineStr">
        <is>
          <t>UCUS00478858642</t>
        </is>
      </c>
      <c r="I482" s="27" t="inlineStr">
        <is>
          <t>480,000</t>
        </is>
      </c>
      <c r="J482" s="27" t="inlineStr">
        <is>
          <t>2026-10-16</t>
        </is>
      </c>
      <c r="K482" s="27" t="inlineStr">
        <is>
          <t>https://www.youtube.com/watch?v=us00478</t>
        </is>
      </c>
      <c r="L482" s="27" t="n">
        <v>16</v>
      </c>
      <c r="M482" s="27" t="n">
        <v>26</v>
      </c>
      <c r="N482" s="27" t="inlineStr">
        <is>
          <t>Membership</t>
        </is>
      </c>
      <c r="O482" s="27" t="inlineStr">
        <is>
          <t>https://lucasmontague.com/community</t>
        </is>
      </c>
      <c r="P482" s="27" t="inlineStr">
        <is>
          <t>Missing Video Captions &amp; Retention Clips</t>
        </is>
      </c>
      <c r="Q482" s="27" t="inlineStr">
        <is>
          <t>https://lucasmontague.com/highlights</t>
        </is>
      </c>
      <c r="R482" s="27" t="inlineStr">
        <is>
          <t>X (Twitter)</t>
        </is>
      </c>
      <c r="S482" s="27" t="inlineStr">
        <is>
          <t>https://x.com/lucasmontague</t>
        </is>
      </c>
      <c r="T482" s="27" t="inlineStr">
        <is>
          <t>https://lucasmontague.com/links</t>
        </is>
      </c>
      <c r="U482" s="27" t="inlineStr">
        <is>
          <t>LinkedIn</t>
        </is>
      </c>
      <c r="V482" s="27" t="inlineStr">
        <is>
          <t>education &amp; applied coding frameworks, specifically regarding episode 29 on Education &amp; Applied Coding workflow optimization</t>
        </is>
      </c>
      <c r="W482" s="27" t="inlineStr">
        <is>
          <t>Hi Lucas,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82" s="27" t="inlineStr">
        <is>
          <t>2026-10-18</t>
        </is>
      </c>
      <c r="Y482" s="27" t="inlineStr">
        <is>
          <t>C</t>
        </is>
      </c>
      <c r="Z482" s="27" t="n">
        <v>79.3</v>
      </c>
      <c r="AA482" s="27" t="inlineStr">
        <is>
          <t>Qualified</t>
        </is>
      </c>
      <c r="AB482" s="27" t="inlineStr"/>
      <c r="AC482" s="28">
        <f>IF(A482="","",IF(COUNTIF($H$5:$H$1004,H482)&gt;1,"DUPLICATE","UNIQUE"))</f>
        <v/>
      </c>
      <c r="AD482" s="28">
        <f>IF(A482="","",IF(AA482="Rejected",IF(AB482&lt;&gt;"","REJECTED","ADD REASON"),IF(AND(B482&lt;&gt;"",C482&lt;&gt;"",D482&lt;&gt;"",E482&lt;&gt;"",F482&lt;&gt;"",G482&lt;&gt;"",H482&lt;&gt;"",J482&lt;&gt;"",K482&lt;&gt;"",N482&lt;&gt;"",O482&lt;&gt;"",P482&lt;&gt;"",Q482&lt;&gt;"",R482&lt;&gt;"",S482&lt;&gt;"",T482&lt;&gt;"",V482&lt;&gt;"",W482&lt;&gt;"",X482&lt;&gt;"",Y482&lt;&gt;""),"COMPLETE","MISSING FIELDS")))</f>
        <v/>
      </c>
    </row>
    <row r="483" ht="15" customHeight="1" s="15">
      <c r="A483" s="27" t="inlineStr">
        <is>
          <t>LEAD-0479</t>
        </is>
      </c>
      <c r="B483" s="27" t="inlineStr">
        <is>
          <t>Lucas Northwood</t>
        </is>
      </c>
      <c r="C483" s="27" t="inlineStr">
        <is>
          <t>Podcaster</t>
        </is>
      </c>
      <c r="D483" s="27" t="inlineStr">
        <is>
          <t>US</t>
        </is>
      </c>
      <c r="E483" s="27" t="inlineStr">
        <is>
          <t>English</t>
        </is>
      </c>
      <c r="F483" s="27" t="inlineStr">
        <is>
          <t>Apple Podcasts</t>
        </is>
      </c>
      <c r="G483" s="27" t="inlineStr">
        <is>
          <t>https://podcasts.apple.com/us/podcast/lucasnorthwood/id1000479</t>
        </is>
      </c>
      <c r="H483" s="27" t="inlineStr">
        <is>
          <t>AP-US-1000479</t>
        </is>
      </c>
      <c r="I483" s="27" t="inlineStr">
        <is>
          <t>60,000</t>
        </is>
      </c>
      <c r="J483" s="27" t="inlineStr">
        <is>
          <t>2026-10-17</t>
        </is>
      </c>
      <c r="K483" s="27" t="inlineStr">
        <is>
          <t>https://lucasnorthwood.com/episodes/80</t>
        </is>
      </c>
      <c r="L483" s="27" t="n">
        <v>17</v>
      </c>
      <c r="M483" s="27" t="n">
        <v>27</v>
      </c>
      <c r="N483" s="27" t="inlineStr">
        <is>
          <t>Product</t>
        </is>
      </c>
      <c r="O483" s="27" t="inlineStr">
        <is>
          <t>https://lucasnorthwood.com/shop</t>
        </is>
      </c>
      <c r="P483" s="27" t="inlineStr">
        <is>
          <t>Shorts Repurposing Bottleneck</t>
        </is>
      </c>
      <c r="Q483" s="27" t="inlineStr">
        <is>
          <t>https://lucasnorthwood.com/highlights</t>
        </is>
      </c>
      <c r="R483" s="27" t="inlineStr">
        <is>
          <t>Email</t>
        </is>
      </c>
      <c r="S483" s="27" t="inlineStr">
        <is>
          <t>hello@lucasnorthwood.com</t>
        </is>
      </c>
      <c r="T483" s="27" t="inlineStr">
        <is>
          <t>https://lucasnorthwood.com/work-with-me</t>
        </is>
      </c>
      <c r="U483" s="27" t="inlineStr">
        <is>
          <t>LinkedIn</t>
        </is>
      </c>
      <c r="V483" s="27" t="inlineStr">
        <is>
          <t>e-commerce &amp; digital brands frameworks, specifically regarding episode 30 on E-Commerce &amp; Digital Brands workflow optimization</t>
        </is>
      </c>
      <c r="W483" s="27" t="inlineStr">
        <is>
          <t>Hi Lucas,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83" s="27" t="inlineStr">
        <is>
          <t>2026-10-18</t>
        </is>
      </c>
      <c r="Y483" s="27" t="inlineStr">
        <is>
          <t>C</t>
        </is>
      </c>
      <c r="Z483" s="27" t="n">
        <v>79.3</v>
      </c>
      <c r="AA483" s="27" t="inlineStr">
        <is>
          <t>Qualified</t>
        </is>
      </c>
      <c r="AB483" s="27" t="inlineStr"/>
      <c r="AC483" s="28">
        <f>IF(A483="","",IF(COUNTIF($H$5:$H$1004,H483)&gt;1,"DUPLICATE","UNIQUE"))</f>
        <v/>
      </c>
      <c r="AD483" s="28">
        <f>IF(A483="","",IF(AA483="Rejected",IF(AB483&lt;&gt;"","REJECTED","ADD REASON"),IF(AND(B483&lt;&gt;"",C483&lt;&gt;"",D483&lt;&gt;"",E483&lt;&gt;"",F483&lt;&gt;"",G483&lt;&gt;"",H483&lt;&gt;"",J483&lt;&gt;"",K483&lt;&gt;"",N483&lt;&gt;"",O483&lt;&gt;"",P483&lt;&gt;"",Q483&lt;&gt;"",R483&lt;&gt;"",S483&lt;&gt;"",T483&lt;&gt;"",V483&lt;&gt;"",W483&lt;&gt;"",X483&lt;&gt;"",Y483&lt;&gt;""),"COMPLETE","MISSING FIELDS")))</f>
        <v/>
      </c>
    </row>
    <row r="484" ht="15" customHeight="1" s="15">
      <c r="A484" s="27" t="inlineStr">
        <is>
          <t>LEAD-0480</t>
        </is>
      </c>
      <c r="B484" s="27" t="inlineStr">
        <is>
          <t>Lucas Oakley</t>
        </is>
      </c>
      <c r="C484" s="27" t="inlineStr">
        <is>
          <t>YouTuber</t>
        </is>
      </c>
      <c r="D484" s="27" t="inlineStr">
        <is>
          <t>US</t>
        </is>
      </c>
      <c r="E484" s="27" t="inlineStr">
        <is>
          <t>English</t>
        </is>
      </c>
      <c r="F484" s="27" t="inlineStr">
        <is>
          <t>YouTube</t>
        </is>
      </c>
      <c r="G484" s="27" t="inlineStr">
        <is>
          <t>https://www.youtube.com/@lucasoakley</t>
        </is>
      </c>
      <c r="H484" s="27" t="inlineStr">
        <is>
          <t>UCUS00480479103</t>
        </is>
      </c>
      <c r="I484" s="27" t="inlineStr">
        <is>
          <t>520,000</t>
        </is>
      </c>
      <c r="J484" s="27" t="inlineStr">
        <is>
          <t>2026-10-10</t>
        </is>
      </c>
      <c r="K484" s="27" t="inlineStr">
        <is>
          <t>https://www.youtube.com/watch?v=us00480</t>
        </is>
      </c>
      <c r="L484" s="27" t="n">
        <v>8</v>
      </c>
      <c r="M484" s="27" t="n">
        <v>28</v>
      </c>
      <c r="N484" s="27" t="inlineStr">
        <is>
          <t>Consulting</t>
        </is>
      </c>
      <c r="O484" s="27" t="inlineStr">
        <is>
          <t>https://lucasoakley.com/advisory</t>
        </is>
      </c>
      <c r="P484" s="27" t="inlineStr">
        <is>
          <t>Shorts Repurposing Bottleneck</t>
        </is>
      </c>
      <c r="Q484" s="27" t="inlineStr">
        <is>
          <t>https://lucasoakley.com/highlights</t>
        </is>
      </c>
      <c r="R484" s="27" t="inlineStr">
        <is>
          <t>Email</t>
        </is>
      </c>
      <c r="S484" s="27" t="inlineStr">
        <is>
          <t>contact@lucasoakley.com</t>
        </is>
      </c>
      <c r="T484" s="27" t="inlineStr">
        <is>
          <t>https://lucasoakley.com/contact</t>
        </is>
      </c>
      <c r="U484" s="27" t="inlineStr">
        <is>
          <t>LinkedIn</t>
        </is>
      </c>
      <c r="V484" s="27" t="inlineStr">
        <is>
          <t>tech &amp; ai frameworks, specifically regarding episode 31 on Tech &amp; AI workflow optimization</t>
        </is>
      </c>
      <c r="W484" s="27" t="inlineStr">
        <is>
          <t>Hi Lucas,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84" s="27" t="inlineStr">
        <is>
          <t>2026-10-18</t>
        </is>
      </c>
      <c r="Y484" s="27" t="inlineStr">
        <is>
          <t>C</t>
        </is>
      </c>
      <c r="Z484" s="27" t="n">
        <v>79.2</v>
      </c>
      <c r="AA484" s="27" t="inlineStr">
        <is>
          <t>Qualified</t>
        </is>
      </c>
      <c r="AB484" s="27" t="inlineStr"/>
      <c r="AC484" s="28">
        <f>IF(A484="","",IF(COUNTIF($H$5:$H$1004,H484)&gt;1,"DUPLICATE","UNIQUE"))</f>
        <v/>
      </c>
      <c r="AD484" s="28">
        <f>IF(A484="","",IF(AA484="Rejected",IF(AB484&lt;&gt;"","REJECTED","ADD REASON"),IF(AND(B484&lt;&gt;"",C484&lt;&gt;"",D484&lt;&gt;"",E484&lt;&gt;"",F484&lt;&gt;"",G484&lt;&gt;"",H484&lt;&gt;"",J484&lt;&gt;"",K484&lt;&gt;"",N484&lt;&gt;"",O484&lt;&gt;"",P484&lt;&gt;"",Q484&lt;&gt;"",R484&lt;&gt;"",S484&lt;&gt;"",T484&lt;&gt;"",V484&lt;&gt;"",W484&lt;&gt;"",X484&lt;&gt;"",Y484&lt;&gt;""),"COMPLETE","MISSING FIELDS")))</f>
        <v/>
      </c>
    </row>
    <row r="485" ht="15" customHeight="1" s="15">
      <c r="A485" s="27" t="inlineStr">
        <is>
          <t>LEAD-0481</t>
        </is>
      </c>
      <c r="B485" s="27" t="inlineStr">
        <is>
          <t>Lucas Pemberton</t>
        </is>
      </c>
      <c r="C485" s="27" t="inlineStr">
        <is>
          <t>Podcaster</t>
        </is>
      </c>
      <c r="D485" s="27" t="inlineStr">
        <is>
          <t>US</t>
        </is>
      </c>
      <c r="E485" s="27" t="inlineStr">
        <is>
          <t>English</t>
        </is>
      </c>
      <c r="F485" s="27" t="inlineStr">
        <is>
          <t>Apple Podcasts</t>
        </is>
      </c>
      <c r="G485" s="27" t="inlineStr">
        <is>
          <t>https://podcasts.apple.com/us/podcast/lucaspemberton/id1000481</t>
        </is>
      </c>
      <c r="H485" s="27" t="inlineStr">
        <is>
          <t>AP-US-1000481</t>
        </is>
      </c>
      <c r="I485" s="27" t="inlineStr">
        <is>
          <t>84,000</t>
        </is>
      </c>
      <c r="J485" s="27" t="inlineStr">
        <is>
          <t>2026-10-11</t>
        </is>
      </c>
      <c r="K485" s="27" t="inlineStr">
        <is>
          <t>https://lucaspemberton.com/episodes/82</t>
        </is>
      </c>
      <c r="L485" s="27" t="n">
        <v>9</v>
      </c>
      <c r="M485" s="27" t="n">
        <v>29</v>
      </c>
      <c r="N485" s="27" t="inlineStr">
        <is>
          <t>Newsletter Subscription</t>
        </is>
      </c>
      <c r="O485" s="27" t="inlineStr">
        <is>
          <t>https://lucaspemberton.com/subscribe</t>
        </is>
      </c>
      <c r="P485" s="27" t="inlineStr">
        <is>
          <t>Missing Video Captions &amp; Retention Clips</t>
        </is>
      </c>
      <c r="Q485" s="27" t="inlineStr">
        <is>
          <t>https://lucaspemberton.com/highlights</t>
        </is>
      </c>
      <c r="R485" s="27" t="inlineStr">
        <is>
          <t>LinkedIn</t>
        </is>
      </c>
      <c r="S485" s="27" t="inlineStr">
        <is>
          <t>https://linkedin.com/in/lucaspemberton</t>
        </is>
      </c>
      <c r="T485" s="27" t="inlineStr">
        <is>
          <t>https://lucaspemberton.com/about</t>
        </is>
      </c>
      <c r="U485" s="27" t="inlineStr">
        <is>
          <t>Email</t>
        </is>
      </c>
      <c r="V485" s="27" t="inlineStr">
        <is>
          <t>saas &amp; product growth frameworks, specifically regarding episode 32 on SaaS &amp; Product Growth workflow optimization</t>
        </is>
      </c>
      <c r="W485" s="27" t="inlineStr">
        <is>
          <t>Hi Lucas,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85" s="27" t="inlineStr">
        <is>
          <t>2026-10-18</t>
        </is>
      </c>
      <c r="Y485" s="27" t="inlineStr">
        <is>
          <t>C</t>
        </is>
      </c>
      <c r="Z485" s="27" t="n">
        <v>79.09999999999999</v>
      </c>
      <c r="AA485" s="27" t="inlineStr">
        <is>
          <t>Qualified</t>
        </is>
      </c>
      <c r="AB485" s="27" t="inlineStr"/>
      <c r="AC485" s="28">
        <f>IF(A485="","",IF(COUNTIF($H$5:$H$1004,H485)&gt;1,"DUPLICATE","UNIQUE"))</f>
        <v/>
      </c>
      <c r="AD485" s="28">
        <f>IF(A485="","",IF(AA485="Rejected",IF(AB485&lt;&gt;"","REJECTED","ADD REASON"),IF(AND(B485&lt;&gt;"",C485&lt;&gt;"",D485&lt;&gt;"",E485&lt;&gt;"",F485&lt;&gt;"",G485&lt;&gt;"",H485&lt;&gt;"",J485&lt;&gt;"",K485&lt;&gt;"",N485&lt;&gt;"",O485&lt;&gt;"",P485&lt;&gt;"",Q485&lt;&gt;"",R485&lt;&gt;"",S485&lt;&gt;"",T485&lt;&gt;"",V485&lt;&gt;"",W485&lt;&gt;"",X485&lt;&gt;"",Y485&lt;&gt;""),"COMPLETE","MISSING FIELDS")))</f>
        <v/>
      </c>
    </row>
    <row r="486" ht="15" customHeight="1" s="15">
      <c r="A486" s="27" t="inlineStr">
        <is>
          <t>LEAD-0482</t>
        </is>
      </c>
      <c r="B486" s="27" t="inlineStr">
        <is>
          <t>Lucas Quatermain</t>
        </is>
      </c>
      <c r="C486" s="27" t="inlineStr">
        <is>
          <t>Expert-Led Creator</t>
        </is>
      </c>
      <c r="D486" s="27" t="inlineStr">
        <is>
          <t>US</t>
        </is>
      </c>
      <c r="E486" s="27" t="inlineStr">
        <is>
          <t>English</t>
        </is>
      </c>
      <c r="F486" s="27" t="inlineStr">
        <is>
          <t>YouTube</t>
        </is>
      </c>
      <c r="G486" s="27" t="inlineStr">
        <is>
          <t>https://www.youtube.com/@lucasquatermain</t>
        </is>
      </c>
      <c r="H486" s="27" t="inlineStr">
        <is>
          <t>UCUS00482306950</t>
        </is>
      </c>
      <c r="I486" s="27" t="inlineStr">
        <is>
          <t>560,000</t>
        </is>
      </c>
      <c r="J486" s="27" t="inlineStr">
        <is>
          <t>2026-10-12</t>
        </is>
      </c>
      <c r="K486" s="27" t="inlineStr">
        <is>
          <t>https://www.youtube.com/watch?v=us00482</t>
        </is>
      </c>
      <c r="L486" s="27" t="n">
        <v>10</v>
      </c>
      <c r="M486" s="27" t="n">
        <v>30</v>
      </c>
      <c r="N486" s="27" t="inlineStr">
        <is>
          <t>Affiliate</t>
        </is>
      </c>
      <c r="O486" s="27" t="inlineStr">
        <is>
          <t>https://lucasquatermain.com/resources</t>
        </is>
      </c>
      <c r="P486" s="27" t="inlineStr">
        <is>
          <t>Editing Backlog &amp; Team Workflow Overhead</t>
        </is>
      </c>
      <c r="Q486" s="27" t="inlineStr">
        <is>
          <t>https://lucasquatermain.com/highlights</t>
        </is>
      </c>
      <c r="R486" s="27" t="inlineStr">
        <is>
          <t>X (Twitter)</t>
        </is>
      </c>
      <c r="S486" s="27" t="inlineStr">
        <is>
          <t>https://x.com/lucasquatermain</t>
        </is>
      </c>
      <c r="T486" s="27" t="inlineStr">
        <is>
          <t>https://lucasquatermain.com/links</t>
        </is>
      </c>
      <c r="U486" s="27" t="inlineStr">
        <is>
          <t>LinkedIn</t>
        </is>
      </c>
      <c r="V486" s="27" t="inlineStr">
        <is>
          <t>creator business &amp; monetization frameworks, specifically regarding episode 33 on Creator Business &amp; Monetization workflow optimization</t>
        </is>
      </c>
      <c r="W486" s="27" t="inlineStr">
        <is>
          <t>Hi Lucas,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86" s="27" t="inlineStr">
        <is>
          <t>2026-10-18</t>
        </is>
      </c>
      <c r="Y486" s="27" t="inlineStr">
        <is>
          <t>C</t>
        </is>
      </c>
      <c r="Z486" s="27" t="n">
        <v>79.09999999999999</v>
      </c>
      <c r="AA486" s="27" t="inlineStr">
        <is>
          <t>Qualified</t>
        </is>
      </c>
      <c r="AB486" s="27" t="inlineStr"/>
      <c r="AC486" s="28">
        <f>IF(A486="","",IF(COUNTIF($H$5:$H$1004,H486)&gt;1,"DUPLICATE","UNIQUE"))</f>
        <v/>
      </c>
      <c r="AD486" s="28">
        <f>IF(A486="","",IF(AA486="Rejected",IF(AB486&lt;&gt;"","REJECTED","ADD REASON"),IF(AND(B486&lt;&gt;"",C486&lt;&gt;"",D486&lt;&gt;"",E486&lt;&gt;"",F486&lt;&gt;"",G486&lt;&gt;"",H486&lt;&gt;"",J486&lt;&gt;"",K486&lt;&gt;"",N486&lt;&gt;"",O486&lt;&gt;"",P486&lt;&gt;"",Q486&lt;&gt;"",R486&lt;&gt;"",S486&lt;&gt;"",T486&lt;&gt;"",V486&lt;&gt;"",W486&lt;&gt;"",X486&lt;&gt;"",Y486&lt;&gt;""),"COMPLETE","MISSING FIELDS")))</f>
        <v/>
      </c>
    </row>
    <row r="487" ht="15" customHeight="1" s="15">
      <c r="A487" s="27" t="inlineStr">
        <is>
          <t>LEAD-0483</t>
        </is>
      </c>
      <c r="B487" s="27" t="inlineStr">
        <is>
          <t>Lucas Radcliffe</t>
        </is>
      </c>
      <c r="C487" s="27" t="inlineStr">
        <is>
          <t>YouTuber</t>
        </is>
      </c>
      <c r="D487" s="27" t="inlineStr">
        <is>
          <t>US</t>
        </is>
      </c>
      <c r="E487" s="27" t="inlineStr">
        <is>
          <t>English</t>
        </is>
      </c>
      <c r="F487" s="27" t="inlineStr">
        <is>
          <t>YouTube</t>
        </is>
      </c>
      <c r="G487" s="27" t="inlineStr">
        <is>
          <t>https://www.youtube.com/@lucasradcliffe</t>
        </is>
      </c>
      <c r="H487" s="27" t="inlineStr">
        <is>
          <t>UCUS00483421468</t>
        </is>
      </c>
      <c r="I487" s="27" t="inlineStr">
        <is>
          <t>580,000</t>
        </is>
      </c>
      <c r="J487" s="27" t="inlineStr">
        <is>
          <t>2026-10-13</t>
        </is>
      </c>
      <c r="K487" s="27" t="inlineStr">
        <is>
          <t>https://www.youtube.com/watch?v=us00483</t>
        </is>
      </c>
      <c r="L487" s="27" t="n">
        <v>11</v>
      </c>
      <c r="M487" s="27" t="n">
        <v>31</v>
      </c>
      <c r="N487" s="27" t="inlineStr">
        <is>
          <t>Course</t>
        </is>
      </c>
      <c r="O487" s="27" t="inlineStr">
        <is>
          <t>https://lucasradcliffe.com/academy</t>
        </is>
      </c>
      <c r="P487" s="27" t="inlineStr">
        <is>
          <t>Shorts Repurposing Bottleneck</t>
        </is>
      </c>
      <c r="Q487" s="27" t="inlineStr">
        <is>
          <t>https://lucasradcliffe.com/highlights</t>
        </is>
      </c>
      <c r="R487" s="27" t="inlineStr">
        <is>
          <t>Email</t>
        </is>
      </c>
      <c r="S487" s="27" t="inlineStr">
        <is>
          <t>hello@lucasradcliffe.com</t>
        </is>
      </c>
      <c r="T487" s="27" t="inlineStr">
        <is>
          <t>https://lucasradcliffe.com/work-with-me</t>
        </is>
      </c>
      <c r="U487" s="27" t="inlineStr">
        <is>
          <t>LinkedIn</t>
        </is>
      </c>
      <c r="V487" s="27" t="inlineStr">
        <is>
          <t>productivity &amp; personal systems frameworks, specifically regarding episode 34 on Productivity &amp; Personal Systems workflow optimization</t>
        </is>
      </c>
      <c r="W487" s="27" t="inlineStr">
        <is>
          <t>Hi Lucas,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87" s="27" t="inlineStr">
        <is>
          <t>2026-10-18</t>
        </is>
      </c>
      <c r="Y487" s="27" t="inlineStr">
        <is>
          <t>C</t>
        </is>
      </c>
      <c r="Z487" s="27" t="n">
        <v>79</v>
      </c>
      <c r="AA487" s="27" t="inlineStr">
        <is>
          <t>Qualified</t>
        </is>
      </c>
      <c r="AB487" s="27" t="inlineStr"/>
      <c r="AC487" s="28">
        <f>IF(A487="","",IF(COUNTIF($H$5:$H$1004,H487)&gt;1,"DUPLICATE","UNIQUE"))</f>
        <v/>
      </c>
      <c r="AD487" s="28">
        <f>IF(A487="","",IF(AA487="Rejected",IF(AB487&lt;&gt;"","REJECTED","ADD REASON"),IF(AND(B487&lt;&gt;"",C487&lt;&gt;"",D487&lt;&gt;"",E487&lt;&gt;"",F487&lt;&gt;"",G487&lt;&gt;"",H487&lt;&gt;"",J487&lt;&gt;"",K487&lt;&gt;"",N487&lt;&gt;"",O487&lt;&gt;"",P487&lt;&gt;"",Q487&lt;&gt;"",R487&lt;&gt;"",S487&lt;&gt;"",T487&lt;&gt;"",V487&lt;&gt;"",W487&lt;&gt;"",X487&lt;&gt;"",Y487&lt;&gt;""),"COMPLETE","MISSING FIELDS")))</f>
        <v/>
      </c>
    </row>
    <row r="488" ht="15" customHeight="1" s="15">
      <c r="A488" s="27" t="inlineStr">
        <is>
          <t>LEAD-0484</t>
        </is>
      </c>
      <c r="B488" s="27" t="inlineStr">
        <is>
          <t>Lucas Stanhope</t>
        </is>
      </c>
      <c r="C488" s="27" t="inlineStr">
        <is>
          <t>Podcaster</t>
        </is>
      </c>
      <c r="D488" s="27" t="inlineStr">
        <is>
          <t>US</t>
        </is>
      </c>
      <c r="E488" s="27" t="inlineStr">
        <is>
          <t>English</t>
        </is>
      </c>
      <c r="F488" s="27" t="inlineStr">
        <is>
          <t>Apple Podcasts</t>
        </is>
      </c>
      <c r="G488" s="27" t="inlineStr">
        <is>
          <t>https://podcasts.apple.com/us/podcast/lucasstanhope/id1000484</t>
        </is>
      </c>
      <c r="H488" s="27" t="inlineStr">
        <is>
          <t>AP-US-1000484</t>
        </is>
      </c>
      <c r="I488" s="27" t="inlineStr">
        <is>
          <t>120,000</t>
        </is>
      </c>
      <c r="J488" s="27" t="inlineStr">
        <is>
          <t>2026-10-14</t>
        </is>
      </c>
      <c r="K488" s="27" t="inlineStr">
        <is>
          <t>https://lucasstanhope.com/episodes/85</t>
        </is>
      </c>
      <c r="L488" s="27" t="n">
        <v>12</v>
      </c>
      <c r="M488" s="27" t="n">
        <v>32</v>
      </c>
      <c r="N488" s="27" t="inlineStr">
        <is>
          <t>Sponsor</t>
        </is>
      </c>
      <c r="O488" s="27" t="inlineStr">
        <is>
          <t>https://lucasstanhope.com/partners</t>
        </is>
      </c>
      <c r="P488" s="27" t="inlineStr">
        <is>
          <t>Inconsistent Cross-Platform Publishing</t>
        </is>
      </c>
      <c r="Q488" s="27" t="inlineStr">
        <is>
          <t>https://lucasstanhope.com/highlights</t>
        </is>
      </c>
      <c r="R488" s="27" t="inlineStr">
        <is>
          <t>Email</t>
        </is>
      </c>
      <c r="S488" s="27" t="inlineStr">
        <is>
          <t>contact@lucasstanhope.com</t>
        </is>
      </c>
      <c r="T488" s="27" t="inlineStr">
        <is>
          <t>https://lucasstanhope.com/contact</t>
        </is>
      </c>
      <c r="U488" s="27" t="inlineStr">
        <is>
          <t>LinkedIn</t>
        </is>
      </c>
      <c r="V488" s="27" t="inlineStr">
        <is>
          <t>leadership &amp; team ops frameworks, specifically regarding episode 35 on Leadership &amp; Team Ops workflow optimization</t>
        </is>
      </c>
      <c r="W488" s="27" t="inlineStr">
        <is>
          <t>Hi Lucas,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88" s="27" t="inlineStr">
        <is>
          <t>2026-10-18</t>
        </is>
      </c>
      <c r="Y488" s="27" t="inlineStr">
        <is>
          <t>C</t>
        </is>
      </c>
      <c r="Z488" s="27" t="n">
        <v>79</v>
      </c>
      <c r="AA488" s="27" t="inlineStr">
        <is>
          <t>Qualified</t>
        </is>
      </c>
      <c r="AB488" s="27" t="inlineStr"/>
      <c r="AC488" s="28">
        <f>IF(A488="","",IF(COUNTIF($H$5:$H$1004,H488)&gt;1,"DUPLICATE","UNIQUE"))</f>
        <v/>
      </c>
      <c r="AD488" s="28">
        <f>IF(A488="","",IF(AA488="Rejected",IF(AB488&lt;&gt;"","REJECTED","ADD REASON"),IF(AND(B488&lt;&gt;"",C488&lt;&gt;"",D488&lt;&gt;"",E488&lt;&gt;"",F488&lt;&gt;"",G488&lt;&gt;"",H488&lt;&gt;"",J488&lt;&gt;"",K488&lt;&gt;"",N488&lt;&gt;"",O488&lt;&gt;"",P488&lt;&gt;"",Q488&lt;&gt;"",R488&lt;&gt;"",S488&lt;&gt;"",T488&lt;&gt;"",V488&lt;&gt;"",W488&lt;&gt;"",X488&lt;&gt;"",Y488&lt;&gt;""),"COMPLETE","MISSING FIELDS")))</f>
        <v/>
      </c>
    </row>
    <row r="489" ht="15" customHeight="1" s="15">
      <c r="A489" s="27" t="inlineStr">
        <is>
          <t>LEAD-0485</t>
        </is>
      </c>
      <c r="B489" s="27" t="inlineStr">
        <is>
          <t>Lucas Thackery</t>
        </is>
      </c>
      <c r="C489" s="27" t="inlineStr">
        <is>
          <t>Expert-Led Creator</t>
        </is>
      </c>
      <c r="D489" s="27" t="inlineStr">
        <is>
          <t>US</t>
        </is>
      </c>
      <c r="E489" s="27" t="inlineStr">
        <is>
          <t>English</t>
        </is>
      </c>
      <c r="F489" s="27" t="inlineStr">
        <is>
          <t>LinkedIn</t>
        </is>
      </c>
      <c r="G489" s="27" t="inlineStr">
        <is>
          <t>https://www.linkedin.com/in/lucasthackery</t>
        </is>
      </c>
      <c r="H489" s="27" t="inlineStr">
        <is>
          <t>LI-lucasthackery-0485</t>
        </is>
      </c>
      <c r="I489" s="27" t="inlineStr">
        <is>
          <t>36,000</t>
        </is>
      </c>
      <c r="J489" s="27" t="inlineStr">
        <is>
          <t>2026-10-15</t>
        </is>
      </c>
      <c r="K489" s="27" t="inlineStr">
        <is>
          <t>https://lucasthackery.com/posts/36</t>
        </is>
      </c>
      <c r="L489" s="27" t="n">
        <v>13</v>
      </c>
      <c r="M489" s="27" t="n">
        <v>33</v>
      </c>
      <c r="N489" s="27" t="inlineStr">
        <is>
          <t>Membership</t>
        </is>
      </c>
      <c r="O489" s="27" t="inlineStr">
        <is>
          <t>https://lucasthackery.com/community</t>
        </is>
      </c>
      <c r="P489" s="27" t="inlineStr">
        <is>
          <t>Editing Backlog &amp; Team Workflow Overhead</t>
        </is>
      </c>
      <c r="Q489" s="27" t="inlineStr">
        <is>
          <t>https://lucasthackery.com/highlights</t>
        </is>
      </c>
      <c r="R489" s="27" t="inlineStr">
        <is>
          <t>LinkedIn</t>
        </is>
      </c>
      <c r="S489" s="27" t="inlineStr">
        <is>
          <t>https://linkedin.com/in/lucasthackery</t>
        </is>
      </c>
      <c r="T489" s="27" t="inlineStr">
        <is>
          <t>https://lucasthackery.com/about</t>
        </is>
      </c>
      <c r="U489" s="27" t="inlineStr">
        <is>
          <t>Email</t>
        </is>
      </c>
      <c r="V489" s="27" t="inlineStr">
        <is>
          <t>b2b marketing &amp; sales frameworks, specifically regarding episode 36 on B2B Marketing &amp; Sales workflow optimization</t>
        </is>
      </c>
      <c r="W489" s="27" t="inlineStr">
        <is>
          <t>Hi Lucas,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89" s="27" t="inlineStr">
        <is>
          <t>2026-10-18</t>
        </is>
      </c>
      <c r="Y489" s="27" t="inlineStr">
        <is>
          <t>C</t>
        </is>
      </c>
      <c r="Z489" s="27" t="n">
        <v>78.90000000000001</v>
      </c>
      <c r="AA489" s="27" t="inlineStr">
        <is>
          <t>Qualified</t>
        </is>
      </c>
      <c r="AB489" s="27" t="inlineStr"/>
      <c r="AC489" s="28">
        <f>IF(A489="","",IF(COUNTIF($H$5:$H$1004,H489)&gt;1,"DUPLICATE","UNIQUE"))</f>
        <v/>
      </c>
      <c r="AD489" s="28">
        <f>IF(A489="","",IF(AA489="Rejected",IF(AB489&lt;&gt;"","REJECTED","ADD REASON"),IF(AND(B489&lt;&gt;"",C489&lt;&gt;"",D489&lt;&gt;"",E489&lt;&gt;"",F489&lt;&gt;"",G489&lt;&gt;"",H489&lt;&gt;"",J489&lt;&gt;"",K489&lt;&gt;"",N489&lt;&gt;"",O489&lt;&gt;"",P489&lt;&gt;"",Q489&lt;&gt;"",R489&lt;&gt;"",S489&lt;&gt;"",T489&lt;&gt;"",V489&lt;&gt;"",W489&lt;&gt;"",X489&lt;&gt;"",Y489&lt;&gt;""),"COMPLETE","MISSING FIELDS")))</f>
        <v/>
      </c>
    </row>
    <row r="490" ht="15" customHeight="1" s="15">
      <c r="A490" s="27" t="inlineStr">
        <is>
          <t>LEAD-0486</t>
        </is>
      </c>
      <c r="B490" s="27" t="inlineStr">
        <is>
          <t>Lucas Underwood</t>
        </is>
      </c>
      <c r="C490" s="27" t="inlineStr">
        <is>
          <t>YouTuber</t>
        </is>
      </c>
      <c r="D490" s="27" t="inlineStr">
        <is>
          <t>US</t>
        </is>
      </c>
      <c r="E490" s="27" t="inlineStr">
        <is>
          <t>English</t>
        </is>
      </c>
      <c r="F490" s="27" t="inlineStr">
        <is>
          <t>YouTube</t>
        </is>
      </c>
      <c r="G490" s="27" t="inlineStr">
        <is>
          <t>https://www.youtube.com/@lucasunderwood</t>
        </is>
      </c>
      <c r="H490" s="27" t="inlineStr">
        <is>
          <t>UCUS00486190147</t>
        </is>
      </c>
      <c r="I490" s="27" t="inlineStr">
        <is>
          <t>640,000</t>
        </is>
      </c>
      <c r="J490" s="27" t="inlineStr">
        <is>
          <t>2026-10-16</t>
        </is>
      </c>
      <c r="K490" s="27" t="inlineStr">
        <is>
          <t>https://www.youtube.com/watch?v=us00486</t>
        </is>
      </c>
      <c r="L490" s="27" t="n">
        <v>14</v>
      </c>
      <c r="M490" s="27" t="n">
        <v>16</v>
      </c>
      <c r="N490" s="27" t="inlineStr">
        <is>
          <t>Product</t>
        </is>
      </c>
      <c r="O490" s="27" t="inlineStr">
        <is>
          <t>https://lucasunderwood.com/shop</t>
        </is>
      </c>
      <c r="P490" s="27" t="inlineStr">
        <is>
          <t>Multilingual Audio Dubbing</t>
        </is>
      </c>
      <c r="Q490" s="27" t="inlineStr">
        <is>
          <t>https://lucasunderwood.com/highlights</t>
        </is>
      </c>
      <c r="R490" s="27" t="inlineStr">
        <is>
          <t>X (Twitter)</t>
        </is>
      </c>
      <c r="S490" s="27" t="inlineStr">
        <is>
          <t>https://x.com/lucasunderwood</t>
        </is>
      </c>
      <c r="T490" s="27" t="inlineStr">
        <is>
          <t>https://lucasunderwood.com/links</t>
        </is>
      </c>
      <c r="U490" s="27" t="inlineStr">
        <is>
          <t>LinkedIn</t>
        </is>
      </c>
      <c r="V490" s="27" t="inlineStr">
        <is>
          <t>finance &amp; wealth engineering frameworks, specifically regarding episode 37 on Finance &amp; Wealth Engineering workflow optimization</t>
        </is>
      </c>
      <c r="W490" s="27" t="inlineStr">
        <is>
          <t>Hi Lucas,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90" s="27" t="inlineStr">
        <is>
          <t>2026-10-18</t>
        </is>
      </c>
      <c r="Y490" s="27" t="inlineStr">
        <is>
          <t>C</t>
        </is>
      </c>
      <c r="Z490" s="27" t="n">
        <v>78.8</v>
      </c>
      <c r="AA490" s="27" t="inlineStr">
        <is>
          <t>Qualified</t>
        </is>
      </c>
      <c r="AB490" s="27" t="inlineStr"/>
      <c r="AC490" s="28">
        <f>IF(A490="","",IF(COUNTIF($H$5:$H$1004,H490)&gt;1,"DUPLICATE","UNIQUE"))</f>
        <v/>
      </c>
      <c r="AD490" s="28">
        <f>IF(A490="","",IF(AA490="Rejected",IF(AB490&lt;&gt;"","REJECTED","ADD REASON"),IF(AND(B490&lt;&gt;"",C490&lt;&gt;"",D490&lt;&gt;"",E490&lt;&gt;"",F490&lt;&gt;"",G490&lt;&gt;"",H490&lt;&gt;"",J490&lt;&gt;"",K490&lt;&gt;"",N490&lt;&gt;"",O490&lt;&gt;"",P490&lt;&gt;"",Q490&lt;&gt;"",R490&lt;&gt;"",S490&lt;&gt;"",T490&lt;&gt;"",V490&lt;&gt;"",W490&lt;&gt;"",X490&lt;&gt;"",Y490&lt;&gt;""),"COMPLETE","MISSING FIELDS")))</f>
        <v/>
      </c>
    </row>
    <row r="491" ht="15" customHeight="1" s="15">
      <c r="A491" s="27" t="inlineStr">
        <is>
          <t>LEAD-0487</t>
        </is>
      </c>
      <c r="B491" s="27" t="inlineStr">
        <is>
          <t>Lucas Vanguard</t>
        </is>
      </c>
      <c r="C491" s="27" t="inlineStr">
        <is>
          <t>Podcaster</t>
        </is>
      </c>
      <c r="D491" s="27" t="inlineStr">
        <is>
          <t>US</t>
        </is>
      </c>
      <c r="E491" s="27" t="inlineStr">
        <is>
          <t>English</t>
        </is>
      </c>
      <c r="F491" s="27" t="inlineStr">
        <is>
          <t>Apple Podcasts</t>
        </is>
      </c>
      <c r="G491" s="27" t="inlineStr">
        <is>
          <t>https://podcasts.apple.com/us/podcast/lucasvanguard/id1000487</t>
        </is>
      </c>
      <c r="H491" s="27" t="inlineStr">
        <is>
          <t>AP-US-1000487</t>
        </is>
      </c>
      <c r="I491" s="27" t="inlineStr">
        <is>
          <t>156,000</t>
        </is>
      </c>
      <c r="J491" s="27" t="inlineStr">
        <is>
          <t>2026-10-17</t>
        </is>
      </c>
      <c r="K491" s="27" t="inlineStr">
        <is>
          <t>https://lucasvanguard.com/episodes/88</t>
        </is>
      </c>
      <c r="L491" s="27" t="n">
        <v>15</v>
      </c>
      <c r="M491" s="27" t="n">
        <v>17</v>
      </c>
      <c r="N491" s="27" t="inlineStr">
        <is>
          <t>Consulting</t>
        </is>
      </c>
      <c r="O491" s="27" t="inlineStr">
        <is>
          <t>https://lucasvanguard.com/advisory</t>
        </is>
      </c>
      <c r="P491" s="27" t="inlineStr">
        <is>
          <t>Multilingual Audio Dubbing</t>
        </is>
      </c>
      <c r="Q491" s="27" t="inlineStr">
        <is>
          <t>https://lucasvanguard.com/highlights</t>
        </is>
      </c>
      <c r="R491" s="27" t="inlineStr">
        <is>
          <t>Email</t>
        </is>
      </c>
      <c r="S491" s="27" t="inlineStr">
        <is>
          <t>hello@lucasvanguard.com</t>
        </is>
      </c>
      <c r="T491" s="27" t="inlineStr">
        <is>
          <t>https://lucasvanguard.com/work-with-me</t>
        </is>
      </c>
      <c r="U491" s="27" t="inlineStr">
        <is>
          <t>LinkedIn</t>
        </is>
      </c>
      <c r="V491" s="27" t="inlineStr">
        <is>
          <t>health &amp; longevity science frameworks, specifically regarding episode 38 on Health &amp; Longevity Science workflow optimization</t>
        </is>
      </c>
      <c r="W491" s="27" t="inlineStr">
        <is>
          <t>Hi Lucas,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91" s="27" t="inlineStr">
        <is>
          <t>2026-10-18</t>
        </is>
      </c>
      <c r="Y491" s="27" t="inlineStr">
        <is>
          <t>C</t>
        </is>
      </c>
      <c r="Z491" s="27" t="n">
        <v>78.8</v>
      </c>
      <c r="AA491" s="27" t="inlineStr">
        <is>
          <t>Qualified</t>
        </is>
      </c>
      <c r="AB491" s="27" t="inlineStr"/>
      <c r="AC491" s="28">
        <f>IF(A491="","",IF(COUNTIF($H$5:$H$1004,H491)&gt;1,"DUPLICATE","UNIQUE"))</f>
        <v/>
      </c>
      <c r="AD491" s="28">
        <f>IF(A491="","",IF(AA491="Rejected",IF(AB491&lt;&gt;"","REJECTED","ADD REASON"),IF(AND(B491&lt;&gt;"",C491&lt;&gt;"",D491&lt;&gt;"",E491&lt;&gt;"",F491&lt;&gt;"",G491&lt;&gt;"",H491&lt;&gt;"",J491&lt;&gt;"",K491&lt;&gt;"",N491&lt;&gt;"",O491&lt;&gt;"",P491&lt;&gt;"",Q491&lt;&gt;"",R491&lt;&gt;"",S491&lt;&gt;"",T491&lt;&gt;"",V491&lt;&gt;"",W491&lt;&gt;"",X491&lt;&gt;"",Y491&lt;&gt;""),"COMPLETE","MISSING FIELDS")))</f>
        <v/>
      </c>
    </row>
    <row r="492" ht="15" customHeight="1" s="15">
      <c r="A492" s="27" t="inlineStr">
        <is>
          <t>LEAD-0488</t>
        </is>
      </c>
      <c r="B492" s="27" t="inlineStr">
        <is>
          <t>Lucas Waverly</t>
        </is>
      </c>
      <c r="C492" s="27" t="inlineStr">
        <is>
          <t>YouTuber</t>
        </is>
      </c>
      <c r="D492" s="27" t="inlineStr">
        <is>
          <t>US</t>
        </is>
      </c>
      <c r="E492" s="27" t="inlineStr">
        <is>
          <t>English</t>
        </is>
      </c>
      <c r="F492" s="27" t="inlineStr">
        <is>
          <t>YouTube</t>
        </is>
      </c>
      <c r="G492" s="27" t="inlineStr">
        <is>
          <t>https://www.youtube.com/@lucaswaverly</t>
        </is>
      </c>
      <c r="H492" s="27" t="inlineStr">
        <is>
          <t>UCUS00488793395</t>
        </is>
      </c>
      <c r="I492" s="27" t="inlineStr">
        <is>
          <t>680,000</t>
        </is>
      </c>
      <c r="J492" s="27" t="inlineStr">
        <is>
          <t>2026-10-10</t>
        </is>
      </c>
      <c r="K492" s="27" t="inlineStr">
        <is>
          <t>https://www.youtube.com/watch?v=us00488</t>
        </is>
      </c>
      <c r="L492" s="27" t="n">
        <v>16</v>
      </c>
      <c r="M492" s="27" t="n">
        <v>18</v>
      </c>
      <c r="N492" s="27" t="inlineStr">
        <is>
          <t>Newsletter Subscription</t>
        </is>
      </c>
      <c r="O492" s="27" t="inlineStr">
        <is>
          <t>https://lucaswaverly.com/subscribe</t>
        </is>
      </c>
      <c r="P492" s="27" t="inlineStr">
        <is>
          <t>Missing Video Captions &amp; Retention Clips</t>
        </is>
      </c>
      <c r="Q492" s="27" t="inlineStr">
        <is>
          <t>https://lucaswaverly.com/highlights</t>
        </is>
      </c>
      <c r="R492" s="27" t="inlineStr">
        <is>
          <t>Email</t>
        </is>
      </c>
      <c r="S492" s="27" t="inlineStr">
        <is>
          <t>contact@lucaswaverly.com</t>
        </is>
      </c>
      <c r="T492" s="27" t="inlineStr">
        <is>
          <t>https://lucaswaverly.com/contact</t>
        </is>
      </c>
      <c r="U492" s="27" t="inlineStr">
        <is>
          <t>LinkedIn</t>
        </is>
      </c>
      <c r="V492" s="27" t="inlineStr">
        <is>
          <t>education &amp; applied coding frameworks, specifically regarding episode 39 on Education &amp; Applied Coding workflow optimization</t>
        </is>
      </c>
      <c r="W492" s="27" t="inlineStr">
        <is>
          <t>Hi Lucas,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92" s="27" t="inlineStr">
        <is>
          <t>2026-10-18</t>
        </is>
      </c>
      <c r="Y492" s="27" t="inlineStr">
        <is>
          <t>C</t>
        </is>
      </c>
      <c r="Z492" s="27" t="n">
        <v>78.7</v>
      </c>
      <c r="AA492" s="27" t="inlineStr">
        <is>
          <t>Qualified</t>
        </is>
      </c>
      <c r="AB492" s="27" t="inlineStr"/>
      <c r="AC492" s="28">
        <f>IF(A492="","",IF(COUNTIF($H$5:$H$1004,H492)&gt;1,"DUPLICATE","UNIQUE"))</f>
        <v/>
      </c>
      <c r="AD492" s="28">
        <f>IF(A492="","",IF(AA492="Rejected",IF(AB492&lt;&gt;"","REJECTED","ADD REASON"),IF(AND(B492&lt;&gt;"",C492&lt;&gt;"",D492&lt;&gt;"",E492&lt;&gt;"",F492&lt;&gt;"",G492&lt;&gt;"",H492&lt;&gt;"",J492&lt;&gt;"",K492&lt;&gt;"",N492&lt;&gt;"",O492&lt;&gt;"",P492&lt;&gt;"",Q492&lt;&gt;"",R492&lt;&gt;"",S492&lt;&gt;"",T492&lt;&gt;"",V492&lt;&gt;"",W492&lt;&gt;"",X492&lt;&gt;"",Y492&lt;&gt;""),"COMPLETE","MISSING FIELDS")))</f>
        <v/>
      </c>
    </row>
    <row r="493" ht="15" customHeight="1" s="15">
      <c r="A493" s="27" t="inlineStr">
        <is>
          <t>LEAD-0489</t>
        </is>
      </c>
      <c r="B493" s="27" t="inlineStr">
        <is>
          <t>Lucas Yardley</t>
        </is>
      </c>
      <c r="C493" s="27" t="inlineStr">
        <is>
          <t>Podcaster</t>
        </is>
      </c>
      <c r="D493" s="27" t="inlineStr">
        <is>
          <t>US</t>
        </is>
      </c>
      <c r="E493" s="27" t="inlineStr">
        <is>
          <t>English</t>
        </is>
      </c>
      <c r="F493" s="27" t="inlineStr">
        <is>
          <t>Apple Podcasts</t>
        </is>
      </c>
      <c r="G493" s="27" t="inlineStr">
        <is>
          <t>https://podcasts.apple.com/us/podcast/lucasyardley/id1000489</t>
        </is>
      </c>
      <c r="H493" s="27" t="inlineStr">
        <is>
          <t>AP-US-1000489</t>
        </is>
      </c>
      <c r="I493" s="27" t="inlineStr">
        <is>
          <t>180,000</t>
        </is>
      </c>
      <c r="J493" s="27" t="inlineStr">
        <is>
          <t>2026-10-11</t>
        </is>
      </c>
      <c r="K493" s="27" t="inlineStr">
        <is>
          <t>https://lucasyardley.com/episodes/90</t>
        </is>
      </c>
      <c r="L493" s="27" t="n">
        <v>17</v>
      </c>
      <c r="M493" s="27" t="n">
        <v>19</v>
      </c>
      <c r="N493" s="27" t="inlineStr">
        <is>
          <t>Affiliate</t>
        </is>
      </c>
      <c r="O493" s="27" t="inlineStr">
        <is>
          <t>https://lucasyardley.com/resources</t>
        </is>
      </c>
      <c r="P493" s="27" t="inlineStr">
        <is>
          <t>Shorts Repurposing Bottleneck</t>
        </is>
      </c>
      <c r="Q493" s="27" t="inlineStr">
        <is>
          <t>https://lucasyardley.com/highlights</t>
        </is>
      </c>
      <c r="R493" s="27" t="inlineStr">
        <is>
          <t>LinkedIn</t>
        </is>
      </c>
      <c r="S493" s="27" t="inlineStr">
        <is>
          <t>https://linkedin.com/in/lucasyardley</t>
        </is>
      </c>
      <c r="T493" s="27" t="inlineStr">
        <is>
          <t>https://lucasyardley.com/about</t>
        </is>
      </c>
      <c r="U493" s="27" t="inlineStr">
        <is>
          <t>Email</t>
        </is>
      </c>
      <c r="V493" s="27" t="inlineStr">
        <is>
          <t>e-commerce &amp; digital brands frameworks, specifically regarding episode 40 on E-Commerce &amp; Digital Brands workflow optimization</t>
        </is>
      </c>
      <c r="W493" s="27" t="inlineStr">
        <is>
          <t>Hi Lucas,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93" s="27" t="inlineStr">
        <is>
          <t>2026-10-18</t>
        </is>
      </c>
      <c r="Y493" s="27" t="inlineStr">
        <is>
          <t>C</t>
        </is>
      </c>
      <c r="Z493" s="27" t="n">
        <v>78.7</v>
      </c>
      <c r="AA493" s="27" t="inlineStr">
        <is>
          <t>Qualified</t>
        </is>
      </c>
      <c r="AB493" s="27" t="inlineStr"/>
      <c r="AC493" s="28">
        <f>IF(A493="","",IF(COUNTIF($H$5:$H$1004,H493)&gt;1,"DUPLICATE","UNIQUE"))</f>
        <v/>
      </c>
      <c r="AD493" s="28">
        <f>IF(A493="","",IF(AA493="Rejected",IF(AB493&lt;&gt;"","REJECTED","ADD REASON"),IF(AND(B493&lt;&gt;"",C493&lt;&gt;"",D493&lt;&gt;"",E493&lt;&gt;"",F493&lt;&gt;"",G493&lt;&gt;"",H493&lt;&gt;"",J493&lt;&gt;"",K493&lt;&gt;"",N493&lt;&gt;"",O493&lt;&gt;"",P493&lt;&gt;"",Q493&lt;&gt;"",R493&lt;&gt;"",S493&lt;&gt;"",T493&lt;&gt;"",V493&lt;&gt;"",W493&lt;&gt;"",X493&lt;&gt;"",Y493&lt;&gt;""),"COMPLETE","MISSING FIELDS")))</f>
        <v/>
      </c>
    </row>
    <row r="494" ht="15" customHeight="1" s="15">
      <c r="A494" s="27" t="inlineStr">
        <is>
          <t>LEAD-0490</t>
        </is>
      </c>
      <c r="B494" s="27" t="inlineStr">
        <is>
          <t>Lucas Zimmerman</t>
        </is>
      </c>
      <c r="C494" s="27" t="inlineStr">
        <is>
          <t>YouTuber</t>
        </is>
      </c>
      <c r="D494" s="27" t="inlineStr">
        <is>
          <t>US</t>
        </is>
      </c>
      <c r="E494" s="27" t="inlineStr">
        <is>
          <t>English</t>
        </is>
      </c>
      <c r="F494" s="27" t="inlineStr">
        <is>
          <t>YouTube</t>
        </is>
      </c>
      <c r="G494" s="27" t="inlineStr">
        <is>
          <t>https://www.youtube.com/@lucaszimmerman</t>
        </is>
      </c>
      <c r="H494" s="27" t="inlineStr">
        <is>
          <t>UCUS00490994093</t>
        </is>
      </c>
      <c r="I494" s="27" t="inlineStr">
        <is>
          <t>20,000</t>
        </is>
      </c>
      <c r="J494" s="27" t="inlineStr">
        <is>
          <t>2026-10-12</t>
        </is>
      </c>
      <c r="K494" s="27" t="inlineStr">
        <is>
          <t>https://www.youtube.com/watch?v=us00490</t>
        </is>
      </c>
      <c r="L494" s="27" t="n">
        <v>8</v>
      </c>
      <c r="M494" s="27" t="n">
        <v>20</v>
      </c>
      <c r="N494" s="27" t="inlineStr">
        <is>
          <t>Course</t>
        </is>
      </c>
      <c r="O494" s="27" t="inlineStr">
        <is>
          <t>https://lucaszimmerman.com/academy</t>
        </is>
      </c>
      <c r="P494" s="27" t="inlineStr">
        <is>
          <t>Shorts Repurposing Bottleneck</t>
        </is>
      </c>
      <c r="Q494" s="27" t="inlineStr">
        <is>
          <t>https://lucaszimmerman.com/highlights</t>
        </is>
      </c>
      <c r="R494" s="27" t="inlineStr">
        <is>
          <t>X (Twitter)</t>
        </is>
      </c>
      <c r="S494" s="27" t="inlineStr">
        <is>
          <t>https://x.com/lucaszimmerman</t>
        </is>
      </c>
      <c r="T494" s="27" t="inlineStr">
        <is>
          <t>https://lucaszimmerman.com/links</t>
        </is>
      </c>
      <c r="U494" s="27" t="inlineStr">
        <is>
          <t>LinkedIn</t>
        </is>
      </c>
      <c r="V494" s="27" t="inlineStr">
        <is>
          <t>tech &amp; ai frameworks, specifically regarding episode 41 on Tech &amp; AI workflow optimization</t>
        </is>
      </c>
      <c r="W494" s="27" t="inlineStr">
        <is>
          <t>Hi Lucas,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94" s="27" t="inlineStr">
        <is>
          <t>2026-10-18</t>
        </is>
      </c>
      <c r="Y494" s="27" t="inlineStr">
        <is>
          <t>C</t>
        </is>
      </c>
      <c r="Z494" s="27" t="n">
        <v>78.59999999999999</v>
      </c>
      <c r="AA494" s="27" t="inlineStr">
        <is>
          <t>Qualified</t>
        </is>
      </c>
      <c r="AB494" s="27" t="inlineStr"/>
      <c r="AC494" s="28">
        <f>IF(A494="","",IF(COUNTIF($H$5:$H$1004,H494)&gt;1,"DUPLICATE","UNIQUE"))</f>
        <v/>
      </c>
      <c r="AD494" s="28">
        <f>IF(A494="","",IF(AA494="Rejected",IF(AB494&lt;&gt;"","REJECTED","ADD REASON"),IF(AND(B494&lt;&gt;"",C494&lt;&gt;"",D494&lt;&gt;"",E494&lt;&gt;"",F494&lt;&gt;"",G494&lt;&gt;"",H494&lt;&gt;"",J494&lt;&gt;"",K494&lt;&gt;"",N494&lt;&gt;"",O494&lt;&gt;"",P494&lt;&gt;"",Q494&lt;&gt;"",R494&lt;&gt;"",S494&lt;&gt;"",T494&lt;&gt;"",V494&lt;&gt;"",W494&lt;&gt;"",X494&lt;&gt;"",Y494&lt;&gt;""),"COMPLETE","MISSING FIELDS")))</f>
        <v/>
      </c>
    </row>
    <row r="495" ht="15" customHeight="1" s="15">
      <c r="A495" s="27" t="inlineStr">
        <is>
          <t>LEAD-0491</t>
        </is>
      </c>
      <c r="B495" s="27" t="inlineStr">
        <is>
          <t>Lucas Sterling</t>
        </is>
      </c>
      <c r="C495" s="27" t="inlineStr">
        <is>
          <t>Podcaster</t>
        </is>
      </c>
      <c r="D495" s="27" t="inlineStr">
        <is>
          <t>US</t>
        </is>
      </c>
      <c r="E495" s="27" t="inlineStr">
        <is>
          <t>English</t>
        </is>
      </c>
      <c r="F495" s="27" t="inlineStr">
        <is>
          <t>Apple Podcasts</t>
        </is>
      </c>
      <c r="G495" s="27" t="inlineStr">
        <is>
          <t>https://podcasts.apple.com/us/podcast/lucassterling/id1000491</t>
        </is>
      </c>
      <c r="H495" s="27" t="inlineStr">
        <is>
          <t>AP-US-1000491</t>
        </is>
      </c>
      <c r="I495" s="27" t="inlineStr">
        <is>
          <t>204,000</t>
        </is>
      </c>
      <c r="J495" s="27" t="inlineStr">
        <is>
          <t>2026-10-13</t>
        </is>
      </c>
      <c r="K495" s="27" t="inlineStr">
        <is>
          <t>https://lucassterling.com/episodes/92</t>
        </is>
      </c>
      <c r="L495" s="27" t="n">
        <v>9</v>
      </c>
      <c r="M495" s="27" t="n">
        <v>21</v>
      </c>
      <c r="N495" s="27" t="inlineStr">
        <is>
          <t>Sponsor</t>
        </is>
      </c>
      <c r="O495" s="27" t="inlineStr">
        <is>
          <t>https://lucassterling.com/partners</t>
        </is>
      </c>
      <c r="P495" s="27" t="inlineStr">
        <is>
          <t>Missing Video Captions &amp; Retention Clips</t>
        </is>
      </c>
      <c r="Q495" s="27" t="inlineStr">
        <is>
          <t>https://lucassterling.com/highlights</t>
        </is>
      </c>
      <c r="R495" s="27" t="inlineStr">
        <is>
          <t>Email</t>
        </is>
      </c>
      <c r="S495" s="27" t="inlineStr">
        <is>
          <t>hello@lucassterling.com</t>
        </is>
      </c>
      <c r="T495" s="27" t="inlineStr">
        <is>
          <t>https://lucassterling.com/work-with-me</t>
        </is>
      </c>
      <c r="U495" s="27" t="inlineStr">
        <is>
          <t>LinkedIn</t>
        </is>
      </c>
      <c r="V495" s="27" t="inlineStr">
        <is>
          <t>saas &amp; product growth frameworks, specifically regarding episode 42 on SaaS &amp; Product Growth workflow optimization</t>
        </is>
      </c>
      <c r="W495" s="27" t="inlineStr">
        <is>
          <t>Hi Lucas,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95" s="27" t="inlineStr">
        <is>
          <t>2026-10-18</t>
        </is>
      </c>
      <c r="Y495" s="27" t="inlineStr">
        <is>
          <t>C</t>
        </is>
      </c>
      <c r="Z495" s="27" t="n">
        <v>78.5</v>
      </c>
      <c r="AA495" s="27" t="inlineStr">
        <is>
          <t>Qualified</t>
        </is>
      </c>
      <c r="AB495" s="27" t="inlineStr"/>
      <c r="AC495" s="28">
        <f>IF(A495="","",IF(COUNTIF($H$5:$H$1004,H495)&gt;1,"DUPLICATE","UNIQUE"))</f>
        <v/>
      </c>
      <c r="AD495" s="28">
        <f>IF(A495="","",IF(AA495="Rejected",IF(AB495&lt;&gt;"","REJECTED","ADD REASON"),IF(AND(B495&lt;&gt;"",C495&lt;&gt;"",D495&lt;&gt;"",E495&lt;&gt;"",F495&lt;&gt;"",G495&lt;&gt;"",H495&lt;&gt;"",J495&lt;&gt;"",K495&lt;&gt;"",N495&lt;&gt;"",O495&lt;&gt;"",P495&lt;&gt;"",Q495&lt;&gt;"",R495&lt;&gt;"",S495&lt;&gt;"",T495&lt;&gt;"",V495&lt;&gt;"",W495&lt;&gt;"",X495&lt;&gt;"",Y495&lt;&gt;""),"COMPLETE","MISSING FIELDS")))</f>
        <v/>
      </c>
    </row>
    <row r="496" ht="15" customHeight="1" s="15">
      <c r="A496" s="27" t="inlineStr">
        <is>
          <t>LEAD-0492</t>
        </is>
      </c>
      <c r="B496" s="27" t="inlineStr">
        <is>
          <t>Lucas Cross</t>
        </is>
      </c>
      <c r="C496" s="27" t="inlineStr">
        <is>
          <t>Expert-Led Creator</t>
        </is>
      </c>
      <c r="D496" s="27" t="inlineStr">
        <is>
          <t>US</t>
        </is>
      </c>
      <c r="E496" s="27" t="inlineStr">
        <is>
          <t>English</t>
        </is>
      </c>
      <c r="F496" s="27" t="inlineStr">
        <is>
          <t>YouTube</t>
        </is>
      </c>
      <c r="G496" s="27" t="inlineStr">
        <is>
          <t>https://www.youtube.com/@lucascross</t>
        </is>
      </c>
      <c r="H496" s="27" t="inlineStr">
        <is>
          <t>UCUS00492372017</t>
        </is>
      </c>
      <c r="I496" s="27" t="inlineStr">
        <is>
          <t>60,000</t>
        </is>
      </c>
      <c r="J496" s="27" t="inlineStr">
        <is>
          <t>2026-10-14</t>
        </is>
      </c>
      <c r="K496" s="27" t="inlineStr">
        <is>
          <t>https://www.youtube.com/watch?v=us00492</t>
        </is>
      </c>
      <c r="L496" s="27" t="n">
        <v>10</v>
      </c>
      <c r="M496" s="27" t="n">
        <v>22</v>
      </c>
      <c r="N496" s="27" t="inlineStr">
        <is>
          <t>Membership</t>
        </is>
      </c>
      <c r="O496" s="27" t="inlineStr">
        <is>
          <t>https://lucascross.com/community</t>
        </is>
      </c>
      <c r="P496" s="27" t="inlineStr">
        <is>
          <t>Editing Backlog &amp; Team Workflow Overhead</t>
        </is>
      </c>
      <c r="Q496" s="27" t="inlineStr">
        <is>
          <t>https://lucascross.com/highlights</t>
        </is>
      </c>
      <c r="R496" s="27" t="inlineStr">
        <is>
          <t>Email</t>
        </is>
      </c>
      <c r="S496" s="27" t="inlineStr">
        <is>
          <t>contact@lucascross.com</t>
        </is>
      </c>
      <c r="T496" s="27" t="inlineStr">
        <is>
          <t>https://lucascross.com/contact</t>
        </is>
      </c>
      <c r="U496" s="27" t="inlineStr">
        <is>
          <t>LinkedIn</t>
        </is>
      </c>
      <c r="V496" s="27" t="inlineStr">
        <is>
          <t>creator business &amp; monetization frameworks, specifically regarding episode 43 on Creator Business &amp; Monetization workflow optimization</t>
        </is>
      </c>
      <c r="W496" s="27" t="inlineStr">
        <is>
          <t>Hi Lucas,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96" s="27" t="inlineStr">
        <is>
          <t>2026-10-18</t>
        </is>
      </c>
      <c r="Y496" s="27" t="inlineStr">
        <is>
          <t>C</t>
        </is>
      </c>
      <c r="Z496" s="27" t="n">
        <v>78.5</v>
      </c>
      <c r="AA496" s="27" t="inlineStr">
        <is>
          <t>Qualified</t>
        </is>
      </c>
      <c r="AB496" s="27" t="inlineStr"/>
      <c r="AC496" s="28">
        <f>IF(A496="","",IF(COUNTIF($H$5:$H$1004,H496)&gt;1,"DUPLICATE","UNIQUE"))</f>
        <v/>
      </c>
      <c r="AD496" s="28">
        <f>IF(A496="","",IF(AA496="Rejected",IF(AB496&lt;&gt;"","REJECTED","ADD REASON"),IF(AND(B496&lt;&gt;"",C496&lt;&gt;"",D496&lt;&gt;"",E496&lt;&gt;"",F496&lt;&gt;"",G496&lt;&gt;"",H496&lt;&gt;"",J496&lt;&gt;"",K496&lt;&gt;"",N496&lt;&gt;"",O496&lt;&gt;"",P496&lt;&gt;"",Q496&lt;&gt;"",R496&lt;&gt;"",S496&lt;&gt;"",T496&lt;&gt;"",V496&lt;&gt;"",W496&lt;&gt;"",X496&lt;&gt;"",Y496&lt;&gt;""),"COMPLETE","MISSING FIELDS")))</f>
        <v/>
      </c>
    </row>
    <row r="497" ht="15" customHeight="1" s="15">
      <c r="A497" s="27" t="inlineStr">
        <is>
          <t>LEAD-0493</t>
        </is>
      </c>
      <c r="B497" s="27" t="inlineStr">
        <is>
          <t>Lucas Vance</t>
        </is>
      </c>
      <c r="C497" s="27" t="inlineStr">
        <is>
          <t>YouTuber</t>
        </is>
      </c>
      <c r="D497" s="27" t="inlineStr">
        <is>
          <t>US</t>
        </is>
      </c>
      <c r="E497" s="27" t="inlineStr">
        <is>
          <t>English</t>
        </is>
      </c>
      <c r="F497" s="27" t="inlineStr">
        <is>
          <t>YouTube</t>
        </is>
      </c>
      <c r="G497" s="27" t="inlineStr">
        <is>
          <t>https://www.youtube.com/@lucasvance</t>
        </is>
      </c>
      <c r="H497" s="27" t="inlineStr">
        <is>
          <t>UCUS00493066147</t>
        </is>
      </c>
      <c r="I497" s="27" t="inlineStr">
        <is>
          <t>80,000</t>
        </is>
      </c>
      <c r="J497" s="27" t="inlineStr">
        <is>
          <t>2026-10-15</t>
        </is>
      </c>
      <c r="K497" s="27" t="inlineStr">
        <is>
          <t>https://www.youtube.com/watch?v=us00493</t>
        </is>
      </c>
      <c r="L497" s="27" t="n">
        <v>11</v>
      </c>
      <c r="M497" s="27" t="n">
        <v>23</v>
      </c>
      <c r="N497" s="27" t="inlineStr">
        <is>
          <t>Product</t>
        </is>
      </c>
      <c r="O497" s="27" t="inlineStr">
        <is>
          <t>https://lucasvance.com/shop</t>
        </is>
      </c>
      <c r="P497" s="27" t="inlineStr">
        <is>
          <t>Shorts Repurposing Bottleneck</t>
        </is>
      </c>
      <c r="Q497" s="27" t="inlineStr">
        <is>
          <t>https://lucasvance.com/highlights</t>
        </is>
      </c>
      <c r="R497" s="27" t="inlineStr">
        <is>
          <t>LinkedIn</t>
        </is>
      </c>
      <c r="S497" s="27" t="inlineStr">
        <is>
          <t>https://linkedin.com/in/lucasvance</t>
        </is>
      </c>
      <c r="T497" s="27" t="inlineStr">
        <is>
          <t>https://lucasvance.com/about</t>
        </is>
      </c>
      <c r="U497" s="27" t="inlineStr">
        <is>
          <t>Email</t>
        </is>
      </c>
      <c r="V497" s="27" t="inlineStr">
        <is>
          <t>productivity &amp; personal systems frameworks, specifically regarding episode 44 on Productivity &amp; Personal Systems workflow optimization</t>
        </is>
      </c>
      <c r="W497" s="27" t="inlineStr">
        <is>
          <t>Hi Lucas,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97" s="27" t="inlineStr">
        <is>
          <t>2026-10-18</t>
        </is>
      </c>
      <c r="Y497" s="27" t="inlineStr">
        <is>
          <t>C</t>
        </is>
      </c>
      <c r="Z497" s="27" t="n">
        <v>78.40000000000001</v>
      </c>
      <c r="AA497" s="27" t="inlineStr">
        <is>
          <t>Qualified</t>
        </is>
      </c>
      <c r="AB497" s="27" t="inlineStr"/>
      <c r="AC497" s="28">
        <f>IF(A497="","",IF(COUNTIF($H$5:$H$1004,H497)&gt;1,"DUPLICATE","UNIQUE"))</f>
        <v/>
      </c>
      <c r="AD497" s="28">
        <f>IF(A497="","",IF(AA497="Rejected",IF(AB497&lt;&gt;"","REJECTED","ADD REASON"),IF(AND(B497&lt;&gt;"",C497&lt;&gt;"",D497&lt;&gt;"",E497&lt;&gt;"",F497&lt;&gt;"",G497&lt;&gt;"",H497&lt;&gt;"",J497&lt;&gt;"",K497&lt;&gt;"",N497&lt;&gt;"",O497&lt;&gt;"",P497&lt;&gt;"",Q497&lt;&gt;"",R497&lt;&gt;"",S497&lt;&gt;"",T497&lt;&gt;"",V497&lt;&gt;"",W497&lt;&gt;"",X497&lt;&gt;"",Y497&lt;&gt;""),"COMPLETE","MISSING FIELDS")))</f>
        <v/>
      </c>
    </row>
    <row r="498" ht="15" customHeight="1" s="15">
      <c r="A498" s="27" t="inlineStr">
        <is>
          <t>LEAD-0494</t>
        </is>
      </c>
      <c r="B498" s="27" t="inlineStr">
        <is>
          <t>Lucas Mercer</t>
        </is>
      </c>
      <c r="C498" s="27" t="inlineStr">
        <is>
          <t>Podcaster</t>
        </is>
      </c>
      <c r="D498" s="27" t="inlineStr">
        <is>
          <t>US</t>
        </is>
      </c>
      <c r="E498" s="27" t="inlineStr">
        <is>
          <t>English</t>
        </is>
      </c>
      <c r="F498" s="27" t="inlineStr">
        <is>
          <t>Apple Podcasts</t>
        </is>
      </c>
      <c r="G498" s="27" t="inlineStr">
        <is>
          <t>https://podcasts.apple.com/us/podcast/lucasmercer/id1000494</t>
        </is>
      </c>
      <c r="H498" s="27" t="inlineStr">
        <is>
          <t>AP-US-1000494</t>
        </is>
      </c>
      <c r="I498" s="27" t="inlineStr">
        <is>
          <t>240,000</t>
        </is>
      </c>
      <c r="J498" s="27" t="inlineStr">
        <is>
          <t>2026-10-16</t>
        </is>
      </c>
      <c r="K498" s="27" t="inlineStr">
        <is>
          <t>https://lucasmercer.com/episodes/95</t>
        </is>
      </c>
      <c r="L498" s="27" t="n">
        <v>12</v>
      </c>
      <c r="M498" s="27" t="n">
        <v>24</v>
      </c>
      <c r="N498" s="27" t="inlineStr">
        <is>
          <t>Consulting</t>
        </is>
      </c>
      <c r="O498" s="27" t="inlineStr">
        <is>
          <t>https://lucasmercer.com/advisory</t>
        </is>
      </c>
      <c r="P498" s="27" t="inlineStr">
        <is>
          <t>Inconsistent Cross-Platform Publishing</t>
        </is>
      </c>
      <c r="Q498" s="27" t="inlineStr">
        <is>
          <t>https://lucasmercer.com/highlights</t>
        </is>
      </c>
      <c r="R498" s="27" t="inlineStr">
        <is>
          <t>X (Twitter)</t>
        </is>
      </c>
      <c r="S498" s="27" t="inlineStr">
        <is>
          <t>https://x.com/lucasmercer</t>
        </is>
      </c>
      <c r="T498" s="27" t="inlineStr">
        <is>
          <t>https://lucasmercer.com/links</t>
        </is>
      </c>
      <c r="U498" s="27" t="inlineStr">
        <is>
          <t>LinkedIn</t>
        </is>
      </c>
      <c r="V498" s="27" t="inlineStr">
        <is>
          <t>leadership &amp; team ops frameworks, specifically regarding episode 45 on Leadership &amp; Team Ops workflow optimization</t>
        </is>
      </c>
      <c r="W498" s="27" t="inlineStr">
        <is>
          <t>Hi Lucas,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98" s="27" t="inlineStr">
        <is>
          <t>2026-10-18</t>
        </is>
      </c>
      <c r="Y498" s="27" t="inlineStr">
        <is>
          <t>C</t>
        </is>
      </c>
      <c r="Z498" s="27" t="n">
        <v>78.40000000000001</v>
      </c>
      <c r="AA498" s="27" t="inlineStr">
        <is>
          <t>Qualified</t>
        </is>
      </c>
      <c r="AB498" s="27" t="inlineStr"/>
      <c r="AC498" s="28">
        <f>IF(A498="","",IF(COUNTIF($H$5:$H$1004,H498)&gt;1,"DUPLICATE","UNIQUE"))</f>
        <v/>
      </c>
      <c r="AD498" s="28">
        <f>IF(A498="","",IF(AA498="Rejected",IF(AB498&lt;&gt;"","REJECTED","ADD REASON"),IF(AND(B498&lt;&gt;"",C498&lt;&gt;"",D498&lt;&gt;"",E498&lt;&gt;"",F498&lt;&gt;"",G498&lt;&gt;"",H498&lt;&gt;"",J498&lt;&gt;"",K498&lt;&gt;"",N498&lt;&gt;"",O498&lt;&gt;"",P498&lt;&gt;"",Q498&lt;&gt;"",R498&lt;&gt;"",S498&lt;&gt;"",T498&lt;&gt;"",V498&lt;&gt;"",W498&lt;&gt;"",X498&lt;&gt;"",Y498&lt;&gt;""),"COMPLETE","MISSING FIELDS")))</f>
        <v/>
      </c>
    </row>
    <row r="499" ht="15" customHeight="1" s="15">
      <c r="A499" s="27" t="inlineStr">
        <is>
          <t>LEAD-0495</t>
        </is>
      </c>
      <c r="B499" s="27" t="inlineStr">
        <is>
          <t>Lucas Sinclair</t>
        </is>
      </c>
      <c r="C499" s="27" t="inlineStr">
        <is>
          <t>Expert-Led Creator</t>
        </is>
      </c>
      <c r="D499" s="27" t="inlineStr">
        <is>
          <t>US</t>
        </is>
      </c>
      <c r="E499" s="27" t="inlineStr">
        <is>
          <t>English</t>
        </is>
      </c>
      <c r="F499" s="27" t="inlineStr">
        <is>
          <t>LinkedIn</t>
        </is>
      </c>
      <c r="G499" s="27" t="inlineStr">
        <is>
          <t>https://www.linkedin.com/in/lucassinclair</t>
        </is>
      </c>
      <c r="H499" s="27" t="inlineStr">
        <is>
          <t>LI-lucassinclair-0495</t>
        </is>
      </c>
      <c r="I499" s="27" t="inlineStr">
        <is>
          <t>96,000</t>
        </is>
      </c>
      <c r="J499" s="27" t="inlineStr">
        <is>
          <t>2026-10-17</t>
        </is>
      </c>
      <c r="K499" s="27" t="inlineStr">
        <is>
          <t>https://lucassinclair.com/posts/46</t>
        </is>
      </c>
      <c r="L499" s="27" t="n">
        <v>13</v>
      </c>
      <c r="M499" s="27" t="n">
        <v>25</v>
      </c>
      <c r="N499" s="27" t="inlineStr">
        <is>
          <t>Newsletter Subscription</t>
        </is>
      </c>
      <c r="O499" s="27" t="inlineStr">
        <is>
          <t>https://lucassinclair.com/subscribe</t>
        </is>
      </c>
      <c r="P499" s="27" t="inlineStr">
        <is>
          <t>Editing Backlog &amp; Team Workflow Overhead</t>
        </is>
      </c>
      <c r="Q499" s="27" t="inlineStr">
        <is>
          <t>https://lucassinclair.com/highlights</t>
        </is>
      </c>
      <c r="R499" s="27" t="inlineStr">
        <is>
          <t>Email</t>
        </is>
      </c>
      <c r="S499" s="27" t="inlineStr">
        <is>
          <t>hello@lucassinclair.com</t>
        </is>
      </c>
      <c r="T499" s="27" t="inlineStr">
        <is>
          <t>https://lucassinclair.com/work-with-me</t>
        </is>
      </c>
      <c r="U499" s="27" t="inlineStr">
        <is>
          <t>LinkedIn</t>
        </is>
      </c>
      <c r="V499" s="27" t="inlineStr">
        <is>
          <t>b2b marketing &amp; sales frameworks, specifically regarding episode 46 on B2B Marketing &amp; Sales workflow optimization</t>
        </is>
      </c>
      <c r="W499" s="27" t="inlineStr">
        <is>
          <t>Hi Lucas,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499" s="27" t="inlineStr">
        <is>
          <t>2026-10-18</t>
        </is>
      </c>
      <c r="Y499" s="27" t="inlineStr">
        <is>
          <t>C</t>
        </is>
      </c>
      <c r="Z499" s="27" t="n">
        <v>78.3</v>
      </c>
      <c r="AA499" s="27" t="inlineStr">
        <is>
          <t>Qualified</t>
        </is>
      </c>
      <c r="AB499" s="27" t="inlineStr"/>
      <c r="AC499" s="28">
        <f>IF(A499="","",IF(COUNTIF($H$5:$H$1004,H499)&gt;1,"DUPLICATE","UNIQUE"))</f>
        <v/>
      </c>
      <c r="AD499" s="28">
        <f>IF(A499="","",IF(AA499="Rejected",IF(AB499&lt;&gt;"","REJECTED","ADD REASON"),IF(AND(B499&lt;&gt;"",C499&lt;&gt;"",D499&lt;&gt;"",E499&lt;&gt;"",F499&lt;&gt;"",G499&lt;&gt;"",H499&lt;&gt;"",J499&lt;&gt;"",K499&lt;&gt;"",N499&lt;&gt;"",O499&lt;&gt;"",P499&lt;&gt;"",Q499&lt;&gt;"",R499&lt;&gt;"",S499&lt;&gt;"",T499&lt;&gt;"",V499&lt;&gt;"",W499&lt;&gt;"",X499&lt;&gt;"",Y499&lt;&gt;""),"COMPLETE","MISSING FIELDS")))</f>
        <v/>
      </c>
    </row>
    <row r="500" ht="15" customHeight="1" s="15">
      <c r="A500" s="27" t="inlineStr">
        <is>
          <t>LEAD-0496</t>
        </is>
      </c>
      <c r="B500" s="27" t="inlineStr">
        <is>
          <t>Lucas Carrington</t>
        </is>
      </c>
      <c r="C500" s="27" t="inlineStr">
        <is>
          <t>YouTuber</t>
        </is>
      </c>
      <c r="D500" s="27" t="inlineStr">
        <is>
          <t>US</t>
        </is>
      </c>
      <c r="E500" s="27" t="inlineStr">
        <is>
          <t>English</t>
        </is>
      </c>
      <c r="F500" s="27" t="inlineStr">
        <is>
          <t>YouTube</t>
        </is>
      </c>
      <c r="G500" s="27" t="inlineStr">
        <is>
          <t>https://www.youtube.com/@lucascarrington</t>
        </is>
      </c>
      <c r="H500" s="27" t="inlineStr">
        <is>
          <t>UCUS00496670225</t>
        </is>
      </c>
      <c r="I500" s="27" t="inlineStr">
        <is>
          <t>140,000</t>
        </is>
      </c>
      <c r="J500" s="27" t="inlineStr">
        <is>
          <t>2026-10-10</t>
        </is>
      </c>
      <c r="K500" s="27" t="inlineStr">
        <is>
          <t>https://www.youtube.com/watch?v=us00496</t>
        </is>
      </c>
      <c r="L500" s="27" t="n">
        <v>14</v>
      </c>
      <c r="M500" s="27" t="n">
        <v>26</v>
      </c>
      <c r="N500" s="27" t="inlineStr">
        <is>
          <t>Affiliate</t>
        </is>
      </c>
      <c r="O500" s="27" t="inlineStr">
        <is>
          <t>https://lucascarrington.com/resources</t>
        </is>
      </c>
      <c r="P500" s="27" t="inlineStr">
        <is>
          <t>Multilingual Audio Dubbing</t>
        </is>
      </c>
      <c r="Q500" s="27" t="inlineStr">
        <is>
          <t>https://lucascarrington.com/highlights</t>
        </is>
      </c>
      <c r="R500" s="27" t="inlineStr">
        <is>
          <t>Email</t>
        </is>
      </c>
      <c r="S500" s="27" t="inlineStr">
        <is>
          <t>contact@lucascarrington.com</t>
        </is>
      </c>
      <c r="T500" s="27" t="inlineStr">
        <is>
          <t>https://lucascarrington.com/contact</t>
        </is>
      </c>
      <c r="U500" s="27" t="inlineStr">
        <is>
          <t>LinkedIn</t>
        </is>
      </c>
      <c r="V500" s="27" t="inlineStr">
        <is>
          <t>finance &amp; wealth engineering frameworks, specifically regarding episode 47 on Finance &amp; Wealth Engineering workflow optimization</t>
        </is>
      </c>
      <c r="W500" s="27" t="inlineStr">
        <is>
          <t>Hi Lucas,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00" s="27" t="inlineStr">
        <is>
          <t>2026-10-18</t>
        </is>
      </c>
      <c r="Y500" s="27" t="inlineStr">
        <is>
          <t>C</t>
        </is>
      </c>
      <c r="Z500" s="27" t="n">
        <v>78.2</v>
      </c>
      <c r="AA500" s="27" t="inlineStr">
        <is>
          <t>Qualified</t>
        </is>
      </c>
      <c r="AB500" s="27" t="inlineStr"/>
      <c r="AC500" s="28">
        <f>IF(A500="","",IF(COUNTIF($H$5:$H$1004,H500)&gt;1,"DUPLICATE","UNIQUE"))</f>
        <v/>
      </c>
      <c r="AD500" s="28">
        <f>IF(A500="","",IF(AA500="Rejected",IF(AB500&lt;&gt;"","REJECTED","ADD REASON"),IF(AND(B500&lt;&gt;"",C500&lt;&gt;"",D500&lt;&gt;"",E500&lt;&gt;"",F500&lt;&gt;"",G500&lt;&gt;"",H500&lt;&gt;"",J500&lt;&gt;"",K500&lt;&gt;"",N500&lt;&gt;"",O500&lt;&gt;"",P500&lt;&gt;"",Q500&lt;&gt;"",R500&lt;&gt;"",S500&lt;&gt;"",T500&lt;&gt;"",V500&lt;&gt;"",W500&lt;&gt;"",X500&lt;&gt;"",Y500&lt;&gt;""),"COMPLETE","MISSING FIELDS")))</f>
        <v/>
      </c>
    </row>
    <row r="501" ht="15" customHeight="1" s="15">
      <c r="A501" s="27" t="inlineStr">
        <is>
          <t>LEAD-0497</t>
        </is>
      </c>
      <c r="B501" s="27" t="inlineStr">
        <is>
          <t>Lucas Prescott</t>
        </is>
      </c>
      <c r="C501" s="27" t="inlineStr">
        <is>
          <t>Podcaster</t>
        </is>
      </c>
      <c r="D501" s="27" t="inlineStr">
        <is>
          <t>US</t>
        </is>
      </c>
      <c r="E501" s="27" t="inlineStr">
        <is>
          <t>English</t>
        </is>
      </c>
      <c r="F501" s="27" t="inlineStr">
        <is>
          <t>Apple Podcasts</t>
        </is>
      </c>
      <c r="G501" s="27" t="inlineStr">
        <is>
          <t>https://podcasts.apple.com/us/podcast/lucasprescott/id1000497</t>
        </is>
      </c>
      <c r="H501" s="27" t="inlineStr">
        <is>
          <t>AP-US-1000497</t>
        </is>
      </c>
      <c r="I501" s="27" t="inlineStr">
        <is>
          <t>276,000</t>
        </is>
      </c>
      <c r="J501" s="27" t="inlineStr">
        <is>
          <t>2026-10-11</t>
        </is>
      </c>
      <c r="K501" s="27" t="inlineStr">
        <is>
          <t>https://lucasprescott.com/episodes/98</t>
        </is>
      </c>
      <c r="L501" s="27" t="n">
        <v>15</v>
      </c>
      <c r="M501" s="27" t="n">
        <v>27</v>
      </c>
      <c r="N501" s="27" t="inlineStr">
        <is>
          <t>Course</t>
        </is>
      </c>
      <c r="O501" s="27" t="inlineStr">
        <is>
          <t>https://lucasprescott.com/academy</t>
        </is>
      </c>
      <c r="P501" s="27" t="inlineStr">
        <is>
          <t>Multilingual Audio Dubbing</t>
        </is>
      </c>
      <c r="Q501" s="27" t="inlineStr">
        <is>
          <t>https://lucasprescott.com/highlights</t>
        </is>
      </c>
      <c r="R501" s="27" t="inlineStr">
        <is>
          <t>LinkedIn</t>
        </is>
      </c>
      <c r="S501" s="27" t="inlineStr">
        <is>
          <t>https://linkedin.com/in/lucasprescott</t>
        </is>
      </c>
      <c r="T501" s="27" t="inlineStr">
        <is>
          <t>https://lucasprescott.com/about</t>
        </is>
      </c>
      <c r="U501" s="27" t="inlineStr">
        <is>
          <t>Email</t>
        </is>
      </c>
      <c r="V501" s="27" t="inlineStr">
        <is>
          <t>health &amp; longevity science frameworks, specifically regarding episode 48 on Health &amp; Longevity Science workflow optimization</t>
        </is>
      </c>
      <c r="W501" s="27" t="inlineStr">
        <is>
          <t>Hi Lucas,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01" s="27" t="inlineStr">
        <is>
          <t>2026-10-18</t>
        </is>
      </c>
      <c r="Y501" s="27" t="inlineStr">
        <is>
          <t>C</t>
        </is>
      </c>
      <c r="Z501" s="27" t="n">
        <v>78.2</v>
      </c>
      <c r="AA501" s="27" t="inlineStr">
        <is>
          <t>Qualified</t>
        </is>
      </c>
      <c r="AB501" s="27" t="inlineStr"/>
      <c r="AC501" s="28">
        <f>IF(A501="","",IF(COUNTIF($H$5:$H$1004,H501)&gt;1,"DUPLICATE","UNIQUE"))</f>
        <v/>
      </c>
      <c r="AD501" s="28">
        <f>IF(A501="","",IF(AA501="Rejected",IF(AB501&lt;&gt;"","REJECTED","ADD REASON"),IF(AND(B501&lt;&gt;"",C501&lt;&gt;"",D501&lt;&gt;"",E501&lt;&gt;"",F501&lt;&gt;"",G501&lt;&gt;"",H501&lt;&gt;"",J501&lt;&gt;"",K501&lt;&gt;"",N501&lt;&gt;"",O501&lt;&gt;"",P501&lt;&gt;"",Q501&lt;&gt;"",R501&lt;&gt;"",S501&lt;&gt;"",T501&lt;&gt;"",V501&lt;&gt;"",W501&lt;&gt;"",X501&lt;&gt;"",Y501&lt;&gt;""),"COMPLETE","MISSING FIELDS")))</f>
        <v/>
      </c>
    </row>
    <row r="502" ht="15" customHeight="1" s="15">
      <c r="A502" s="27" t="inlineStr">
        <is>
          <t>LEAD-0498</t>
        </is>
      </c>
      <c r="B502" s="27" t="inlineStr">
        <is>
          <t>Lucas Winslow</t>
        </is>
      </c>
      <c r="C502" s="27" t="inlineStr">
        <is>
          <t>YouTuber</t>
        </is>
      </c>
      <c r="D502" s="27" t="inlineStr">
        <is>
          <t>US</t>
        </is>
      </c>
      <c r="E502" s="27" t="inlineStr">
        <is>
          <t>English</t>
        </is>
      </c>
      <c r="F502" s="27" t="inlineStr">
        <is>
          <t>YouTube</t>
        </is>
      </c>
      <c r="G502" s="27" t="inlineStr">
        <is>
          <t>https://www.youtube.com/@lucaswinslow</t>
        </is>
      </c>
      <c r="H502" s="27" t="inlineStr">
        <is>
          <t>UCUS00498269437</t>
        </is>
      </c>
      <c r="I502" s="27" t="inlineStr">
        <is>
          <t>180,000</t>
        </is>
      </c>
      <c r="J502" s="27" t="inlineStr">
        <is>
          <t>2026-10-12</t>
        </is>
      </c>
      <c r="K502" s="27" t="inlineStr">
        <is>
          <t>https://www.youtube.com/watch?v=us00498</t>
        </is>
      </c>
      <c r="L502" s="27" t="n">
        <v>16</v>
      </c>
      <c r="M502" s="27" t="n">
        <v>28</v>
      </c>
      <c r="N502" s="27" t="inlineStr">
        <is>
          <t>Sponsor</t>
        </is>
      </c>
      <c r="O502" s="27" t="inlineStr">
        <is>
          <t>https://lucaswinslow.com/partners</t>
        </is>
      </c>
      <c r="P502" s="27" t="inlineStr">
        <is>
          <t>Missing Video Captions &amp; Retention Clips</t>
        </is>
      </c>
      <c r="Q502" s="27" t="inlineStr">
        <is>
          <t>https://lucaswinslow.com/highlights</t>
        </is>
      </c>
      <c r="R502" s="27" t="inlineStr">
        <is>
          <t>X (Twitter)</t>
        </is>
      </c>
      <c r="S502" s="27" t="inlineStr">
        <is>
          <t>https://x.com/lucaswinslow</t>
        </is>
      </c>
      <c r="T502" s="27" t="inlineStr">
        <is>
          <t>https://lucaswinslow.com/links</t>
        </is>
      </c>
      <c r="U502" s="27" t="inlineStr">
        <is>
          <t>LinkedIn</t>
        </is>
      </c>
      <c r="V502" s="27" t="inlineStr">
        <is>
          <t>education &amp; applied coding frameworks, specifically regarding episode 49 on Education &amp; Applied Coding workflow optimization</t>
        </is>
      </c>
      <c r="W502" s="27" t="inlineStr">
        <is>
          <t>Hi Lucas,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02" s="27" t="inlineStr">
        <is>
          <t>2026-10-18</t>
        </is>
      </c>
      <c r="Y502" s="27" t="inlineStr">
        <is>
          <t>C</t>
        </is>
      </c>
      <c r="Z502" s="27" t="n">
        <v>78.09999999999999</v>
      </c>
      <c r="AA502" s="27" t="inlineStr">
        <is>
          <t>Qualified</t>
        </is>
      </c>
      <c r="AB502" s="27" t="inlineStr"/>
      <c r="AC502" s="28">
        <f>IF(A502="","",IF(COUNTIF($H$5:$H$1004,H502)&gt;1,"DUPLICATE","UNIQUE"))</f>
        <v/>
      </c>
      <c r="AD502" s="28">
        <f>IF(A502="","",IF(AA502="Rejected",IF(AB502&lt;&gt;"","REJECTED","ADD REASON"),IF(AND(B502&lt;&gt;"",C502&lt;&gt;"",D502&lt;&gt;"",E502&lt;&gt;"",F502&lt;&gt;"",G502&lt;&gt;"",H502&lt;&gt;"",J502&lt;&gt;"",K502&lt;&gt;"",N502&lt;&gt;"",O502&lt;&gt;"",P502&lt;&gt;"",Q502&lt;&gt;"",R502&lt;&gt;"",S502&lt;&gt;"",T502&lt;&gt;"",V502&lt;&gt;"",W502&lt;&gt;"",X502&lt;&gt;"",Y502&lt;&gt;""),"COMPLETE","MISSING FIELDS")))</f>
        <v/>
      </c>
    </row>
    <row r="503" ht="15" customHeight="1" s="15">
      <c r="A503" s="27" t="inlineStr">
        <is>
          <t>LEAD-0499</t>
        </is>
      </c>
      <c r="B503" s="27" t="inlineStr">
        <is>
          <t>Lucas Bradford</t>
        </is>
      </c>
      <c r="C503" s="27" t="inlineStr">
        <is>
          <t>Podcaster</t>
        </is>
      </c>
      <c r="D503" s="27" t="inlineStr">
        <is>
          <t>US</t>
        </is>
      </c>
      <c r="E503" s="27" t="inlineStr">
        <is>
          <t>English</t>
        </is>
      </c>
      <c r="F503" s="27" t="inlineStr">
        <is>
          <t>Apple Podcasts</t>
        </is>
      </c>
      <c r="G503" s="27" t="inlineStr">
        <is>
          <t>https://podcasts.apple.com/us/podcast/lucasbradford/id1000499</t>
        </is>
      </c>
      <c r="H503" s="27" t="inlineStr">
        <is>
          <t>AP-US-1000499</t>
        </is>
      </c>
      <c r="I503" s="27" t="inlineStr">
        <is>
          <t>300,000</t>
        </is>
      </c>
      <c r="J503" s="27" t="inlineStr">
        <is>
          <t>2026-10-13</t>
        </is>
      </c>
      <c r="K503" s="27" t="inlineStr">
        <is>
          <t>https://lucasbradford.com/episodes/100</t>
        </is>
      </c>
      <c r="L503" s="27" t="n">
        <v>17</v>
      </c>
      <c r="M503" s="27" t="n">
        <v>29</v>
      </c>
      <c r="N503" s="27" t="inlineStr">
        <is>
          <t>Membership</t>
        </is>
      </c>
      <c r="O503" s="27" t="inlineStr">
        <is>
          <t>https://lucasbradford.com/community</t>
        </is>
      </c>
      <c r="P503" s="27" t="inlineStr">
        <is>
          <t>Shorts Repurposing Bottleneck</t>
        </is>
      </c>
      <c r="Q503" s="27" t="inlineStr">
        <is>
          <t>https://lucasbradford.com/highlights</t>
        </is>
      </c>
      <c r="R503" s="27" t="inlineStr">
        <is>
          <t>Email</t>
        </is>
      </c>
      <c r="S503" s="27" t="inlineStr">
        <is>
          <t>hello@lucasbradford.com</t>
        </is>
      </c>
      <c r="T503" s="27" t="inlineStr">
        <is>
          <t>https://lucasbradford.com/work-with-me</t>
        </is>
      </c>
      <c r="U503" s="27" t="inlineStr">
        <is>
          <t>LinkedIn</t>
        </is>
      </c>
      <c r="V503" s="27" t="inlineStr">
        <is>
          <t>e-commerce &amp; digital brands frameworks, specifically regarding episode 50 on E-Commerce &amp; Digital Brands workflow optimization</t>
        </is>
      </c>
      <c r="W503" s="27" t="inlineStr">
        <is>
          <t>Hi Lucas,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03" s="27" t="inlineStr">
        <is>
          <t>2026-10-18</t>
        </is>
      </c>
      <c r="Y503" s="27" t="inlineStr">
        <is>
          <t>C</t>
        </is>
      </c>
      <c r="Z503" s="27" t="n">
        <v>78.09999999999999</v>
      </c>
      <c r="AA503" s="27" t="inlineStr">
        <is>
          <t>Qualified</t>
        </is>
      </c>
      <c r="AB503" s="27" t="inlineStr"/>
      <c r="AC503" s="28">
        <f>IF(A503="","",IF(COUNTIF($H$5:$H$1004,H503)&gt;1,"DUPLICATE","UNIQUE"))</f>
        <v/>
      </c>
      <c r="AD503" s="28">
        <f>IF(A503="","",IF(AA503="Rejected",IF(AB503&lt;&gt;"","REJECTED","ADD REASON"),IF(AND(B503&lt;&gt;"",C503&lt;&gt;"",D503&lt;&gt;"",E503&lt;&gt;"",F503&lt;&gt;"",G503&lt;&gt;"",H503&lt;&gt;"",J503&lt;&gt;"",K503&lt;&gt;"",N503&lt;&gt;"",O503&lt;&gt;"",P503&lt;&gt;"",Q503&lt;&gt;"",R503&lt;&gt;"",S503&lt;&gt;"",T503&lt;&gt;"",V503&lt;&gt;"",W503&lt;&gt;"",X503&lt;&gt;"",Y503&lt;&gt;""),"COMPLETE","MISSING FIELDS")))</f>
        <v/>
      </c>
    </row>
    <row r="504" ht="15" customHeight="1" s="15">
      <c r="A504" s="27" t="inlineStr">
        <is>
          <t>LEAD-0500</t>
        </is>
      </c>
      <c r="B504" s="27" t="inlineStr">
        <is>
          <t>Lucas Kensington</t>
        </is>
      </c>
      <c r="C504" s="27" t="inlineStr">
        <is>
          <t>YouTuber</t>
        </is>
      </c>
      <c r="D504" s="27" t="inlineStr">
        <is>
          <t>US</t>
        </is>
      </c>
      <c r="E504" s="27" t="inlineStr">
        <is>
          <t>English</t>
        </is>
      </c>
      <c r="F504" s="27" t="inlineStr">
        <is>
          <t>YouTube</t>
        </is>
      </c>
      <c r="G504" s="27" t="inlineStr">
        <is>
          <t>https://www.youtube.com/@lucaskensington</t>
        </is>
      </c>
      <c r="H504" s="27" t="inlineStr">
        <is>
          <t>UCUS00500090671</t>
        </is>
      </c>
      <c r="I504" s="27" t="inlineStr">
        <is>
          <t>220,000</t>
        </is>
      </c>
      <c r="J504" s="27" t="inlineStr">
        <is>
          <t>2026-10-14</t>
        </is>
      </c>
      <c r="K504" s="27" t="inlineStr">
        <is>
          <t>https://www.youtube.com/watch?v=us00500</t>
        </is>
      </c>
      <c r="L504" s="27" t="n">
        <v>8</v>
      </c>
      <c r="M504" s="27" t="n">
        <v>30</v>
      </c>
      <c r="N504" s="27" t="inlineStr">
        <is>
          <t>Product</t>
        </is>
      </c>
      <c r="O504" s="27" t="inlineStr">
        <is>
          <t>https://lucaskensington.com/shop</t>
        </is>
      </c>
      <c r="P504" s="27" t="inlineStr">
        <is>
          <t>Shorts Repurposing Bottleneck</t>
        </is>
      </c>
      <c r="Q504" s="27" t="inlineStr">
        <is>
          <t>https://lucaskensington.com/highlights</t>
        </is>
      </c>
      <c r="R504" s="27" t="inlineStr">
        <is>
          <t>Email</t>
        </is>
      </c>
      <c r="S504" s="27" t="inlineStr">
        <is>
          <t>contact@lucaskensington.com</t>
        </is>
      </c>
      <c r="T504" s="27" t="inlineStr">
        <is>
          <t>https://lucaskensington.com/contact</t>
        </is>
      </c>
      <c r="U504" s="27" t="inlineStr">
        <is>
          <t>LinkedIn</t>
        </is>
      </c>
      <c r="V504" s="27" t="inlineStr">
        <is>
          <t>tech &amp; ai frameworks, specifically regarding episode 1 on Tech &amp; AI workflow optimization</t>
        </is>
      </c>
      <c r="W504" s="27" t="inlineStr">
        <is>
          <t>Hi Lucas,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04" s="27" t="inlineStr">
        <is>
          <t>2026-10-18</t>
        </is>
      </c>
      <c r="Y504" s="27" t="inlineStr">
        <is>
          <t>C</t>
        </is>
      </c>
      <c r="Z504" s="27" t="n">
        <v>78</v>
      </c>
      <c r="AA504" s="27" t="inlineStr">
        <is>
          <t>Qualified</t>
        </is>
      </c>
      <c r="AB504" s="27" t="inlineStr"/>
      <c r="AC504" s="28">
        <f>IF(A504="","",IF(COUNTIF($H$5:$H$1004,H504)&gt;1,"DUPLICATE","UNIQUE"))</f>
        <v/>
      </c>
      <c r="AD504" s="28">
        <f>IF(A504="","",IF(AA504="Rejected",IF(AB504&lt;&gt;"","REJECTED","ADD REASON"),IF(AND(B504&lt;&gt;"",C504&lt;&gt;"",D504&lt;&gt;"",E504&lt;&gt;"",F504&lt;&gt;"",G504&lt;&gt;"",H504&lt;&gt;"",J504&lt;&gt;"",K504&lt;&gt;"",N504&lt;&gt;"",O504&lt;&gt;"",P504&lt;&gt;"",Q504&lt;&gt;"",R504&lt;&gt;"",S504&lt;&gt;"",T504&lt;&gt;"",V504&lt;&gt;"",W504&lt;&gt;"",X504&lt;&gt;"",Y504&lt;&gt;""),"COMPLETE","MISSING FIELDS")))</f>
        <v/>
      </c>
    </row>
    <row r="505" ht="15" customHeight="1" s="15">
      <c r="A505" s="27" t="inlineStr">
        <is>
          <t>LEAD-0501</t>
        </is>
      </c>
      <c r="B505" s="27" t="inlineStr">
        <is>
          <t>Lucas Lancaster</t>
        </is>
      </c>
      <c r="C505" s="27" t="inlineStr">
        <is>
          <t>Podcaster</t>
        </is>
      </c>
      <c r="D505" s="27" t="inlineStr">
        <is>
          <t>US</t>
        </is>
      </c>
      <c r="E505" s="27" t="inlineStr">
        <is>
          <t>English</t>
        </is>
      </c>
      <c r="F505" s="27" t="inlineStr">
        <is>
          <t>Apple Podcasts</t>
        </is>
      </c>
      <c r="G505" s="27" t="inlineStr">
        <is>
          <t>https://podcasts.apple.com/us/podcast/lucaslancaster/id1000501</t>
        </is>
      </c>
      <c r="H505" s="27" t="inlineStr">
        <is>
          <t>AP-US-1000501</t>
        </is>
      </c>
      <c r="I505" s="27" t="inlineStr">
        <is>
          <t>24,000</t>
        </is>
      </c>
      <c r="J505" s="27" t="inlineStr">
        <is>
          <t>2026-10-15</t>
        </is>
      </c>
      <c r="K505" s="27" t="inlineStr">
        <is>
          <t>https://lucaslancaster.com/episodes/102</t>
        </is>
      </c>
      <c r="L505" s="27" t="n">
        <v>9</v>
      </c>
      <c r="M505" s="27" t="n">
        <v>31</v>
      </c>
      <c r="N505" s="27" t="inlineStr">
        <is>
          <t>Consulting</t>
        </is>
      </c>
      <c r="O505" s="27" t="inlineStr">
        <is>
          <t>https://lucaslancaster.com/advisory</t>
        </is>
      </c>
      <c r="P505" s="27" t="inlineStr">
        <is>
          <t>Missing Video Captions &amp; Retention Clips</t>
        </is>
      </c>
      <c r="Q505" s="27" t="inlineStr">
        <is>
          <t>https://lucaslancaster.com/highlights</t>
        </is>
      </c>
      <c r="R505" s="27" t="inlineStr">
        <is>
          <t>LinkedIn</t>
        </is>
      </c>
      <c r="S505" s="27" t="inlineStr">
        <is>
          <t>https://linkedin.com/in/lucaslancaster</t>
        </is>
      </c>
      <c r="T505" s="27" t="inlineStr">
        <is>
          <t>https://lucaslancaster.com/about</t>
        </is>
      </c>
      <c r="U505" s="27" t="inlineStr">
        <is>
          <t>Email</t>
        </is>
      </c>
      <c r="V505" s="27" t="inlineStr">
        <is>
          <t>saas &amp; product growth frameworks, specifically regarding episode 2 on SaaS &amp; Product Growth workflow optimization</t>
        </is>
      </c>
      <c r="W505" s="27" t="inlineStr">
        <is>
          <t>Hi Lucas, loved your recent piece on 'saas &amp; product growth frameworks, specifically regarding episode 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05" s="27" t="inlineStr">
        <is>
          <t>2026-10-18</t>
        </is>
      </c>
      <c r="Y505" s="27" t="inlineStr">
        <is>
          <t>C</t>
        </is>
      </c>
      <c r="Z505" s="27" t="n">
        <v>77.90000000000001</v>
      </c>
      <c r="AA505" s="27" t="inlineStr">
        <is>
          <t>Qualified</t>
        </is>
      </c>
      <c r="AB505" s="27" t="inlineStr"/>
      <c r="AC505" s="28">
        <f>IF(A505="","",IF(COUNTIF($H$5:$H$1004,H505)&gt;1,"DUPLICATE","UNIQUE"))</f>
        <v/>
      </c>
      <c r="AD505" s="28">
        <f>IF(A505="","",IF(AA505="Rejected",IF(AB505&lt;&gt;"","REJECTED","ADD REASON"),IF(AND(B505&lt;&gt;"",C505&lt;&gt;"",D505&lt;&gt;"",E505&lt;&gt;"",F505&lt;&gt;"",G505&lt;&gt;"",H505&lt;&gt;"",J505&lt;&gt;"",K505&lt;&gt;"",N505&lt;&gt;"",O505&lt;&gt;"",P505&lt;&gt;"",Q505&lt;&gt;"",R505&lt;&gt;"",S505&lt;&gt;"",T505&lt;&gt;"",V505&lt;&gt;"",W505&lt;&gt;"",X505&lt;&gt;"",Y505&lt;&gt;""),"COMPLETE","MISSING FIELDS")))</f>
        <v/>
      </c>
    </row>
    <row r="506" ht="15" customHeight="1" s="15">
      <c r="A506" s="27" t="inlineStr">
        <is>
          <t>LEAD-0502</t>
        </is>
      </c>
      <c r="B506" s="27" t="inlineStr">
        <is>
          <t>Lucas Montgomery</t>
        </is>
      </c>
      <c r="C506" s="27" t="inlineStr">
        <is>
          <t>Expert-Led Creator</t>
        </is>
      </c>
      <c r="D506" s="27" t="inlineStr">
        <is>
          <t>US</t>
        </is>
      </c>
      <c r="E506" s="27" t="inlineStr">
        <is>
          <t>English</t>
        </is>
      </c>
      <c r="F506" s="27" t="inlineStr">
        <is>
          <t>YouTube</t>
        </is>
      </c>
      <c r="G506" s="27" t="inlineStr">
        <is>
          <t>https://www.youtube.com/@lucasmontgomery</t>
        </is>
      </c>
      <c r="H506" s="27" t="inlineStr">
        <is>
          <t>UCUS00502951734</t>
        </is>
      </c>
      <c r="I506" s="27" t="inlineStr">
        <is>
          <t>260,000</t>
        </is>
      </c>
      <c r="J506" s="27" t="inlineStr">
        <is>
          <t>2026-10-16</t>
        </is>
      </c>
      <c r="K506" s="27" t="inlineStr">
        <is>
          <t>https://www.youtube.com/watch?v=us00502</t>
        </is>
      </c>
      <c r="L506" s="27" t="n">
        <v>10</v>
      </c>
      <c r="M506" s="27" t="n">
        <v>32</v>
      </c>
      <c r="N506" s="27" t="inlineStr">
        <is>
          <t>Newsletter Subscription</t>
        </is>
      </c>
      <c r="O506" s="27" t="inlineStr">
        <is>
          <t>https://lucasmontgomery.com/subscribe</t>
        </is>
      </c>
      <c r="P506" s="27" t="inlineStr">
        <is>
          <t>Editing Backlog &amp; Team Workflow Overhead</t>
        </is>
      </c>
      <c r="Q506" s="27" t="inlineStr">
        <is>
          <t>https://lucasmontgomery.com/highlights</t>
        </is>
      </c>
      <c r="R506" s="27" t="inlineStr">
        <is>
          <t>X (Twitter)</t>
        </is>
      </c>
      <c r="S506" s="27" t="inlineStr">
        <is>
          <t>https://x.com/lucasmontgomery</t>
        </is>
      </c>
      <c r="T506" s="27" t="inlineStr">
        <is>
          <t>https://lucasmontgomery.com/links</t>
        </is>
      </c>
      <c r="U506" s="27" t="inlineStr">
        <is>
          <t>LinkedIn</t>
        </is>
      </c>
      <c r="V506" s="27" t="inlineStr">
        <is>
          <t>creator business &amp; monetization frameworks, specifically regarding episode 3 on Creator Business &amp; Monetization workflow optimization</t>
        </is>
      </c>
      <c r="W506" s="27" t="inlineStr">
        <is>
          <t>Hi Lucas, loved your recent piece on 'creator business &amp; monetization frameworks, specifically regarding episode 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06" s="27" t="inlineStr">
        <is>
          <t>2026-10-18</t>
        </is>
      </c>
      <c r="Y506" s="27" t="inlineStr">
        <is>
          <t>C</t>
        </is>
      </c>
      <c r="Z506" s="27" t="n">
        <v>77.90000000000001</v>
      </c>
      <c r="AA506" s="27" t="inlineStr">
        <is>
          <t>Qualified</t>
        </is>
      </c>
      <c r="AB506" s="27" t="inlineStr"/>
      <c r="AC506" s="28">
        <f>IF(A506="","",IF(COUNTIF($H$5:$H$1004,H506)&gt;1,"DUPLICATE","UNIQUE"))</f>
        <v/>
      </c>
      <c r="AD506" s="28">
        <f>IF(A506="","",IF(AA506="Rejected",IF(AB506&lt;&gt;"","REJECTED","ADD REASON"),IF(AND(B506&lt;&gt;"",C506&lt;&gt;"",D506&lt;&gt;"",E506&lt;&gt;"",F506&lt;&gt;"",G506&lt;&gt;"",H506&lt;&gt;"",J506&lt;&gt;"",K506&lt;&gt;"",N506&lt;&gt;"",O506&lt;&gt;"",P506&lt;&gt;"",Q506&lt;&gt;"",R506&lt;&gt;"",S506&lt;&gt;"",T506&lt;&gt;"",V506&lt;&gt;"",W506&lt;&gt;"",X506&lt;&gt;"",Y506&lt;&gt;""),"COMPLETE","MISSING FIELDS")))</f>
        <v/>
      </c>
    </row>
    <row r="507" ht="15" customHeight="1" s="15">
      <c r="A507" s="27" t="inlineStr">
        <is>
          <t>LEAD-0503</t>
        </is>
      </c>
      <c r="B507" s="27" t="inlineStr">
        <is>
          <t>Lucas Barrington</t>
        </is>
      </c>
      <c r="C507" s="27" t="inlineStr">
        <is>
          <t>YouTuber</t>
        </is>
      </c>
      <c r="D507" s="27" t="inlineStr">
        <is>
          <t>US</t>
        </is>
      </c>
      <c r="E507" s="27" t="inlineStr">
        <is>
          <t>English</t>
        </is>
      </c>
      <c r="F507" s="27" t="inlineStr">
        <is>
          <t>YouTube</t>
        </is>
      </c>
      <c r="G507" s="27" t="inlineStr">
        <is>
          <t>https://www.youtube.com/@lucasbarrington</t>
        </is>
      </c>
      <c r="H507" s="27" t="inlineStr">
        <is>
          <t>UCUS00503570672</t>
        </is>
      </c>
      <c r="I507" s="27" t="inlineStr">
        <is>
          <t>280,000</t>
        </is>
      </c>
      <c r="J507" s="27" t="inlineStr">
        <is>
          <t>2026-10-17</t>
        </is>
      </c>
      <c r="K507" s="27" t="inlineStr">
        <is>
          <t>https://www.youtube.com/watch?v=us00503</t>
        </is>
      </c>
      <c r="L507" s="27" t="n">
        <v>11</v>
      </c>
      <c r="M507" s="27" t="n">
        <v>33</v>
      </c>
      <c r="N507" s="27" t="inlineStr">
        <is>
          <t>Affiliate</t>
        </is>
      </c>
      <c r="O507" s="27" t="inlineStr">
        <is>
          <t>https://lucasbarrington.com/resources</t>
        </is>
      </c>
      <c r="P507" s="27" t="inlineStr">
        <is>
          <t>Shorts Repurposing Bottleneck</t>
        </is>
      </c>
      <c r="Q507" s="27" t="inlineStr">
        <is>
          <t>https://lucasbarrington.com/highlights</t>
        </is>
      </c>
      <c r="R507" s="27" t="inlineStr">
        <is>
          <t>Email</t>
        </is>
      </c>
      <c r="S507" s="27" t="inlineStr">
        <is>
          <t>hello@lucasbarrington.com</t>
        </is>
      </c>
      <c r="T507" s="27" t="inlineStr">
        <is>
          <t>https://lucasbarrington.com/work-with-me</t>
        </is>
      </c>
      <c r="U507" s="27" t="inlineStr">
        <is>
          <t>LinkedIn</t>
        </is>
      </c>
      <c r="V507" s="27" t="inlineStr">
        <is>
          <t>productivity &amp; personal systems frameworks, specifically regarding episode 4 on Productivity &amp; Personal Systems workflow optimization</t>
        </is>
      </c>
      <c r="W507" s="27" t="inlineStr">
        <is>
          <t>Hi Lucas, loved your recent piece on 'productivity &amp; personal systems frameworks, specifically regarding episode 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07" s="27" t="inlineStr">
        <is>
          <t>2026-10-18</t>
        </is>
      </c>
      <c r="Y507" s="27" t="inlineStr">
        <is>
          <t>C</t>
        </is>
      </c>
      <c r="Z507" s="27" t="n">
        <v>77.8</v>
      </c>
      <c r="AA507" s="27" t="inlineStr">
        <is>
          <t>Qualified</t>
        </is>
      </c>
      <c r="AB507" s="27" t="inlineStr"/>
      <c r="AC507" s="28">
        <f>IF(A507="","",IF(COUNTIF($H$5:$H$1004,H507)&gt;1,"DUPLICATE","UNIQUE"))</f>
        <v/>
      </c>
      <c r="AD507" s="28">
        <f>IF(A507="","",IF(AA507="Rejected",IF(AB507&lt;&gt;"","REJECTED","ADD REASON"),IF(AND(B507&lt;&gt;"",C507&lt;&gt;"",D507&lt;&gt;"",E507&lt;&gt;"",F507&lt;&gt;"",G507&lt;&gt;"",H507&lt;&gt;"",J507&lt;&gt;"",K507&lt;&gt;"",N507&lt;&gt;"",O507&lt;&gt;"",P507&lt;&gt;"",Q507&lt;&gt;"",R507&lt;&gt;"",S507&lt;&gt;"",T507&lt;&gt;"",V507&lt;&gt;"",W507&lt;&gt;"",X507&lt;&gt;"",Y507&lt;&gt;""),"COMPLETE","MISSING FIELDS")))</f>
        <v/>
      </c>
    </row>
    <row r="508" ht="15" customHeight="1" s="15">
      <c r="A508" s="27" t="inlineStr">
        <is>
          <t>LEAD-0504</t>
        </is>
      </c>
      <c r="B508" s="27" t="inlineStr">
        <is>
          <t>Lucas Thornton</t>
        </is>
      </c>
      <c r="C508" s="27" t="inlineStr">
        <is>
          <t>Podcaster</t>
        </is>
      </c>
      <c r="D508" s="27" t="inlineStr">
        <is>
          <t>US</t>
        </is>
      </c>
      <c r="E508" s="27" t="inlineStr">
        <is>
          <t>English</t>
        </is>
      </c>
      <c r="F508" s="27" t="inlineStr">
        <is>
          <t>Apple Podcasts</t>
        </is>
      </c>
      <c r="G508" s="27" t="inlineStr">
        <is>
          <t>https://podcasts.apple.com/us/podcast/lucasthornton/id1000504</t>
        </is>
      </c>
      <c r="H508" s="27" t="inlineStr">
        <is>
          <t>AP-US-1000504</t>
        </is>
      </c>
      <c r="I508" s="27" t="inlineStr">
        <is>
          <t>60,000</t>
        </is>
      </c>
      <c r="J508" s="27" t="inlineStr">
        <is>
          <t>2026-10-10</t>
        </is>
      </c>
      <c r="K508" s="27" t="inlineStr">
        <is>
          <t>https://lucasthornton.com/episodes/105</t>
        </is>
      </c>
      <c r="L508" s="27" t="n">
        <v>12</v>
      </c>
      <c r="M508" s="27" t="n">
        <v>16</v>
      </c>
      <c r="N508" s="27" t="inlineStr">
        <is>
          <t>Course</t>
        </is>
      </c>
      <c r="O508" s="27" t="inlineStr">
        <is>
          <t>https://lucasthornton.com/academy</t>
        </is>
      </c>
      <c r="P508" s="27" t="inlineStr">
        <is>
          <t>Inconsistent Cross-Platform Publishing</t>
        </is>
      </c>
      <c r="Q508" s="27" t="inlineStr">
        <is>
          <t>https://lucasthornton.com/highlights</t>
        </is>
      </c>
      <c r="R508" s="27" t="inlineStr">
        <is>
          <t>Email</t>
        </is>
      </c>
      <c r="S508" s="27" t="inlineStr">
        <is>
          <t>contact@lucasthornton.com</t>
        </is>
      </c>
      <c r="T508" s="27" t="inlineStr">
        <is>
          <t>https://lucasthornton.com/contact</t>
        </is>
      </c>
      <c r="U508" s="27" t="inlineStr">
        <is>
          <t>LinkedIn</t>
        </is>
      </c>
      <c r="V508" s="27" t="inlineStr">
        <is>
          <t>leadership &amp; team ops frameworks, specifically regarding episode 5 on Leadership &amp; Team Ops workflow optimization</t>
        </is>
      </c>
      <c r="W508" s="27" t="inlineStr">
        <is>
          <t>Hi Lucas, loved your recent piece on 'leadership &amp; team ops frameworks, specifically regarding episode 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08" s="27" t="inlineStr">
        <is>
          <t>2026-10-18</t>
        </is>
      </c>
      <c r="Y508" s="27" t="inlineStr">
        <is>
          <t>C</t>
        </is>
      </c>
      <c r="Z508" s="27" t="n">
        <v>77.8</v>
      </c>
      <c r="AA508" s="27" t="inlineStr">
        <is>
          <t>Qualified</t>
        </is>
      </c>
      <c r="AB508" s="27" t="inlineStr"/>
      <c r="AC508" s="28">
        <f>IF(A508="","",IF(COUNTIF($H$5:$H$1004,H508)&gt;1,"DUPLICATE","UNIQUE"))</f>
        <v/>
      </c>
      <c r="AD508" s="28">
        <f>IF(A508="","",IF(AA508="Rejected",IF(AB508&lt;&gt;"","REJECTED","ADD REASON"),IF(AND(B508&lt;&gt;"",C508&lt;&gt;"",D508&lt;&gt;"",E508&lt;&gt;"",F508&lt;&gt;"",G508&lt;&gt;"",H508&lt;&gt;"",J508&lt;&gt;"",K508&lt;&gt;"",N508&lt;&gt;"",O508&lt;&gt;"",P508&lt;&gt;"",Q508&lt;&gt;"",R508&lt;&gt;"",S508&lt;&gt;"",T508&lt;&gt;"",V508&lt;&gt;"",W508&lt;&gt;"",X508&lt;&gt;"",Y508&lt;&gt;""),"COMPLETE","MISSING FIELDS")))</f>
        <v/>
      </c>
    </row>
    <row r="509" ht="15" customHeight="1" s="15">
      <c r="A509" s="27" t="inlineStr">
        <is>
          <t>LEAD-0505</t>
        </is>
      </c>
      <c r="B509" s="27" t="inlineStr">
        <is>
          <t>Lucas Wellington</t>
        </is>
      </c>
      <c r="C509" s="27" t="inlineStr">
        <is>
          <t>Expert-Led Creator</t>
        </is>
      </c>
      <c r="D509" s="27" t="inlineStr">
        <is>
          <t>US</t>
        </is>
      </c>
      <c r="E509" s="27" t="inlineStr">
        <is>
          <t>English</t>
        </is>
      </c>
      <c r="F509" s="27" t="inlineStr">
        <is>
          <t>LinkedIn</t>
        </is>
      </c>
      <c r="G509" s="27" t="inlineStr">
        <is>
          <t>https://www.linkedin.com/in/lucaswellington</t>
        </is>
      </c>
      <c r="H509" s="27" t="inlineStr">
        <is>
          <t>LI-lucaswellington-0505</t>
        </is>
      </c>
      <c r="I509" s="27" t="inlineStr">
        <is>
          <t>156,000</t>
        </is>
      </c>
      <c r="J509" s="27" t="inlineStr">
        <is>
          <t>2026-10-11</t>
        </is>
      </c>
      <c r="K509" s="27" t="inlineStr">
        <is>
          <t>https://lucaswellington.com/posts/56</t>
        </is>
      </c>
      <c r="L509" s="27" t="n">
        <v>13</v>
      </c>
      <c r="M509" s="27" t="n">
        <v>17</v>
      </c>
      <c r="N509" s="27" t="inlineStr">
        <is>
          <t>Sponsor</t>
        </is>
      </c>
      <c r="O509" s="27" t="inlineStr">
        <is>
          <t>https://lucaswellington.com/partners</t>
        </is>
      </c>
      <c r="P509" s="27" t="inlineStr">
        <is>
          <t>Editing Backlog &amp; Team Workflow Overhead</t>
        </is>
      </c>
      <c r="Q509" s="27" t="inlineStr">
        <is>
          <t>https://lucaswellington.com/highlights</t>
        </is>
      </c>
      <c r="R509" s="27" t="inlineStr">
        <is>
          <t>LinkedIn</t>
        </is>
      </c>
      <c r="S509" s="27" t="inlineStr">
        <is>
          <t>https://linkedin.com/in/lucaswellington</t>
        </is>
      </c>
      <c r="T509" s="27" t="inlineStr">
        <is>
          <t>https://lucaswellington.com/about</t>
        </is>
      </c>
      <c r="U509" s="27" t="inlineStr">
        <is>
          <t>Email</t>
        </is>
      </c>
      <c r="V509" s="27" t="inlineStr">
        <is>
          <t>b2b marketing &amp; sales frameworks, specifically regarding episode 6 on B2B Marketing &amp; Sales workflow optimization</t>
        </is>
      </c>
      <c r="W509" s="27" t="inlineStr">
        <is>
          <t>Hi Lucas, loved your recent piece on 'b2b marketing &amp; sales frameworks, specifically regarding episode 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09" s="27" t="inlineStr">
        <is>
          <t>2026-10-18</t>
        </is>
      </c>
      <c r="Y509" s="27" t="inlineStr">
        <is>
          <t>C</t>
        </is>
      </c>
      <c r="Z509" s="27" t="n">
        <v>77.7</v>
      </c>
      <c r="AA509" s="27" t="inlineStr">
        <is>
          <t>Qualified</t>
        </is>
      </c>
      <c r="AB509" s="27" t="inlineStr"/>
      <c r="AC509" s="28">
        <f>IF(A509="","",IF(COUNTIF($H$5:$H$1004,H509)&gt;1,"DUPLICATE","UNIQUE"))</f>
        <v/>
      </c>
      <c r="AD509" s="28">
        <f>IF(A509="","",IF(AA509="Rejected",IF(AB509&lt;&gt;"","REJECTED","ADD REASON"),IF(AND(B509&lt;&gt;"",C509&lt;&gt;"",D509&lt;&gt;"",E509&lt;&gt;"",F509&lt;&gt;"",G509&lt;&gt;"",H509&lt;&gt;"",J509&lt;&gt;"",K509&lt;&gt;"",N509&lt;&gt;"",O509&lt;&gt;"",P509&lt;&gt;"",Q509&lt;&gt;"",R509&lt;&gt;"",S509&lt;&gt;"",T509&lt;&gt;"",V509&lt;&gt;"",W509&lt;&gt;"",X509&lt;&gt;"",Y509&lt;&gt;""),"COMPLETE","MISSING FIELDS")))</f>
        <v/>
      </c>
    </row>
    <row r="510" ht="15" customHeight="1" s="15">
      <c r="A510" s="27" t="inlineStr">
        <is>
          <t>LEAD-0506</t>
        </is>
      </c>
      <c r="B510" s="27" t="inlineStr">
        <is>
          <t>Marcus Ashford</t>
        </is>
      </c>
      <c r="C510" s="27" t="inlineStr">
        <is>
          <t>YouTuber</t>
        </is>
      </c>
      <c r="D510" s="27" t="inlineStr">
        <is>
          <t>US</t>
        </is>
      </c>
      <c r="E510" s="27" t="inlineStr">
        <is>
          <t>English</t>
        </is>
      </c>
      <c r="F510" s="27" t="inlineStr">
        <is>
          <t>YouTube</t>
        </is>
      </c>
      <c r="G510" s="27" t="inlineStr">
        <is>
          <t>https://www.youtube.com/@marcusashford</t>
        </is>
      </c>
      <c r="H510" s="27" t="inlineStr">
        <is>
          <t>UCUS00506439514</t>
        </is>
      </c>
      <c r="I510" s="27" t="inlineStr">
        <is>
          <t>340,000</t>
        </is>
      </c>
      <c r="J510" s="27" t="inlineStr">
        <is>
          <t>2026-10-12</t>
        </is>
      </c>
      <c r="K510" s="27" t="inlineStr">
        <is>
          <t>https://www.youtube.com/watch?v=us00506</t>
        </is>
      </c>
      <c r="L510" s="27" t="n">
        <v>14</v>
      </c>
      <c r="M510" s="27" t="n">
        <v>18</v>
      </c>
      <c r="N510" s="27" t="inlineStr">
        <is>
          <t>Membership</t>
        </is>
      </c>
      <c r="O510" s="27" t="inlineStr">
        <is>
          <t>https://marcusashford.com/community</t>
        </is>
      </c>
      <c r="P510" s="27" t="inlineStr">
        <is>
          <t>Multilingual Audio Dubbing</t>
        </is>
      </c>
      <c r="Q510" s="27" t="inlineStr">
        <is>
          <t>https://marcusashford.com/highlights</t>
        </is>
      </c>
      <c r="R510" s="27" t="inlineStr">
        <is>
          <t>X (Twitter)</t>
        </is>
      </c>
      <c r="S510" s="27" t="inlineStr">
        <is>
          <t>https://x.com/marcusashford</t>
        </is>
      </c>
      <c r="T510" s="27" t="inlineStr">
        <is>
          <t>https://marcusashford.com/links</t>
        </is>
      </c>
      <c r="U510" s="27" t="inlineStr">
        <is>
          <t>LinkedIn</t>
        </is>
      </c>
      <c r="V510" s="27" t="inlineStr">
        <is>
          <t>finance &amp; wealth engineering frameworks, specifically regarding episode 7 on Finance &amp; Wealth Engineering workflow optimization</t>
        </is>
      </c>
      <c r="W510" s="27" t="inlineStr">
        <is>
          <t>Hi Marcus, loved your recent piece on 'finance &amp; wealth engineering frameworks, specifically regarding episode 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10" s="27" t="inlineStr">
        <is>
          <t>2026-10-18</t>
        </is>
      </c>
      <c r="Y510" s="27" t="inlineStr">
        <is>
          <t>C</t>
        </is>
      </c>
      <c r="Z510" s="27" t="n">
        <v>77.59999999999999</v>
      </c>
      <c r="AA510" s="27" t="inlineStr">
        <is>
          <t>Qualified</t>
        </is>
      </c>
      <c r="AB510" s="27" t="inlineStr"/>
      <c r="AC510" s="28">
        <f>IF(A510="","",IF(COUNTIF($H$5:$H$1004,H510)&gt;1,"DUPLICATE","UNIQUE"))</f>
        <v/>
      </c>
      <c r="AD510" s="28">
        <f>IF(A510="","",IF(AA510="Rejected",IF(AB510&lt;&gt;"","REJECTED","ADD REASON"),IF(AND(B510&lt;&gt;"",C510&lt;&gt;"",D510&lt;&gt;"",E510&lt;&gt;"",F510&lt;&gt;"",G510&lt;&gt;"",H510&lt;&gt;"",J510&lt;&gt;"",K510&lt;&gt;"",N510&lt;&gt;"",O510&lt;&gt;"",P510&lt;&gt;"",Q510&lt;&gt;"",R510&lt;&gt;"",S510&lt;&gt;"",T510&lt;&gt;"",V510&lt;&gt;"",W510&lt;&gt;"",X510&lt;&gt;"",Y510&lt;&gt;""),"COMPLETE","MISSING FIELDS")))</f>
        <v/>
      </c>
    </row>
    <row r="511" ht="15" customHeight="1" s="15">
      <c r="A511" s="27" t="inlineStr">
        <is>
          <t>LEAD-0507</t>
        </is>
      </c>
      <c r="B511" s="27" t="inlineStr">
        <is>
          <t>Marcus Bancroft</t>
        </is>
      </c>
      <c r="C511" s="27" t="inlineStr">
        <is>
          <t>Podcaster</t>
        </is>
      </c>
      <c r="D511" s="27" t="inlineStr">
        <is>
          <t>US</t>
        </is>
      </c>
      <c r="E511" s="27" t="inlineStr">
        <is>
          <t>English</t>
        </is>
      </c>
      <c r="F511" s="27" t="inlineStr">
        <is>
          <t>Apple Podcasts</t>
        </is>
      </c>
      <c r="G511" s="27" t="inlineStr">
        <is>
          <t>https://podcasts.apple.com/us/podcast/marcusbancroft/id1000507</t>
        </is>
      </c>
      <c r="H511" s="27" t="inlineStr">
        <is>
          <t>AP-US-1000507</t>
        </is>
      </c>
      <c r="I511" s="27" t="inlineStr">
        <is>
          <t>96,000</t>
        </is>
      </c>
      <c r="J511" s="27" t="inlineStr">
        <is>
          <t>2026-10-13</t>
        </is>
      </c>
      <c r="K511" s="27" t="inlineStr">
        <is>
          <t>https://marcusbancroft.com/episodes/108</t>
        </is>
      </c>
      <c r="L511" s="27" t="n">
        <v>15</v>
      </c>
      <c r="M511" s="27" t="n">
        <v>19</v>
      </c>
      <c r="N511" s="27" t="inlineStr">
        <is>
          <t>Product</t>
        </is>
      </c>
      <c r="O511" s="27" t="inlineStr">
        <is>
          <t>https://marcusbancroft.com/shop</t>
        </is>
      </c>
      <c r="P511" s="27" t="inlineStr">
        <is>
          <t>Multilingual Audio Dubbing</t>
        </is>
      </c>
      <c r="Q511" s="27" t="inlineStr">
        <is>
          <t>https://marcusbancroft.com/highlights</t>
        </is>
      </c>
      <c r="R511" s="27" t="inlineStr">
        <is>
          <t>Email</t>
        </is>
      </c>
      <c r="S511" s="27" t="inlineStr">
        <is>
          <t>hello@marcusbancroft.com</t>
        </is>
      </c>
      <c r="T511" s="27" t="inlineStr">
        <is>
          <t>https://marcusbancroft.com/work-with-me</t>
        </is>
      </c>
      <c r="U511" s="27" t="inlineStr">
        <is>
          <t>LinkedIn</t>
        </is>
      </c>
      <c r="V511" s="27" t="inlineStr">
        <is>
          <t>health &amp; longevity science frameworks, specifically regarding episode 8 on Health &amp; Longevity Science workflow optimization</t>
        </is>
      </c>
      <c r="W511" s="27" t="inlineStr">
        <is>
          <t>Hi Marcus, loved your recent piece on 'health &amp; longevity science frameworks, specifically regarding episode 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11" s="27" t="inlineStr">
        <is>
          <t>2026-10-18</t>
        </is>
      </c>
      <c r="Y511" s="27" t="inlineStr">
        <is>
          <t>C</t>
        </is>
      </c>
      <c r="Z511" s="27" t="n">
        <v>77.59999999999999</v>
      </c>
      <c r="AA511" s="27" t="inlineStr">
        <is>
          <t>Qualified</t>
        </is>
      </c>
      <c r="AB511" s="27" t="inlineStr"/>
      <c r="AC511" s="28">
        <f>IF(A511="","",IF(COUNTIF($H$5:$H$1004,H511)&gt;1,"DUPLICATE","UNIQUE"))</f>
        <v/>
      </c>
      <c r="AD511" s="28">
        <f>IF(A511="","",IF(AA511="Rejected",IF(AB511&lt;&gt;"","REJECTED","ADD REASON"),IF(AND(B511&lt;&gt;"",C511&lt;&gt;"",D511&lt;&gt;"",E511&lt;&gt;"",F511&lt;&gt;"",G511&lt;&gt;"",H511&lt;&gt;"",J511&lt;&gt;"",K511&lt;&gt;"",N511&lt;&gt;"",O511&lt;&gt;"",P511&lt;&gt;"",Q511&lt;&gt;"",R511&lt;&gt;"",S511&lt;&gt;"",T511&lt;&gt;"",V511&lt;&gt;"",W511&lt;&gt;"",X511&lt;&gt;"",Y511&lt;&gt;""),"COMPLETE","MISSING FIELDS")))</f>
        <v/>
      </c>
    </row>
    <row r="512" ht="15" customHeight="1" s="15">
      <c r="A512" s="27" t="inlineStr">
        <is>
          <t>LEAD-0508</t>
        </is>
      </c>
      <c r="B512" s="27" t="inlineStr">
        <is>
          <t>Marcus Calloway</t>
        </is>
      </c>
      <c r="C512" s="27" t="inlineStr">
        <is>
          <t>YouTuber</t>
        </is>
      </c>
      <c r="D512" s="27" t="inlineStr">
        <is>
          <t>US</t>
        </is>
      </c>
      <c r="E512" s="27" t="inlineStr">
        <is>
          <t>English</t>
        </is>
      </c>
      <c r="F512" s="27" t="inlineStr">
        <is>
          <t>YouTube</t>
        </is>
      </c>
      <c r="G512" s="27" t="inlineStr">
        <is>
          <t>https://www.youtube.com/@marcuscalloway</t>
        </is>
      </c>
      <c r="H512" s="27" t="inlineStr">
        <is>
          <t>UCUS00508005946</t>
        </is>
      </c>
      <c r="I512" s="27" t="inlineStr">
        <is>
          <t>380,000</t>
        </is>
      </c>
      <c r="J512" s="27" t="inlineStr">
        <is>
          <t>2026-10-14</t>
        </is>
      </c>
      <c r="K512" s="27" t="inlineStr">
        <is>
          <t>https://www.youtube.com/watch?v=us00508</t>
        </is>
      </c>
      <c r="L512" s="27" t="n">
        <v>16</v>
      </c>
      <c r="M512" s="27" t="n">
        <v>20</v>
      </c>
      <c r="N512" s="27" t="inlineStr">
        <is>
          <t>Consulting</t>
        </is>
      </c>
      <c r="O512" s="27" t="inlineStr">
        <is>
          <t>https://marcuscalloway.com/advisory</t>
        </is>
      </c>
      <c r="P512" s="27" t="inlineStr">
        <is>
          <t>Missing Video Captions &amp; Retention Clips</t>
        </is>
      </c>
      <c r="Q512" s="27" t="inlineStr">
        <is>
          <t>https://marcuscalloway.com/highlights</t>
        </is>
      </c>
      <c r="R512" s="27" t="inlineStr">
        <is>
          <t>Email</t>
        </is>
      </c>
      <c r="S512" s="27" t="inlineStr">
        <is>
          <t>contact@marcuscalloway.com</t>
        </is>
      </c>
      <c r="T512" s="27" t="inlineStr">
        <is>
          <t>https://marcuscalloway.com/contact</t>
        </is>
      </c>
      <c r="U512" s="27" t="inlineStr">
        <is>
          <t>LinkedIn</t>
        </is>
      </c>
      <c r="V512" s="27" t="inlineStr">
        <is>
          <t>education &amp; applied coding frameworks, specifically regarding episode 9 on Education &amp; Applied Coding workflow optimization</t>
        </is>
      </c>
      <c r="W512" s="27" t="inlineStr">
        <is>
          <t>Hi Marcus, loved your recent piece on 'education &amp; applied coding frameworks, specifically regarding episode 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12" s="27" t="inlineStr">
        <is>
          <t>2026-10-18</t>
        </is>
      </c>
      <c r="Y512" s="27" t="inlineStr">
        <is>
          <t>C</t>
        </is>
      </c>
      <c r="Z512" s="27" t="n">
        <v>77.5</v>
      </c>
      <c r="AA512" s="27" t="inlineStr">
        <is>
          <t>Qualified</t>
        </is>
      </c>
      <c r="AB512" s="27" t="inlineStr"/>
      <c r="AC512" s="28">
        <f>IF(A512="","",IF(COUNTIF($H$5:$H$1004,H512)&gt;1,"DUPLICATE","UNIQUE"))</f>
        <v/>
      </c>
      <c r="AD512" s="28">
        <f>IF(A512="","",IF(AA512="Rejected",IF(AB512&lt;&gt;"","REJECTED","ADD REASON"),IF(AND(B512&lt;&gt;"",C512&lt;&gt;"",D512&lt;&gt;"",E512&lt;&gt;"",F512&lt;&gt;"",G512&lt;&gt;"",H512&lt;&gt;"",J512&lt;&gt;"",K512&lt;&gt;"",N512&lt;&gt;"",O512&lt;&gt;"",P512&lt;&gt;"",Q512&lt;&gt;"",R512&lt;&gt;"",S512&lt;&gt;"",T512&lt;&gt;"",V512&lt;&gt;"",W512&lt;&gt;"",X512&lt;&gt;"",Y512&lt;&gt;""),"COMPLETE","MISSING FIELDS")))</f>
        <v/>
      </c>
    </row>
    <row r="513" ht="15" customHeight="1" s="15">
      <c r="A513" s="27" t="inlineStr">
        <is>
          <t>LEAD-0509</t>
        </is>
      </c>
      <c r="B513" s="27" t="inlineStr">
        <is>
          <t>Marcus Delaney</t>
        </is>
      </c>
      <c r="C513" s="27" t="inlineStr">
        <is>
          <t>Podcaster</t>
        </is>
      </c>
      <c r="D513" s="27" t="inlineStr">
        <is>
          <t>US</t>
        </is>
      </c>
      <c r="E513" s="27" t="inlineStr">
        <is>
          <t>English</t>
        </is>
      </c>
      <c r="F513" s="27" t="inlineStr">
        <is>
          <t>Apple Podcasts</t>
        </is>
      </c>
      <c r="G513" s="27" t="inlineStr">
        <is>
          <t>https://podcasts.apple.com/us/podcast/marcusdelaney/id1000509</t>
        </is>
      </c>
      <c r="H513" s="27" t="inlineStr">
        <is>
          <t>AP-US-1000509</t>
        </is>
      </c>
      <c r="I513" s="27" t="inlineStr">
        <is>
          <t>120,000</t>
        </is>
      </c>
      <c r="J513" s="27" t="inlineStr">
        <is>
          <t>2026-10-15</t>
        </is>
      </c>
      <c r="K513" s="27" t="inlineStr">
        <is>
          <t>https://marcusdelaney.com/episodes/110</t>
        </is>
      </c>
      <c r="L513" s="27" t="n">
        <v>17</v>
      </c>
      <c r="M513" s="27" t="n">
        <v>21</v>
      </c>
      <c r="N513" s="27" t="inlineStr">
        <is>
          <t>Newsletter Subscription</t>
        </is>
      </c>
      <c r="O513" s="27" t="inlineStr">
        <is>
          <t>https://marcusdelaney.com/subscribe</t>
        </is>
      </c>
      <c r="P513" s="27" t="inlineStr">
        <is>
          <t>Shorts Repurposing Bottleneck</t>
        </is>
      </c>
      <c r="Q513" s="27" t="inlineStr">
        <is>
          <t>https://marcusdelaney.com/highlights</t>
        </is>
      </c>
      <c r="R513" s="27" t="inlineStr">
        <is>
          <t>LinkedIn</t>
        </is>
      </c>
      <c r="S513" s="27" t="inlineStr">
        <is>
          <t>https://linkedin.com/in/marcusdelaney</t>
        </is>
      </c>
      <c r="T513" s="27" t="inlineStr">
        <is>
          <t>https://marcusdelaney.com/about</t>
        </is>
      </c>
      <c r="U513" s="27" t="inlineStr">
        <is>
          <t>Email</t>
        </is>
      </c>
      <c r="V513" s="27" t="inlineStr">
        <is>
          <t>e-commerce &amp; digital brands frameworks, specifically regarding episode 10 on E-Commerce &amp; Digital Brands workflow optimization</t>
        </is>
      </c>
      <c r="W513" s="27" t="inlineStr">
        <is>
          <t>Hi Marcus, loved your recent piece on 'e-commerce &amp; digital brands frameworks, specifically regarding episode 10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13" s="27" t="inlineStr">
        <is>
          <t>2026-10-18</t>
        </is>
      </c>
      <c r="Y513" s="27" t="inlineStr">
        <is>
          <t>C</t>
        </is>
      </c>
      <c r="Z513" s="27" t="n">
        <v>77.5</v>
      </c>
      <c r="AA513" s="27" t="inlineStr">
        <is>
          <t>Qualified</t>
        </is>
      </c>
      <c r="AB513" s="27" t="inlineStr"/>
      <c r="AC513" s="28">
        <f>IF(A513="","",IF(COUNTIF($H$5:$H$1004,H513)&gt;1,"DUPLICATE","UNIQUE"))</f>
        <v/>
      </c>
      <c r="AD513" s="28">
        <f>IF(A513="","",IF(AA513="Rejected",IF(AB513&lt;&gt;"","REJECTED","ADD REASON"),IF(AND(B513&lt;&gt;"",C513&lt;&gt;"",D513&lt;&gt;"",E513&lt;&gt;"",F513&lt;&gt;"",G513&lt;&gt;"",H513&lt;&gt;"",J513&lt;&gt;"",K513&lt;&gt;"",N513&lt;&gt;"",O513&lt;&gt;"",P513&lt;&gt;"",Q513&lt;&gt;"",R513&lt;&gt;"",S513&lt;&gt;"",T513&lt;&gt;"",V513&lt;&gt;"",W513&lt;&gt;"",X513&lt;&gt;"",Y513&lt;&gt;""),"COMPLETE","MISSING FIELDS")))</f>
        <v/>
      </c>
    </row>
    <row r="514" ht="15" customHeight="1" s="15">
      <c r="A514" s="27" t="inlineStr">
        <is>
          <t>LEAD-0510</t>
        </is>
      </c>
      <c r="B514" s="27" t="inlineStr">
        <is>
          <t>Marcus Eastwood</t>
        </is>
      </c>
      <c r="C514" s="27" t="inlineStr">
        <is>
          <t>YouTuber</t>
        </is>
      </c>
      <c r="D514" s="27" t="inlineStr">
        <is>
          <t>US</t>
        </is>
      </c>
      <c r="E514" s="27" t="inlineStr">
        <is>
          <t>English</t>
        </is>
      </c>
      <c r="F514" s="27" t="inlineStr">
        <is>
          <t>YouTube</t>
        </is>
      </c>
      <c r="G514" s="27" t="inlineStr">
        <is>
          <t>https://www.youtube.com/@marcuseastwood</t>
        </is>
      </c>
      <c r="H514" s="27" t="inlineStr">
        <is>
          <t>UCUS00510161247</t>
        </is>
      </c>
      <c r="I514" s="27" t="inlineStr">
        <is>
          <t>420,000</t>
        </is>
      </c>
      <c r="J514" s="27" t="inlineStr">
        <is>
          <t>2026-10-16</t>
        </is>
      </c>
      <c r="K514" s="27" t="inlineStr">
        <is>
          <t>https://www.youtube.com/watch?v=us00510</t>
        </is>
      </c>
      <c r="L514" s="27" t="n">
        <v>8</v>
      </c>
      <c r="M514" s="27" t="n">
        <v>22</v>
      </c>
      <c r="N514" s="27" t="inlineStr">
        <is>
          <t>Affiliate</t>
        </is>
      </c>
      <c r="O514" s="27" t="inlineStr">
        <is>
          <t>https://marcuseastwood.com/resources</t>
        </is>
      </c>
      <c r="P514" s="27" t="inlineStr">
        <is>
          <t>Shorts Repurposing Bottleneck</t>
        </is>
      </c>
      <c r="Q514" s="27" t="inlineStr">
        <is>
          <t>https://marcuseastwood.com/highlights</t>
        </is>
      </c>
      <c r="R514" s="27" t="inlineStr">
        <is>
          <t>X (Twitter)</t>
        </is>
      </c>
      <c r="S514" s="27" t="inlineStr">
        <is>
          <t>https://x.com/marcuseastwood</t>
        </is>
      </c>
      <c r="T514" s="27" t="inlineStr">
        <is>
          <t>https://marcuseastwood.com/links</t>
        </is>
      </c>
      <c r="U514" s="27" t="inlineStr">
        <is>
          <t>LinkedIn</t>
        </is>
      </c>
      <c r="V514" s="27" t="inlineStr">
        <is>
          <t>tech &amp; ai frameworks, specifically regarding episode 11 on Tech &amp; AI workflow optimization</t>
        </is>
      </c>
      <c r="W514" s="27" t="inlineStr">
        <is>
          <t>Hi Marcus, loved your recent piece on 'tech &amp; ai frameworks, specifically regarding episode 11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14" s="27" t="inlineStr">
        <is>
          <t>2026-10-18</t>
        </is>
      </c>
      <c r="Y514" s="27" t="inlineStr">
        <is>
          <t>C</t>
        </is>
      </c>
      <c r="Z514" s="27" t="n">
        <v>77.40000000000001</v>
      </c>
      <c r="AA514" s="27" t="inlineStr">
        <is>
          <t>Qualified</t>
        </is>
      </c>
      <c r="AB514" s="27" t="inlineStr"/>
      <c r="AC514" s="28">
        <f>IF(A514="","",IF(COUNTIF($H$5:$H$1004,H514)&gt;1,"DUPLICATE","UNIQUE"))</f>
        <v/>
      </c>
      <c r="AD514" s="28">
        <f>IF(A514="","",IF(AA514="Rejected",IF(AB514&lt;&gt;"","REJECTED","ADD REASON"),IF(AND(B514&lt;&gt;"",C514&lt;&gt;"",D514&lt;&gt;"",E514&lt;&gt;"",F514&lt;&gt;"",G514&lt;&gt;"",H514&lt;&gt;"",J514&lt;&gt;"",K514&lt;&gt;"",N514&lt;&gt;"",O514&lt;&gt;"",P514&lt;&gt;"",Q514&lt;&gt;"",R514&lt;&gt;"",S514&lt;&gt;"",T514&lt;&gt;"",V514&lt;&gt;"",W514&lt;&gt;"",X514&lt;&gt;"",Y514&lt;&gt;""),"COMPLETE","MISSING FIELDS")))</f>
        <v/>
      </c>
    </row>
    <row r="515" ht="15" customHeight="1" s="15">
      <c r="A515" s="27" t="inlineStr">
        <is>
          <t>LEAD-0511</t>
        </is>
      </c>
      <c r="B515" s="27" t="inlineStr">
        <is>
          <t>Marcus Fairchild</t>
        </is>
      </c>
      <c r="C515" s="27" t="inlineStr">
        <is>
          <t>Podcaster</t>
        </is>
      </c>
      <c r="D515" s="27" t="inlineStr">
        <is>
          <t>US</t>
        </is>
      </c>
      <c r="E515" s="27" t="inlineStr">
        <is>
          <t>English</t>
        </is>
      </c>
      <c r="F515" s="27" t="inlineStr">
        <is>
          <t>Apple Podcasts</t>
        </is>
      </c>
      <c r="G515" s="27" t="inlineStr">
        <is>
          <t>https://podcasts.apple.com/us/podcast/marcusfairchild/id1000511</t>
        </is>
      </c>
      <c r="H515" s="27" t="inlineStr">
        <is>
          <t>AP-US-1000511</t>
        </is>
      </c>
      <c r="I515" s="27" t="inlineStr">
        <is>
          <t>144,000</t>
        </is>
      </c>
      <c r="J515" s="27" t="inlineStr">
        <is>
          <t>2026-10-17</t>
        </is>
      </c>
      <c r="K515" s="27" t="inlineStr">
        <is>
          <t>https://marcusfairchild.com/episodes/112</t>
        </is>
      </c>
      <c r="L515" s="27" t="n">
        <v>9</v>
      </c>
      <c r="M515" s="27" t="n">
        <v>23</v>
      </c>
      <c r="N515" s="27" t="inlineStr">
        <is>
          <t>Course</t>
        </is>
      </c>
      <c r="O515" s="27" t="inlineStr">
        <is>
          <t>https://marcusfairchild.com/academy</t>
        </is>
      </c>
      <c r="P515" s="27" t="inlineStr">
        <is>
          <t>Missing Video Captions &amp; Retention Clips</t>
        </is>
      </c>
      <c r="Q515" s="27" t="inlineStr">
        <is>
          <t>https://marcusfairchild.com/highlights</t>
        </is>
      </c>
      <c r="R515" s="27" t="inlineStr">
        <is>
          <t>Email</t>
        </is>
      </c>
      <c r="S515" s="27" t="inlineStr">
        <is>
          <t>hello@marcusfairchild.com</t>
        </is>
      </c>
      <c r="T515" s="27" t="inlineStr">
        <is>
          <t>https://marcusfairchild.com/work-with-me</t>
        </is>
      </c>
      <c r="U515" s="27" t="inlineStr">
        <is>
          <t>LinkedIn</t>
        </is>
      </c>
      <c r="V515" s="27" t="inlineStr">
        <is>
          <t>saas &amp; product growth frameworks, specifically regarding episode 12 on SaaS &amp; Product Growth workflow optimization</t>
        </is>
      </c>
      <c r="W515" s="27" t="inlineStr">
        <is>
          <t>Hi Marcus, loved your recent piece on 'saas &amp; product growth frameworks, specifically regarding episode 12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15" s="27" t="inlineStr">
        <is>
          <t>2026-10-18</t>
        </is>
      </c>
      <c r="Y515" s="27" t="inlineStr">
        <is>
          <t>C</t>
        </is>
      </c>
      <c r="Z515" s="27" t="n">
        <v>77.3</v>
      </c>
      <c r="AA515" s="27" t="inlineStr">
        <is>
          <t>Qualified</t>
        </is>
      </c>
      <c r="AB515" s="27" t="inlineStr"/>
      <c r="AC515" s="28">
        <f>IF(A515="","",IF(COUNTIF($H$5:$H$1004,H515)&gt;1,"DUPLICATE","UNIQUE"))</f>
        <v/>
      </c>
      <c r="AD515" s="28">
        <f>IF(A515="","",IF(AA515="Rejected",IF(AB515&lt;&gt;"","REJECTED","ADD REASON"),IF(AND(B515&lt;&gt;"",C515&lt;&gt;"",D515&lt;&gt;"",E515&lt;&gt;"",F515&lt;&gt;"",G515&lt;&gt;"",H515&lt;&gt;"",J515&lt;&gt;"",K515&lt;&gt;"",N515&lt;&gt;"",O515&lt;&gt;"",P515&lt;&gt;"",Q515&lt;&gt;"",R515&lt;&gt;"",S515&lt;&gt;"",T515&lt;&gt;"",V515&lt;&gt;"",W515&lt;&gt;"",X515&lt;&gt;"",Y515&lt;&gt;""),"COMPLETE","MISSING FIELDS")))</f>
        <v/>
      </c>
    </row>
    <row r="516" ht="15" customHeight="1" s="15">
      <c r="A516" s="27" t="inlineStr">
        <is>
          <t>LEAD-0512</t>
        </is>
      </c>
      <c r="B516" s="27" t="inlineStr">
        <is>
          <t>Marcus Gallagher</t>
        </is>
      </c>
      <c r="C516" s="27" t="inlineStr">
        <is>
          <t>Expert-Led Creator</t>
        </is>
      </c>
      <c r="D516" s="27" t="inlineStr">
        <is>
          <t>US</t>
        </is>
      </c>
      <c r="E516" s="27" t="inlineStr">
        <is>
          <t>English</t>
        </is>
      </c>
      <c r="F516" s="27" t="inlineStr">
        <is>
          <t>YouTube</t>
        </is>
      </c>
      <c r="G516" s="27" t="inlineStr">
        <is>
          <t>https://www.youtube.com/@marcusgallagher</t>
        </is>
      </c>
      <c r="H516" s="27" t="inlineStr">
        <is>
          <t>UCUS00512677977</t>
        </is>
      </c>
      <c r="I516" s="27" t="inlineStr">
        <is>
          <t>460,000</t>
        </is>
      </c>
      <c r="J516" s="27" t="inlineStr">
        <is>
          <t>2026-10-10</t>
        </is>
      </c>
      <c r="K516" s="27" t="inlineStr">
        <is>
          <t>https://www.youtube.com/watch?v=us00512</t>
        </is>
      </c>
      <c r="L516" s="27" t="n">
        <v>10</v>
      </c>
      <c r="M516" s="27" t="n">
        <v>24</v>
      </c>
      <c r="N516" s="27" t="inlineStr">
        <is>
          <t>Sponsor</t>
        </is>
      </c>
      <c r="O516" s="27" t="inlineStr">
        <is>
          <t>https://marcusgallagher.com/partners</t>
        </is>
      </c>
      <c r="P516" s="27" t="inlineStr">
        <is>
          <t>Editing Backlog &amp; Team Workflow Overhead</t>
        </is>
      </c>
      <c r="Q516" s="27" t="inlineStr">
        <is>
          <t>https://marcusgallagher.com/highlights</t>
        </is>
      </c>
      <c r="R516" s="27" t="inlineStr">
        <is>
          <t>Email</t>
        </is>
      </c>
      <c r="S516" s="27" t="inlineStr">
        <is>
          <t>contact@marcusgallagher.com</t>
        </is>
      </c>
      <c r="T516" s="27" t="inlineStr">
        <is>
          <t>https://marcusgallagher.com/contact</t>
        </is>
      </c>
      <c r="U516" s="27" t="inlineStr">
        <is>
          <t>LinkedIn</t>
        </is>
      </c>
      <c r="V516" s="27" t="inlineStr">
        <is>
          <t>creator business &amp; monetization frameworks, specifically regarding episode 13 on Creator Business &amp; Monetization workflow optimization</t>
        </is>
      </c>
      <c r="W516" s="27" t="inlineStr">
        <is>
          <t>Hi Marcus, loved your recent piece on 'creator business &amp; monetization frameworks, specifically regarding episode 13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16" s="27" t="inlineStr">
        <is>
          <t>2026-10-18</t>
        </is>
      </c>
      <c r="Y516" s="27" t="inlineStr">
        <is>
          <t>C</t>
        </is>
      </c>
      <c r="Z516" s="27" t="n">
        <v>77.3</v>
      </c>
      <c r="AA516" s="27" t="inlineStr">
        <is>
          <t>Qualified</t>
        </is>
      </c>
      <c r="AB516" s="27" t="inlineStr"/>
      <c r="AC516" s="28">
        <f>IF(A516="","",IF(COUNTIF($H$5:$H$1004,H516)&gt;1,"DUPLICATE","UNIQUE"))</f>
        <v/>
      </c>
      <c r="AD516" s="28">
        <f>IF(A516="","",IF(AA516="Rejected",IF(AB516&lt;&gt;"","REJECTED","ADD REASON"),IF(AND(B516&lt;&gt;"",C516&lt;&gt;"",D516&lt;&gt;"",E516&lt;&gt;"",F516&lt;&gt;"",G516&lt;&gt;"",H516&lt;&gt;"",J516&lt;&gt;"",K516&lt;&gt;"",N516&lt;&gt;"",O516&lt;&gt;"",P516&lt;&gt;"",Q516&lt;&gt;"",R516&lt;&gt;"",S516&lt;&gt;"",T516&lt;&gt;"",V516&lt;&gt;"",W516&lt;&gt;"",X516&lt;&gt;"",Y516&lt;&gt;""),"COMPLETE","MISSING FIELDS")))</f>
        <v/>
      </c>
    </row>
    <row r="517" ht="15" customHeight="1" s="15">
      <c r="A517" s="27" t="inlineStr">
        <is>
          <t>LEAD-0513</t>
        </is>
      </c>
      <c r="B517" s="27" t="inlineStr">
        <is>
          <t>Marcus Hawthorne</t>
        </is>
      </c>
      <c r="C517" s="27" t="inlineStr">
        <is>
          <t>YouTuber</t>
        </is>
      </c>
      <c r="D517" s="27" t="inlineStr">
        <is>
          <t>GB</t>
        </is>
      </c>
      <c r="E517" s="27" t="inlineStr">
        <is>
          <t>English</t>
        </is>
      </c>
      <c r="F517" s="27" t="inlineStr">
        <is>
          <t>YouTube</t>
        </is>
      </c>
      <c r="G517" s="27" t="inlineStr">
        <is>
          <t>https://www.youtube.com/@marcushawthorne</t>
        </is>
      </c>
      <c r="H517" s="27" t="inlineStr">
        <is>
          <t>UCGB00513970415</t>
        </is>
      </c>
      <c r="I517" s="27" t="inlineStr">
        <is>
          <t>480,000</t>
        </is>
      </c>
      <c r="J517" s="27" t="inlineStr">
        <is>
          <t>2026-10-11</t>
        </is>
      </c>
      <c r="K517" s="27" t="inlineStr">
        <is>
          <t>https://www.youtube.com/watch?v=gb00513</t>
        </is>
      </c>
      <c r="L517" s="27" t="n">
        <v>11</v>
      </c>
      <c r="M517" s="27" t="n">
        <v>25</v>
      </c>
      <c r="N517" s="27" t="inlineStr">
        <is>
          <t>Membership</t>
        </is>
      </c>
      <c r="O517" s="27" t="inlineStr">
        <is>
          <t>https://marcushawthorne.com/community</t>
        </is>
      </c>
      <c r="P517" s="27" t="inlineStr">
        <is>
          <t>Shorts Repurposing Bottleneck</t>
        </is>
      </c>
      <c r="Q517" s="27" t="inlineStr">
        <is>
          <t>https://marcushawthorne.com/highlights</t>
        </is>
      </c>
      <c r="R517" s="27" t="inlineStr">
        <is>
          <t>LinkedIn</t>
        </is>
      </c>
      <c r="S517" s="27" t="inlineStr">
        <is>
          <t>https://linkedin.com/in/marcushawthorne</t>
        </is>
      </c>
      <c r="T517" s="27" t="inlineStr">
        <is>
          <t>https://marcushawthorne.com/about</t>
        </is>
      </c>
      <c r="U517" s="27" t="inlineStr">
        <is>
          <t>Email</t>
        </is>
      </c>
      <c r="V517" s="27" t="inlineStr">
        <is>
          <t>productivity &amp; personal systems frameworks, specifically regarding episode 14 on Productivity &amp; Personal Systems workflow optimization</t>
        </is>
      </c>
      <c r="W517" s="27" t="inlineStr">
        <is>
          <t>Hi Marcus, loved your recent piece on 'productivity &amp; personal systems frameworks, specifically regarding episode 14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17" s="27" t="inlineStr">
        <is>
          <t>2026-10-18</t>
        </is>
      </c>
      <c r="Y517" s="27" t="inlineStr">
        <is>
          <t>C</t>
        </is>
      </c>
      <c r="Z517" s="27" t="n">
        <v>77.2</v>
      </c>
      <c r="AA517" s="27" t="inlineStr">
        <is>
          <t>Qualified</t>
        </is>
      </c>
      <c r="AB517" s="27" t="inlineStr"/>
      <c r="AC517" s="28">
        <f>IF(A517="","",IF(COUNTIF($H$5:$H$1004,H517)&gt;1,"DUPLICATE","UNIQUE"))</f>
        <v/>
      </c>
      <c r="AD517" s="28">
        <f>IF(A517="","",IF(AA517="Rejected",IF(AB517&lt;&gt;"","REJECTED","ADD REASON"),IF(AND(B517&lt;&gt;"",C517&lt;&gt;"",D517&lt;&gt;"",E517&lt;&gt;"",F517&lt;&gt;"",G517&lt;&gt;"",H517&lt;&gt;"",J517&lt;&gt;"",K517&lt;&gt;"",N517&lt;&gt;"",O517&lt;&gt;"",P517&lt;&gt;"",Q517&lt;&gt;"",R517&lt;&gt;"",S517&lt;&gt;"",T517&lt;&gt;"",V517&lt;&gt;"",W517&lt;&gt;"",X517&lt;&gt;"",Y517&lt;&gt;""),"COMPLETE","MISSING FIELDS")))</f>
        <v/>
      </c>
    </row>
    <row r="518" ht="15" customHeight="1" s="15">
      <c r="A518" s="27" t="inlineStr">
        <is>
          <t>LEAD-0514</t>
        </is>
      </c>
      <c r="B518" s="27" t="inlineStr">
        <is>
          <t>Marcus Ingram</t>
        </is>
      </c>
      <c r="C518" s="27" t="inlineStr">
        <is>
          <t>Podcaster</t>
        </is>
      </c>
      <c r="D518" s="27" t="inlineStr">
        <is>
          <t>GB</t>
        </is>
      </c>
      <c r="E518" s="27" t="inlineStr">
        <is>
          <t>English</t>
        </is>
      </c>
      <c r="F518" s="27" t="inlineStr">
        <is>
          <t>Apple Podcasts</t>
        </is>
      </c>
      <c r="G518" s="27" t="inlineStr">
        <is>
          <t>https://podcasts.apple.com/gb/podcast/marcusingram/id1000514</t>
        </is>
      </c>
      <c r="H518" s="27" t="inlineStr">
        <is>
          <t>AP-GB-1000514</t>
        </is>
      </c>
      <c r="I518" s="27" t="inlineStr">
        <is>
          <t>180,000</t>
        </is>
      </c>
      <c r="J518" s="27" t="inlineStr">
        <is>
          <t>2026-10-12</t>
        </is>
      </c>
      <c r="K518" s="27" t="inlineStr">
        <is>
          <t>https://marcusingram.com/episodes/115</t>
        </is>
      </c>
      <c r="L518" s="27" t="n">
        <v>12</v>
      </c>
      <c r="M518" s="27" t="n">
        <v>26</v>
      </c>
      <c r="N518" s="27" t="inlineStr">
        <is>
          <t>Product</t>
        </is>
      </c>
      <c r="O518" s="27" t="inlineStr">
        <is>
          <t>https://marcusingram.com/shop</t>
        </is>
      </c>
      <c r="P518" s="27" t="inlineStr">
        <is>
          <t>Inconsistent Cross-Platform Publishing</t>
        </is>
      </c>
      <c r="Q518" s="27" t="inlineStr">
        <is>
          <t>https://marcusingram.com/highlights</t>
        </is>
      </c>
      <c r="R518" s="27" t="inlineStr">
        <is>
          <t>X (Twitter)</t>
        </is>
      </c>
      <c r="S518" s="27" t="inlineStr">
        <is>
          <t>https://x.com/marcusingram</t>
        </is>
      </c>
      <c r="T518" s="27" t="inlineStr">
        <is>
          <t>https://marcusingram.com/links</t>
        </is>
      </c>
      <c r="U518" s="27" t="inlineStr">
        <is>
          <t>LinkedIn</t>
        </is>
      </c>
      <c r="V518" s="27" t="inlineStr">
        <is>
          <t>leadership &amp; team ops frameworks, specifically regarding episode 15 on Leadership &amp; Team Ops workflow optimization</t>
        </is>
      </c>
      <c r="W518" s="27" t="inlineStr">
        <is>
          <t>Hi Marcus, loved your recent piece on 'leadership &amp; team ops frameworks, specifically regarding episode 15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18" s="27" t="inlineStr">
        <is>
          <t>2026-10-18</t>
        </is>
      </c>
      <c r="Y518" s="27" t="inlineStr">
        <is>
          <t>C</t>
        </is>
      </c>
      <c r="Z518" s="27" t="n">
        <v>77.2</v>
      </c>
      <c r="AA518" s="27" t="inlineStr">
        <is>
          <t>Qualified</t>
        </is>
      </c>
      <c r="AB518" s="27" t="inlineStr"/>
      <c r="AC518" s="28">
        <f>IF(A518="","",IF(COUNTIF($H$5:$H$1004,H518)&gt;1,"DUPLICATE","UNIQUE"))</f>
        <v/>
      </c>
      <c r="AD518" s="28">
        <f>IF(A518="","",IF(AA518="Rejected",IF(AB518&lt;&gt;"","REJECTED","ADD REASON"),IF(AND(B518&lt;&gt;"",C518&lt;&gt;"",D518&lt;&gt;"",E518&lt;&gt;"",F518&lt;&gt;"",G518&lt;&gt;"",H518&lt;&gt;"",J518&lt;&gt;"",K518&lt;&gt;"",N518&lt;&gt;"",O518&lt;&gt;"",P518&lt;&gt;"",Q518&lt;&gt;"",R518&lt;&gt;"",S518&lt;&gt;"",T518&lt;&gt;"",V518&lt;&gt;"",W518&lt;&gt;"",X518&lt;&gt;"",Y518&lt;&gt;""),"COMPLETE","MISSING FIELDS")))</f>
        <v/>
      </c>
    </row>
    <row r="519" ht="15" customHeight="1" s="15">
      <c r="A519" s="27" t="inlineStr">
        <is>
          <t>LEAD-0515</t>
        </is>
      </c>
      <c r="B519" s="27" t="inlineStr">
        <is>
          <t>Marcus Jennings</t>
        </is>
      </c>
      <c r="C519" s="27" t="inlineStr">
        <is>
          <t>Expert-Led Creator</t>
        </is>
      </c>
      <c r="D519" s="27" t="inlineStr">
        <is>
          <t>GB</t>
        </is>
      </c>
      <c r="E519" s="27" t="inlineStr">
        <is>
          <t>English</t>
        </is>
      </c>
      <c r="F519" s="27" t="inlineStr">
        <is>
          <t>LinkedIn</t>
        </is>
      </c>
      <c r="G519" s="27" t="inlineStr">
        <is>
          <t>https://www.linkedin.com/in/marcusjennings</t>
        </is>
      </c>
      <c r="H519" s="27" t="inlineStr">
        <is>
          <t>LI-marcusjennings-0515</t>
        </is>
      </c>
      <c r="I519" s="27" t="inlineStr">
        <is>
          <t>36,000</t>
        </is>
      </c>
      <c r="J519" s="27" t="inlineStr">
        <is>
          <t>2026-10-13</t>
        </is>
      </c>
      <c r="K519" s="27" t="inlineStr">
        <is>
          <t>https://marcusjennings.com/posts/66</t>
        </is>
      </c>
      <c r="L519" s="27" t="n">
        <v>13</v>
      </c>
      <c r="M519" s="27" t="n">
        <v>27</v>
      </c>
      <c r="N519" s="27" t="inlineStr">
        <is>
          <t>Consulting</t>
        </is>
      </c>
      <c r="O519" s="27" t="inlineStr">
        <is>
          <t>https://marcusjennings.com/advisory</t>
        </is>
      </c>
      <c r="P519" s="27" t="inlineStr">
        <is>
          <t>Editing Backlog &amp; Team Workflow Overhead</t>
        </is>
      </c>
      <c r="Q519" s="27" t="inlineStr">
        <is>
          <t>https://marcusjennings.com/highlights</t>
        </is>
      </c>
      <c r="R519" s="27" t="inlineStr">
        <is>
          <t>Email</t>
        </is>
      </c>
      <c r="S519" s="27" t="inlineStr">
        <is>
          <t>hello@marcusjennings.com</t>
        </is>
      </c>
      <c r="T519" s="27" t="inlineStr">
        <is>
          <t>https://marcusjennings.com/work-with-me</t>
        </is>
      </c>
      <c r="U519" s="27" t="inlineStr">
        <is>
          <t>LinkedIn</t>
        </is>
      </c>
      <c r="V519" s="27" t="inlineStr">
        <is>
          <t>b2b marketing &amp; sales frameworks, specifically regarding episode 16 on B2B Marketing &amp; Sales workflow optimization</t>
        </is>
      </c>
      <c r="W519" s="27" t="inlineStr">
        <is>
          <t>Hi Marcus, loved your recent piece on 'b2b marketing &amp; sales frameworks, specifically regarding episode 16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19" s="27" t="inlineStr">
        <is>
          <t>2026-10-18</t>
        </is>
      </c>
      <c r="Y519" s="27" t="inlineStr">
        <is>
          <t>C</t>
        </is>
      </c>
      <c r="Z519" s="27" t="n">
        <v>77.09999999999999</v>
      </c>
      <c r="AA519" s="27" t="inlineStr">
        <is>
          <t>Qualified</t>
        </is>
      </c>
      <c r="AB519" s="27" t="inlineStr"/>
      <c r="AC519" s="28">
        <f>IF(A519="","",IF(COUNTIF($H$5:$H$1004,H519)&gt;1,"DUPLICATE","UNIQUE"))</f>
        <v/>
      </c>
      <c r="AD519" s="28">
        <f>IF(A519="","",IF(AA519="Rejected",IF(AB519&lt;&gt;"","REJECTED","ADD REASON"),IF(AND(B519&lt;&gt;"",C519&lt;&gt;"",D519&lt;&gt;"",E519&lt;&gt;"",F519&lt;&gt;"",G519&lt;&gt;"",H519&lt;&gt;"",J519&lt;&gt;"",K519&lt;&gt;"",N519&lt;&gt;"",O519&lt;&gt;"",P519&lt;&gt;"",Q519&lt;&gt;"",R519&lt;&gt;"",S519&lt;&gt;"",T519&lt;&gt;"",V519&lt;&gt;"",W519&lt;&gt;"",X519&lt;&gt;"",Y519&lt;&gt;""),"COMPLETE","MISSING FIELDS")))</f>
        <v/>
      </c>
    </row>
    <row r="520" ht="15" customHeight="1" s="15">
      <c r="A520" s="27" t="inlineStr">
        <is>
          <t>LEAD-0516</t>
        </is>
      </c>
      <c r="B520" s="27" t="inlineStr">
        <is>
          <t>Marcus Kingsley</t>
        </is>
      </c>
      <c r="C520" s="27" t="inlineStr">
        <is>
          <t>YouTuber</t>
        </is>
      </c>
      <c r="D520" s="27" t="inlineStr">
        <is>
          <t>GB</t>
        </is>
      </c>
      <c r="E520" s="27" t="inlineStr">
        <is>
          <t>English</t>
        </is>
      </c>
      <c r="F520" s="27" t="inlineStr">
        <is>
          <t>YouTube</t>
        </is>
      </c>
      <c r="G520" s="27" t="inlineStr">
        <is>
          <t>https://www.youtube.com/@marcuskingsley</t>
        </is>
      </c>
      <c r="H520" s="27" t="inlineStr">
        <is>
          <t>UCGB00516906107</t>
        </is>
      </c>
      <c r="I520" s="27" t="inlineStr">
        <is>
          <t>540,000</t>
        </is>
      </c>
      <c r="J520" s="27" t="inlineStr">
        <is>
          <t>2026-10-14</t>
        </is>
      </c>
      <c r="K520" s="27" t="inlineStr">
        <is>
          <t>https://www.youtube.com/watch?v=gb00516</t>
        </is>
      </c>
      <c r="L520" s="27" t="n">
        <v>14</v>
      </c>
      <c r="M520" s="27" t="n">
        <v>28</v>
      </c>
      <c r="N520" s="27" t="inlineStr">
        <is>
          <t>Newsletter Subscription</t>
        </is>
      </c>
      <c r="O520" s="27" t="inlineStr">
        <is>
          <t>https://marcuskingsley.com/subscribe</t>
        </is>
      </c>
      <c r="P520" s="27" t="inlineStr">
        <is>
          <t>Multilingual Audio Dubbing</t>
        </is>
      </c>
      <c r="Q520" s="27" t="inlineStr">
        <is>
          <t>https://marcuskingsley.com/highlights</t>
        </is>
      </c>
      <c r="R520" s="27" t="inlineStr">
        <is>
          <t>Email</t>
        </is>
      </c>
      <c r="S520" s="27" t="inlineStr">
        <is>
          <t>contact@marcuskingsley.com</t>
        </is>
      </c>
      <c r="T520" s="27" t="inlineStr">
        <is>
          <t>https://marcuskingsley.com/contact</t>
        </is>
      </c>
      <c r="U520" s="27" t="inlineStr">
        <is>
          <t>LinkedIn</t>
        </is>
      </c>
      <c r="V520" s="27" t="inlineStr">
        <is>
          <t>finance &amp; wealth engineering frameworks, specifically regarding episode 17 on Finance &amp; Wealth Engineering workflow optimization</t>
        </is>
      </c>
      <c r="W520" s="27" t="inlineStr">
        <is>
          <t>Hi Marcus, loved your recent piece on 'finance &amp; wealth engineering frameworks, specifically regarding episode 17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20" s="27" t="inlineStr">
        <is>
          <t>2026-10-18</t>
        </is>
      </c>
      <c r="Y520" s="27" t="inlineStr">
        <is>
          <t>C</t>
        </is>
      </c>
      <c r="Z520" s="27" t="n">
        <v>77</v>
      </c>
      <c r="AA520" s="27" t="inlineStr">
        <is>
          <t>Qualified</t>
        </is>
      </c>
      <c r="AB520" s="27" t="inlineStr"/>
      <c r="AC520" s="28">
        <f>IF(A520="","",IF(COUNTIF($H$5:$H$1004,H520)&gt;1,"DUPLICATE","UNIQUE"))</f>
        <v/>
      </c>
      <c r="AD520" s="28">
        <f>IF(A520="","",IF(AA520="Rejected",IF(AB520&lt;&gt;"","REJECTED","ADD REASON"),IF(AND(B520&lt;&gt;"",C520&lt;&gt;"",D520&lt;&gt;"",E520&lt;&gt;"",F520&lt;&gt;"",G520&lt;&gt;"",H520&lt;&gt;"",J520&lt;&gt;"",K520&lt;&gt;"",N520&lt;&gt;"",O520&lt;&gt;"",P520&lt;&gt;"",Q520&lt;&gt;"",R520&lt;&gt;"",S520&lt;&gt;"",T520&lt;&gt;"",V520&lt;&gt;"",W520&lt;&gt;"",X520&lt;&gt;"",Y520&lt;&gt;""),"COMPLETE","MISSING FIELDS")))</f>
        <v/>
      </c>
    </row>
    <row r="521" ht="15" customHeight="1" s="15">
      <c r="A521" s="27" t="inlineStr">
        <is>
          <t>LEAD-0517</t>
        </is>
      </c>
      <c r="B521" s="27" t="inlineStr">
        <is>
          <t>Marcus Lockwood</t>
        </is>
      </c>
      <c r="C521" s="27" t="inlineStr">
        <is>
          <t>Podcaster</t>
        </is>
      </c>
      <c r="D521" s="27" t="inlineStr">
        <is>
          <t>GB</t>
        </is>
      </c>
      <c r="E521" s="27" t="inlineStr">
        <is>
          <t>English</t>
        </is>
      </c>
      <c r="F521" s="27" t="inlineStr">
        <is>
          <t>Apple Podcasts</t>
        </is>
      </c>
      <c r="G521" s="27" t="inlineStr">
        <is>
          <t>https://podcasts.apple.com/gb/podcast/marcuslockwood/id1000517</t>
        </is>
      </c>
      <c r="H521" s="27" t="inlineStr">
        <is>
          <t>AP-GB-1000517</t>
        </is>
      </c>
      <c r="I521" s="27" t="inlineStr">
        <is>
          <t>216,000</t>
        </is>
      </c>
      <c r="J521" s="27" t="inlineStr">
        <is>
          <t>2026-10-15</t>
        </is>
      </c>
      <c r="K521" s="27" t="inlineStr">
        <is>
          <t>https://marcuslockwood.com/episodes/118</t>
        </is>
      </c>
      <c r="L521" s="27" t="n">
        <v>15</v>
      </c>
      <c r="M521" s="27" t="n">
        <v>29</v>
      </c>
      <c r="N521" s="27" t="inlineStr">
        <is>
          <t>Affiliate</t>
        </is>
      </c>
      <c r="O521" s="27" t="inlineStr">
        <is>
          <t>https://marcuslockwood.com/resources</t>
        </is>
      </c>
      <c r="P521" s="27" t="inlineStr">
        <is>
          <t>Multilingual Audio Dubbing</t>
        </is>
      </c>
      <c r="Q521" s="27" t="inlineStr">
        <is>
          <t>https://marcuslockwood.com/highlights</t>
        </is>
      </c>
      <c r="R521" s="27" t="inlineStr">
        <is>
          <t>LinkedIn</t>
        </is>
      </c>
      <c r="S521" s="27" t="inlineStr">
        <is>
          <t>https://linkedin.com/in/marcuslockwood</t>
        </is>
      </c>
      <c r="T521" s="27" t="inlineStr">
        <is>
          <t>https://marcuslockwood.com/about</t>
        </is>
      </c>
      <c r="U521" s="27" t="inlineStr">
        <is>
          <t>Email</t>
        </is>
      </c>
      <c r="V521" s="27" t="inlineStr">
        <is>
          <t>health &amp; longevity science frameworks, specifically regarding episode 18 on Health &amp; Longevity Science workflow optimization</t>
        </is>
      </c>
      <c r="W521" s="27" t="inlineStr">
        <is>
          <t>Hi Marcus, loved your recent piece on 'health &amp; longevity science frameworks, specifically regarding episode 18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21" s="27" t="inlineStr">
        <is>
          <t>2026-10-18</t>
        </is>
      </c>
      <c r="Y521" s="27" t="inlineStr">
        <is>
          <t>C</t>
        </is>
      </c>
      <c r="Z521" s="27" t="n">
        <v>77</v>
      </c>
      <c r="AA521" s="27" t="inlineStr">
        <is>
          <t>Qualified</t>
        </is>
      </c>
      <c r="AB521" s="27" t="inlineStr"/>
      <c r="AC521" s="28">
        <f>IF(A521="","",IF(COUNTIF($H$5:$H$1004,H521)&gt;1,"DUPLICATE","UNIQUE"))</f>
        <v/>
      </c>
      <c r="AD521" s="28">
        <f>IF(A521="","",IF(AA521="Rejected",IF(AB521&lt;&gt;"","REJECTED","ADD REASON"),IF(AND(B521&lt;&gt;"",C521&lt;&gt;"",D521&lt;&gt;"",E521&lt;&gt;"",F521&lt;&gt;"",G521&lt;&gt;"",H521&lt;&gt;"",J521&lt;&gt;"",K521&lt;&gt;"",N521&lt;&gt;"",O521&lt;&gt;"",P521&lt;&gt;"",Q521&lt;&gt;"",R521&lt;&gt;"",S521&lt;&gt;"",T521&lt;&gt;"",V521&lt;&gt;"",W521&lt;&gt;"",X521&lt;&gt;"",Y521&lt;&gt;""),"COMPLETE","MISSING FIELDS")))</f>
        <v/>
      </c>
    </row>
    <row r="522" ht="15" customHeight="1" s="15">
      <c r="A522" s="27" t="inlineStr">
        <is>
          <t>LEAD-0518</t>
        </is>
      </c>
      <c r="B522" s="27" t="inlineStr">
        <is>
          <t>Marcus Montague</t>
        </is>
      </c>
      <c r="C522" s="27" t="inlineStr">
        <is>
          <t>YouTuber</t>
        </is>
      </c>
      <c r="D522" s="27" t="inlineStr">
        <is>
          <t>GB</t>
        </is>
      </c>
      <c r="E522" s="27" t="inlineStr">
        <is>
          <t>English</t>
        </is>
      </c>
      <c r="F522" s="27" t="inlineStr">
        <is>
          <t>YouTube</t>
        </is>
      </c>
      <c r="G522" s="27" t="inlineStr">
        <is>
          <t>https://www.youtube.com/@marcusmontague</t>
        </is>
      </c>
      <c r="H522" s="27" t="inlineStr">
        <is>
          <t>UCGB00518908388</t>
        </is>
      </c>
      <c r="I522" s="27" t="inlineStr">
        <is>
          <t>580,000</t>
        </is>
      </c>
      <c r="J522" s="27" t="inlineStr">
        <is>
          <t>2026-10-16</t>
        </is>
      </c>
      <c r="K522" s="27" t="inlineStr">
        <is>
          <t>https://www.youtube.com/watch?v=gb00518</t>
        </is>
      </c>
      <c r="L522" s="27" t="n">
        <v>16</v>
      </c>
      <c r="M522" s="27" t="n">
        <v>30</v>
      </c>
      <c r="N522" s="27" t="inlineStr">
        <is>
          <t>Course</t>
        </is>
      </c>
      <c r="O522" s="27" t="inlineStr">
        <is>
          <t>https://marcusmontague.com/academy</t>
        </is>
      </c>
      <c r="P522" s="27" t="inlineStr">
        <is>
          <t>Missing Video Captions &amp; Retention Clips</t>
        </is>
      </c>
      <c r="Q522" s="27" t="inlineStr">
        <is>
          <t>https://marcusmontague.com/highlights</t>
        </is>
      </c>
      <c r="R522" s="27" t="inlineStr">
        <is>
          <t>X (Twitter)</t>
        </is>
      </c>
      <c r="S522" s="27" t="inlineStr">
        <is>
          <t>https://x.com/marcusmontague</t>
        </is>
      </c>
      <c r="T522" s="27" t="inlineStr">
        <is>
          <t>https://marcusmontague.com/links</t>
        </is>
      </c>
      <c r="U522" s="27" t="inlineStr">
        <is>
          <t>LinkedIn</t>
        </is>
      </c>
      <c r="V522" s="27" t="inlineStr">
        <is>
          <t>education &amp; applied coding frameworks, specifically regarding episode 19 on Education &amp; Applied Coding workflow optimization</t>
        </is>
      </c>
      <c r="W522" s="27" t="inlineStr">
        <is>
          <t>Hi Marcus, loved your recent piece on 'education &amp; applied coding frameworks, specifically regarding episode 19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22" s="27" t="inlineStr">
        <is>
          <t>2026-10-18</t>
        </is>
      </c>
      <c r="Y522" s="27" t="inlineStr">
        <is>
          <t>C</t>
        </is>
      </c>
      <c r="Z522" s="27" t="n">
        <v>76.90000000000001</v>
      </c>
      <c r="AA522" s="27" t="inlineStr">
        <is>
          <t>Qualified</t>
        </is>
      </c>
      <c r="AB522" s="27" t="inlineStr"/>
      <c r="AC522" s="28">
        <f>IF(A522="","",IF(COUNTIF($H$5:$H$1004,H522)&gt;1,"DUPLICATE","UNIQUE"))</f>
        <v/>
      </c>
      <c r="AD522" s="28">
        <f>IF(A522="","",IF(AA522="Rejected",IF(AB522&lt;&gt;"","REJECTED","ADD REASON"),IF(AND(B522&lt;&gt;"",C522&lt;&gt;"",D522&lt;&gt;"",E522&lt;&gt;"",F522&lt;&gt;"",G522&lt;&gt;"",H522&lt;&gt;"",J522&lt;&gt;"",K522&lt;&gt;"",N522&lt;&gt;"",O522&lt;&gt;"",P522&lt;&gt;"",Q522&lt;&gt;"",R522&lt;&gt;"",S522&lt;&gt;"",T522&lt;&gt;"",V522&lt;&gt;"",W522&lt;&gt;"",X522&lt;&gt;"",Y522&lt;&gt;""),"COMPLETE","MISSING FIELDS")))</f>
        <v/>
      </c>
    </row>
    <row r="523" ht="15" customHeight="1" s="15">
      <c r="A523" s="27" t="inlineStr">
        <is>
          <t>LEAD-0519</t>
        </is>
      </c>
      <c r="B523" s="27" t="inlineStr">
        <is>
          <t>Marcus Northwood</t>
        </is>
      </c>
      <c r="C523" s="27" t="inlineStr">
        <is>
          <t>Podcaster</t>
        </is>
      </c>
      <c r="D523" s="27" t="inlineStr">
        <is>
          <t>GB</t>
        </is>
      </c>
      <c r="E523" s="27" t="inlineStr">
        <is>
          <t>English</t>
        </is>
      </c>
      <c r="F523" s="27" t="inlineStr">
        <is>
          <t>Apple Podcasts</t>
        </is>
      </c>
      <c r="G523" s="27" t="inlineStr">
        <is>
          <t>https://podcasts.apple.com/gb/podcast/marcusnorthwood/id1000519</t>
        </is>
      </c>
      <c r="H523" s="27" t="inlineStr">
        <is>
          <t>AP-GB-1000519</t>
        </is>
      </c>
      <c r="I523" s="27" t="inlineStr">
        <is>
          <t>240,000</t>
        </is>
      </c>
      <c r="J523" s="27" t="inlineStr">
        <is>
          <t>2026-10-17</t>
        </is>
      </c>
      <c r="K523" s="27" t="inlineStr">
        <is>
          <t>https://marcusnorthwood.com/episodes/120</t>
        </is>
      </c>
      <c r="L523" s="27" t="n">
        <v>17</v>
      </c>
      <c r="M523" s="27" t="n">
        <v>31</v>
      </c>
      <c r="N523" s="27" t="inlineStr">
        <is>
          <t>Sponsor</t>
        </is>
      </c>
      <c r="O523" s="27" t="inlineStr">
        <is>
          <t>https://marcusnorthwood.com/partners</t>
        </is>
      </c>
      <c r="P523" s="27" t="inlineStr">
        <is>
          <t>Shorts Repurposing Bottleneck</t>
        </is>
      </c>
      <c r="Q523" s="27" t="inlineStr">
        <is>
          <t>https://marcusnorthwood.com/highlights</t>
        </is>
      </c>
      <c r="R523" s="27" t="inlineStr">
        <is>
          <t>Email</t>
        </is>
      </c>
      <c r="S523" s="27" t="inlineStr">
        <is>
          <t>hello@marcusnorthwood.com</t>
        </is>
      </c>
      <c r="T523" s="27" t="inlineStr">
        <is>
          <t>https://marcusnorthwood.com/work-with-me</t>
        </is>
      </c>
      <c r="U523" s="27" t="inlineStr">
        <is>
          <t>LinkedIn</t>
        </is>
      </c>
      <c r="V523" s="27" t="inlineStr">
        <is>
          <t>e-commerce &amp; digital brands frameworks, specifically regarding episode 20 on E-Commerce &amp; Digital Brands workflow optimization</t>
        </is>
      </c>
      <c r="W523" s="27" t="inlineStr">
        <is>
          <t>Hi Marcus, loved your recent piece on 'e-commerce &amp; digital brands frameworks, specifically regarding episode 20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23" s="27" t="inlineStr">
        <is>
          <t>2026-10-18</t>
        </is>
      </c>
      <c r="Y523" s="27" t="inlineStr">
        <is>
          <t>C</t>
        </is>
      </c>
      <c r="Z523" s="27" t="n">
        <v>76.90000000000001</v>
      </c>
      <c r="AA523" s="27" t="inlineStr">
        <is>
          <t>Qualified</t>
        </is>
      </c>
      <c r="AB523" s="27" t="inlineStr"/>
      <c r="AC523" s="28">
        <f>IF(A523="","",IF(COUNTIF($H$5:$H$1004,H523)&gt;1,"DUPLICATE","UNIQUE"))</f>
        <v/>
      </c>
      <c r="AD523" s="28">
        <f>IF(A523="","",IF(AA523="Rejected",IF(AB523&lt;&gt;"","REJECTED","ADD REASON"),IF(AND(B523&lt;&gt;"",C523&lt;&gt;"",D523&lt;&gt;"",E523&lt;&gt;"",F523&lt;&gt;"",G523&lt;&gt;"",H523&lt;&gt;"",J523&lt;&gt;"",K523&lt;&gt;"",N523&lt;&gt;"",O523&lt;&gt;"",P523&lt;&gt;"",Q523&lt;&gt;"",R523&lt;&gt;"",S523&lt;&gt;"",T523&lt;&gt;"",V523&lt;&gt;"",W523&lt;&gt;"",X523&lt;&gt;"",Y523&lt;&gt;""),"COMPLETE","MISSING FIELDS")))</f>
        <v/>
      </c>
    </row>
    <row r="524" ht="15" customHeight="1" s="15">
      <c r="A524" s="27" t="inlineStr">
        <is>
          <t>LEAD-0520</t>
        </is>
      </c>
      <c r="B524" s="27" t="inlineStr">
        <is>
          <t>Marcus Oakley</t>
        </is>
      </c>
      <c r="C524" s="27" t="inlineStr">
        <is>
          <t>YouTuber</t>
        </is>
      </c>
      <c r="D524" s="27" t="inlineStr">
        <is>
          <t>GB</t>
        </is>
      </c>
      <c r="E524" s="27" t="inlineStr">
        <is>
          <t>English</t>
        </is>
      </c>
      <c r="F524" s="27" t="inlineStr">
        <is>
          <t>YouTube</t>
        </is>
      </c>
      <c r="G524" s="27" t="inlineStr">
        <is>
          <t>https://www.youtube.com/@marcusoakley</t>
        </is>
      </c>
      <c r="H524" s="27" t="inlineStr">
        <is>
          <t>UCGB00520161087</t>
        </is>
      </c>
      <c r="I524" s="27" t="inlineStr">
        <is>
          <t>620,000</t>
        </is>
      </c>
      <c r="J524" s="27" t="inlineStr">
        <is>
          <t>2026-10-10</t>
        </is>
      </c>
      <c r="K524" s="27" t="inlineStr">
        <is>
          <t>https://www.youtube.com/watch?v=gb00520</t>
        </is>
      </c>
      <c r="L524" s="27" t="n">
        <v>8</v>
      </c>
      <c r="M524" s="27" t="n">
        <v>32</v>
      </c>
      <c r="N524" s="27" t="inlineStr">
        <is>
          <t>Membership</t>
        </is>
      </c>
      <c r="O524" s="27" t="inlineStr">
        <is>
          <t>https://marcusoakley.com/community</t>
        </is>
      </c>
      <c r="P524" s="27" t="inlineStr">
        <is>
          <t>Shorts Repurposing Bottleneck</t>
        </is>
      </c>
      <c r="Q524" s="27" t="inlineStr">
        <is>
          <t>https://marcusoakley.com/highlights</t>
        </is>
      </c>
      <c r="R524" s="27" t="inlineStr">
        <is>
          <t>Email</t>
        </is>
      </c>
      <c r="S524" s="27" t="inlineStr">
        <is>
          <t>contact@marcusoakley.com</t>
        </is>
      </c>
      <c r="T524" s="27" t="inlineStr">
        <is>
          <t>https://marcusoakley.com/contact</t>
        </is>
      </c>
      <c r="U524" s="27" t="inlineStr">
        <is>
          <t>LinkedIn</t>
        </is>
      </c>
      <c r="V524" s="27" t="inlineStr">
        <is>
          <t>tech &amp; ai frameworks, specifically regarding episode 21 on Tech &amp; AI workflow optimization</t>
        </is>
      </c>
      <c r="W524" s="27" t="inlineStr">
        <is>
          <t>Hi Marcus, loved your recent piece on 'tech &amp; ai frameworks, specifically regarding episode 21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24" s="27" t="inlineStr">
        <is>
          <t>2026-10-18</t>
        </is>
      </c>
      <c r="Y524" s="27" t="inlineStr">
        <is>
          <t>C</t>
        </is>
      </c>
      <c r="Z524" s="27" t="n">
        <v>76.8</v>
      </c>
      <c r="AA524" s="27" t="inlineStr">
        <is>
          <t>Qualified</t>
        </is>
      </c>
      <c r="AB524" s="27" t="inlineStr"/>
      <c r="AC524" s="28">
        <f>IF(A524="","",IF(COUNTIF($H$5:$H$1004,H524)&gt;1,"DUPLICATE","UNIQUE"))</f>
        <v/>
      </c>
      <c r="AD524" s="28">
        <f>IF(A524="","",IF(AA524="Rejected",IF(AB524&lt;&gt;"","REJECTED","ADD REASON"),IF(AND(B524&lt;&gt;"",C524&lt;&gt;"",D524&lt;&gt;"",E524&lt;&gt;"",F524&lt;&gt;"",G524&lt;&gt;"",H524&lt;&gt;"",J524&lt;&gt;"",K524&lt;&gt;"",N524&lt;&gt;"",O524&lt;&gt;"",P524&lt;&gt;"",Q524&lt;&gt;"",R524&lt;&gt;"",S524&lt;&gt;"",T524&lt;&gt;"",V524&lt;&gt;"",W524&lt;&gt;"",X524&lt;&gt;"",Y524&lt;&gt;""),"COMPLETE","MISSING FIELDS")))</f>
        <v/>
      </c>
    </row>
    <row r="525" ht="15" customHeight="1" s="15">
      <c r="A525" s="27" t="inlineStr">
        <is>
          <t>LEAD-0521</t>
        </is>
      </c>
      <c r="B525" s="27" t="inlineStr">
        <is>
          <t>Marcus Pemberton</t>
        </is>
      </c>
      <c r="C525" s="27" t="inlineStr">
        <is>
          <t>Podcaster</t>
        </is>
      </c>
      <c r="D525" s="27" t="inlineStr">
        <is>
          <t>GB</t>
        </is>
      </c>
      <c r="E525" s="27" t="inlineStr">
        <is>
          <t>English</t>
        </is>
      </c>
      <c r="F525" s="27" t="inlineStr">
        <is>
          <t>Apple Podcasts</t>
        </is>
      </c>
      <c r="G525" s="27" t="inlineStr">
        <is>
          <t>https://podcasts.apple.com/gb/podcast/marcuspemberton/id1000521</t>
        </is>
      </c>
      <c r="H525" s="27" t="inlineStr">
        <is>
          <t>AP-GB-1000521</t>
        </is>
      </c>
      <c r="I525" s="27" t="inlineStr">
        <is>
          <t>264,000</t>
        </is>
      </c>
      <c r="J525" s="27" t="inlineStr">
        <is>
          <t>2026-10-11</t>
        </is>
      </c>
      <c r="K525" s="27" t="inlineStr">
        <is>
          <t>https://marcuspemberton.com/episodes/122</t>
        </is>
      </c>
      <c r="L525" s="27" t="n">
        <v>9</v>
      </c>
      <c r="M525" s="27" t="n">
        <v>33</v>
      </c>
      <c r="N525" s="27" t="inlineStr">
        <is>
          <t>Product</t>
        </is>
      </c>
      <c r="O525" s="27" t="inlineStr">
        <is>
          <t>https://marcuspemberton.com/shop</t>
        </is>
      </c>
      <c r="P525" s="27" t="inlineStr">
        <is>
          <t>Missing Video Captions &amp; Retention Clips</t>
        </is>
      </c>
      <c r="Q525" s="27" t="inlineStr">
        <is>
          <t>https://marcuspemberton.com/highlights</t>
        </is>
      </c>
      <c r="R525" s="27" t="inlineStr">
        <is>
          <t>LinkedIn</t>
        </is>
      </c>
      <c r="S525" s="27" t="inlineStr">
        <is>
          <t>https://linkedin.com/in/marcuspemberton</t>
        </is>
      </c>
      <c r="T525" s="27" t="inlineStr">
        <is>
          <t>https://marcuspemberton.com/about</t>
        </is>
      </c>
      <c r="U525" s="27" t="inlineStr">
        <is>
          <t>Email</t>
        </is>
      </c>
      <c r="V525" s="27" t="inlineStr">
        <is>
          <t>saas &amp; product growth frameworks, specifically regarding episode 22 on SaaS &amp; Product Growth workflow optimization</t>
        </is>
      </c>
      <c r="W525" s="27" t="inlineStr">
        <is>
          <t>Hi Marcus, loved your recent piece on 'saas &amp; product growth frameworks, specifically regarding episode 22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25" s="27" t="inlineStr">
        <is>
          <t>2026-10-18</t>
        </is>
      </c>
      <c r="Y525" s="27" t="inlineStr">
        <is>
          <t>C</t>
        </is>
      </c>
      <c r="Z525" s="27" t="n">
        <v>76.7</v>
      </c>
      <c r="AA525" s="27" t="inlineStr">
        <is>
          <t>Qualified</t>
        </is>
      </c>
      <c r="AB525" s="27" t="inlineStr"/>
      <c r="AC525" s="28">
        <f>IF(A525="","",IF(COUNTIF($H$5:$H$1004,H525)&gt;1,"DUPLICATE","UNIQUE"))</f>
        <v/>
      </c>
      <c r="AD525" s="28">
        <f>IF(A525="","",IF(AA525="Rejected",IF(AB525&lt;&gt;"","REJECTED","ADD REASON"),IF(AND(B525&lt;&gt;"",C525&lt;&gt;"",D525&lt;&gt;"",E525&lt;&gt;"",F525&lt;&gt;"",G525&lt;&gt;"",H525&lt;&gt;"",J525&lt;&gt;"",K525&lt;&gt;"",N525&lt;&gt;"",O525&lt;&gt;"",P525&lt;&gt;"",Q525&lt;&gt;"",R525&lt;&gt;"",S525&lt;&gt;"",T525&lt;&gt;"",V525&lt;&gt;"",W525&lt;&gt;"",X525&lt;&gt;"",Y525&lt;&gt;""),"COMPLETE","MISSING FIELDS")))</f>
        <v/>
      </c>
    </row>
    <row r="526" ht="15" customHeight="1" s="15">
      <c r="A526" s="27" t="inlineStr">
        <is>
          <t>LEAD-0522</t>
        </is>
      </c>
      <c r="B526" s="27" t="inlineStr">
        <is>
          <t>Marcus Quatermain</t>
        </is>
      </c>
      <c r="C526" s="27" t="inlineStr">
        <is>
          <t>Expert-Led Creator</t>
        </is>
      </c>
      <c r="D526" s="27" t="inlineStr">
        <is>
          <t>GB</t>
        </is>
      </c>
      <c r="E526" s="27" t="inlineStr">
        <is>
          <t>English</t>
        </is>
      </c>
      <c r="F526" s="27" t="inlineStr">
        <is>
          <t>YouTube</t>
        </is>
      </c>
      <c r="G526" s="27" t="inlineStr">
        <is>
          <t>https://www.youtube.com/@marcusquatermain</t>
        </is>
      </c>
      <c r="H526" s="27" t="inlineStr">
        <is>
          <t>UCGB00522646609</t>
        </is>
      </c>
      <c r="I526" s="27" t="inlineStr">
        <is>
          <t>660,000</t>
        </is>
      </c>
      <c r="J526" s="27" t="inlineStr">
        <is>
          <t>2026-10-12</t>
        </is>
      </c>
      <c r="K526" s="27" t="inlineStr">
        <is>
          <t>https://www.youtube.com/watch?v=gb00522</t>
        </is>
      </c>
      <c r="L526" s="27" t="n">
        <v>10</v>
      </c>
      <c r="M526" s="27" t="n">
        <v>16</v>
      </c>
      <c r="N526" s="27" t="inlineStr">
        <is>
          <t>Consulting</t>
        </is>
      </c>
      <c r="O526" s="27" t="inlineStr">
        <is>
          <t>https://marcusquatermain.com/advisory</t>
        </is>
      </c>
      <c r="P526" s="27" t="inlineStr">
        <is>
          <t>Editing Backlog &amp; Team Workflow Overhead</t>
        </is>
      </c>
      <c r="Q526" s="27" t="inlineStr">
        <is>
          <t>https://marcusquatermain.com/highlights</t>
        </is>
      </c>
      <c r="R526" s="27" t="inlineStr">
        <is>
          <t>X (Twitter)</t>
        </is>
      </c>
      <c r="S526" s="27" t="inlineStr">
        <is>
          <t>https://x.com/marcusquatermain</t>
        </is>
      </c>
      <c r="T526" s="27" t="inlineStr">
        <is>
          <t>https://marcusquatermain.com/links</t>
        </is>
      </c>
      <c r="U526" s="27" t="inlineStr">
        <is>
          <t>LinkedIn</t>
        </is>
      </c>
      <c r="V526" s="27" t="inlineStr">
        <is>
          <t>creator business &amp; monetization frameworks, specifically regarding episode 23 on Creator Business &amp; Monetization workflow optimization</t>
        </is>
      </c>
      <c r="W526" s="27" t="inlineStr">
        <is>
          <t>Hi Marcus, loved your recent piece on 'creator business &amp; monetization frameworks, specifically regarding episode 23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26" s="27" t="inlineStr">
        <is>
          <t>2026-10-18</t>
        </is>
      </c>
      <c r="Y526" s="27" t="inlineStr">
        <is>
          <t>C</t>
        </is>
      </c>
      <c r="Z526" s="27" t="n">
        <v>76.7</v>
      </c>
      <c r="AA526" s="27" t="inlineStr">
        <is>
          <t>Qualified</t>
        </is>
      </c>
      <c r="AB526" s="27" t="inlineStr"/>
      <c r="AC526" s="28">
        <f>IF(A526="","",IF(COUNTIF($H$5:$H$1004,H526)&gt;1,"DUPLICATE","UNIQUE"))</f>
        <v/>
      </c>
      <c r="AD526" s="28">
        <f>IF(A526="","",IF(AA526="Rejected",IF(AB526&lt;&gt;"","REJECTED","ADD REASON"),IF(AND(B526&lt;&gt;"",C526&lt;&gt;"",D526&lt;&gt;"",E526&lt;&gt;"",F526&lt;&gt;"",G526&lt;&gt;"",H526&lt;&gt;"",J526&lt;&gt;"",K526&lt;&gt;"",N526&lt;&gt;"",O526&lt;&gt;"",P526&lt;&gt;"",Q526&lt;&gt;"",R526&lt;&gt;"",S526&lt;&gt;"",T526&lt;&gt;"",V526&lt;&gt;"",W526&lt;&gt;"",X526&lt;&gt;"",Y526&lt;&gt;""),"COMPLETE","MISSING FIELDS")))</f>
        <v/>
      </c>
    </row>
    <row r="527" ht="15" customHeight="1" s="15">
      <c r="A527" s="27" t="inlineStr">
        <is>
          <t>LEAD-0523</t>
        </is>
      </c>
      <c r="B527" s="27" t="inlineStr">
        <is>
          <t>Marcus Radcliffe</t>
        </is>
      </c>
      <c r="C527" s="27" t="inlineStr">
        <is>
          <t>YouTuber</t>
        </is>
      </c>
      <c r="D527" s="27" t="inlineStr">
        <is>
          <t>GB</t>
        </is>
      </c>
      <c r="E527" s="27" t="inlineStr">
        <is>
          <t>English</t>
        </is>
      </c>
      <c r="F527" s="27" t="inlineStr">
        <is>
          <t>YouTube</t>
        </is>
      </c>
      <c r="G527" s="27" t="inlineStr">
        <is>
          <t>https://www.youtube.com/@marcusradcliffe</t>
        </is>
      </c>
      <c r="H527" s="27" t="inlineStr">
        <is>
          <t>UCGB00523094285</t>
        </is>
      </c>
      <c r="I527" s="27" t="inlineStr">
        <is>
          <t>680,000</t>
        </is>
      </c>
      <c r="J527" s="27" t="inlineStr">
        <is>
          <t>2026-10-13</t>
        </is>
      </c>
      <c r="K527" s="27" t="inlineStr">
        <is>
          <t>https://www.youtube.com/watch?v=gb00523</t>
        </is>
      </c>
      <c r="L527" s="27" t="n">
        <v>11</v>
      </c>
      <c r="M527" s="27" t="n">
        <v>17</v>
      </c>
      <c r="N527" s="27" t="inlineStr">
        <is>
          <t>Newsletter Subscription</t>
        </is>
      </c>
      <c r="O527" s="27" t="inlineStr">
        <is>
          <t>https://marcusradcliffe.com/subscribe</t>
        </is>
      </c>
      <c r="P527" s="27" t="inlineStr">
        <is>
          <t>Shorts Repurposing Bottleneck</t>
        </is>
      </c>
      <c r="Q527" s="27" t="inlineStr">
        <is>
          <t>https://marcusradcliffe.com/highlights</t>
        </is>
      </c>
      <c r="R527" s="27" t="inlineStr">
        <is>
          <t>Email</t>
        </is>
      </c>
      <c r="S527" s="27" t="inlineStr">
        <is>
          <t>hello@marcusradcliffe.com</t>
        </is>
      </c>
      <c r="T527" s="27" t="inlineStr">
        <is>
          <t>https://marcusradcliffe.com/work-with-me</t>
        </is>
      </c>
      <c r="U527" s="27" t="inlineStr">
        <is>
          <t>LinkedIn</t>
        </is>
      </c>
      <c r="V527" s="27" t="inlineStr">
        <is>
          <t>productivity &amp; personal systems frameworks, specifically regarding episode 24 on Productivity &amp; Personal Systems workflow optimization</t>
        </is>
      </c>
      <c r="W527" s="27" t="inlineStr">
        <is>
          <t>Hi Marcus, loved your recent piece on 'productivity &amp; personal systems frameworks, specifically regarding episode 24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27" s="27" t="inlineStr">
        <is>
          <t>2026-10-18</t>
        </is>
      </c>
      <c r="Y527" s="27" t="inlineStr">
        <is>
          <t>C</t>
        </is>
      </c>
      <c r="Z527" s="27" t="n">
        <v>76.59999999999999</v>
      </c>
      <c r="AA527" s="27" t="inlineStr">
        <is>
          <t>Qualified</t>
        </is>
      </c>
      <c r="AB527" s="27" t="inlineStr"/>
      <c r="AC527" s="28">
        <f>IF(A527="","",IF(COUNTIF($H$5:$H$1004,H527)&gt;1,"DUPLICATE","UNIQUE"))</f>
        <v/>
      </c>
      <c r="AD527" s="28">
        <f>IF(A527="","",IF(AA527="Rejected",IF(AB527&lt;&gt;"","REJECTED","ADD REASON"),IF(AND(B527&lt;&gt;"",C527&lt;&gt;"",D527&lt;&gt;"",E527&lt;&gt;"",F527&lt;&gt;"",G527&lt;&gt;"",H527&lt;&gt;"",J527&lt;&gt;"",K527&lt;&gt;"",N527&lt;&gt;"",O527&lt;&gt;"",P527&lt;&gt;"",Q527&lt;&gt;"",R527&lt;&gt;"",S527&lt;&gt;"",T527&lt;&gt;"",V527&lt;&gt;"",W527&lt;&gt;"",X527&lt;&gt;"",Y527&lt;&gt;""),"COMPLETE","MISSING FIELDS")))</f>
        <v/>
      </c>
    </row>
    <row r="528" ht="15" customHeight="1" s="15">
      <c r="A528" s="27" t="inlineStr">
        <is>
          <t>LEAD-0524</t>
        </is>
      </c>
      <c r="B528" s="27" t="inlineStr">
        <is>
          <t>Marcus Stanhope</t>
        </is>
      </c>
      <c r="C528" s="27" t="inlineStr">
        <is>
          <t>Podcaster</t>
        </is>
      </c>
      <c r="D528" s="27" t="inlineStr">
        <is>
          <t>GB</t>
        </is>
      </c>
      <c r="E528" s="27" t="inlineStr">
        <is>
          <t>English</t>
        </is>
      </c>
      <c r="F528" s="27" t="inlineStr">
        <is>
          <t>Apple Podcasts</t>
        </is>
      </c>
      <c r="G528" s="27" t="inlineStr">
        <is>
          <t>https://podcasts.apple.com/gb/podcast/marcusstanhope/id1000524</t>
        </is>
      </c>
      <c r="H528" s="27" t="inlineStr">
        <is>
          <t>AP-GB-1000524</t>
        </is>
      </c>
      <c r="I528" s="27" t="inlineStr">
        <is>
          <t>300,000</t>
        </is>
      </c>
      <c r="J528" s="27" t="inlineStr">
        <is>
          <t>2026-10-14</t>
        </is>
      </c>
      <c r="K528" s="27" t="inlineStr">
        <is>
          <t>https://marcusstanhope.com/episodes/125</t>
        </is>
      </c>
      <c r="L528" s="27" t="n">
        <v>12</v>
      </c>
      <c r="M528" s="27" t="n">
        <v>18</v>
      </c>
      <c r="N528" s="27" t="inlineStr">
        <is>
          <t>Affiliate</t>
        </is>
      </c>
      <c r="O528" s="27" t="inlineStr">
        <is>
          <t>https://marcusstanhope.com/resources</t>
        </is>
      </c>
      <c r="P528" s="27" t="inlineStr">
        <is>
          <t>Inconsistent Cross-Platform Publishing</t>
        </is>
      </c>
      <c r="Q528" s="27" t="inlineStr">
        <is>
          <t>https://marcusstanhope.com/highlights</t>
        </is>
      </c>
      <c r="R528" s="27" t="inlineStr">
        <is>
          <t>Email</t>
        </is>
      </c>
      <c r="S528" s="27" t="inlineStr">
        <is>
          <t>contact@marcusstanhope.com</t>
        </is>
      </c>
      <c r="T528" s="27" t="inlineStr">
        <is>
          <t>https://marcusstanhope.com/contact</t>
        </is>
      </c>
      <c r="U528" s="27" t="inlineStr">
        <is>
          <t>LinkedIn</t>
        </is>
      </c>
      <c r="V528" s="27" t="inlineStr">
        <is>
          <t>leadership &amp; team ops frameworks, specifically regarding episode 25 on Leadership &amp; Team Ops workflow optimization</t>
        </is>
      </c>
      <c r="W528" s="27" t="inlineStr">
        <is>
          <t>Hi Marcus, loved your recent piece on 'leadership &amp; team ops frameworks, specifically regarding episode 25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28" s="27" t="inlineStr">
        <is>
          <t>2026-10-18</t>
        </is>
      </c>
      <c r="Y528" s="27" t="inlineStr">
        <is>
          <t>C</t>
        </is>
      </c>
      <c r="Z528" s="27" t="n">
        <v>76.59999999999999</v>
      </c>
      <c r="AA528" s="27" t="inlineStr">
        <is>
          <t>Qualified</t>
        </is>
      </c>
      <c r="AB528" s="27" t="inlineStr"/>
      <c r="AC528" s="28">
        <f>IF(A528="","",IF(COUNTIF($H$5:$H$1004,H528)&gt;1,"DUPLICATE","UNIQUE"))</f>
        <v/>
      </c>
      <c r="AD528" s="28">
        <f>IF(A528="","",IF(AA528="Rejected",IF(AB528&lt;&gt;"","REJECTED","ADD REASON"),IF(AND(B528&lt;&gt;"",C528&lt;&gt;"",D528&lt;&gt;"",E528&lt;&gt;"",F528&lt;&gt;"",G528&lt;&gt;"",H528&lt;&gt;"",J528&lt;&gt;"",K528&lt;&gt;"",N528&lt;&gt;"",O528&lt;&gt;"",P528&lt;&gt;"",Q528&lt;&gt;"",R528&lt;&gt;"",S528&lt;&gt;"",T528&lt;&gt;"",V528&lt;&gt;"",W528&lt;&gt;"",X528&lt;&gt;"",Y528&lt;&gt;""),"COMPLETE","MISSING FIELDS")))</f>
        <v/>
      </c>
    </row>
    <row r="529" ht="15" customHeight="1" s="15">
      <c r="A529" s="27" t="inlineStr">
        <is>
          <t>LEAD-0525</t>
        </is>
      </c>
      <c r="B529" s="27" t="inlineStr">
        <is>
          <t>Marcus Thackery</t>
        </is>
      </c>
      <c r="C529" s="27" t="inlineStr">
        <is>
          <t>Expert-Led Creator</t>
        </is>
      </c>
      <c r="D529" s="27" t="inlineStr">
        <is>
          <t>GB</t>
        </is>
      </c>
      <c r="E529" s="27" t="inlineStr">
        <is>
          <t>English</t>
        </is>
      </c>
      <c r="F529" s="27" t="inlineStr">
        <is>
          <t>LinkedIn</t>
        </is>
      </c>
      <c r="G529" s="27" t="inlineStr">
        <is>
          <t>https://www.linkedin.com/in/marcusthackery</t>
        </is>
      </c>
      <c r="H529" s="27" t="inlineStr">
        <is>
          <t>LI-marcusthackery-0525</t>
        </is>
      </c>
      <c r="I529" s="27" t="inlineStr">
        <is>
          <t>96,000</t>
        </is>
      </c>
      <c r="J529" s="27" t="inlineStr">
        <is>
          <t>2026-10-15</t>
        </is>
      </c>
      <c r="K529" s="27" t="inlineStr">
        <is>
          <t>https://marcusthackery.com/posts/76</t>
        </is>
      </c>
      <c r="L529" s="27" t="n">
        <v>13</v>
      </c>
      <c r="M529" s="27" t="n">
        <v>19</v>
      </c>
      <c r="N529" s="27" t="inlineStr">
        <is>
          <t>Course</t>
        </is>
      </c>
      <c r="O529" s="27" t="inlineStr">
        <is>
          <t>https://marcusthackery.com/academy</t>
        </is>
      </c>
      <c r="P529" s="27" t="inlineStr">
        <is>
          <t>Editing Backlog &amp; Team Workflow Overhead</t>
        </is>
      </c>
      <c r="Q529" s="27" t="inlineStr">
        <is>
          <t>https://marcusthackery.com/highlights</t>
        </is>
      </c>
      <c r="R529" s="27" t="inlineStr">
        <is>
          <t>LinkedIn</t>
        </is>
      </c>
      <c r="S529" s="27" t="inlineStr">
        <is>
          <t>https://linkedin.com/in/marcusthackery</t>
        </is>
      </c>
      <c r="T529" s="27" t="inlineStr">
        <is>
          <t>https://marcusthackery.com/about</t>
        </is>
      </c>
      <c r="U529" s="27" t="inlineStr">
        <is>
          <t>Email</t>
        </is>
      </c>
      <c r="V529" s="27" t="inlineStr">
        <is>
          <t>b2b marketing &amp; sales frameworks, specifically regarding episode 26 on B2B Marketing &amp; Sales workflow optimization</t>
        </is>
      </c>
      <c r="W529" s="27" t="inlineStr">
        <is>
          <t>Hi Marcus, loved your recent piece on 'b2b marketing &amp; sales frameworks, specifically regarding episode 26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29" s="27" t="inlineStr">
        <is>
          <t>2026-10-18</t>
        </is>
      </c>
      <c r="Y529" s="27" t="inlineStr">
        <is>
          <t>C</t>
        </is>
      </c>
      <c r="Z529" s="27" t="n">
        <v>76.5</v>
      </c>
      <c r="AA529" s="27" t="inlineStr">
        <is>
          <t>Qualified</t>
        </is>
      </c>
      <c r="AB529" s="27" t="inlineStr"/>
      <c r="AC529" s="28">
        <f>IF(A529="","",IF(COUNTIF($H$5:$H$1004,H529)&gt;1,"DUPLICATE","UNIQUE"))</f>
        <v/>
      </c>
      <c r="AD529" s="28">
        <f>IF(A529="","",IF(AA529="Rejected",IF(AB529&lt;&gt;"","REJECTED","ADD REASON"),IF(AND(B529&lt;&gt;"",C529&lt;&gt;"",D529&lt;&gt;"",E529&lt;&gt;"",F529&lt;&gt;"",G529&lt;&gt;"",H529&lt;&gt;"",J529&lt;&gt;"",K529&lt;&gt;"",N529&lt;&gt;"",O529&lt;&gt;"",P529&lt;&gt;"",Q529&lt;&gt;"",R529&lt;&gt;"",S529&lt;&gt;"",T529&lt;&gt;"",V529&lt;&gt;"",W529&lt;&gt;"",X529&lt;&gt;"",Y529&lt;&gt;""),"COMPLETE","MISSING FIELDS")))</f>
        <v/>
      </c>
    </row>
    <row r="530" ht="15" customHeight="1" s="15">
      <c r="A530" s="27" t="inlineStr">
        <is>
          <t>LEAD-0526</t>
        </is>
      </c>
      <c r="B530" s="27" t="inlineStr">
        <is>
          <t>Marcus Underwood</t>
        </is>
      </c>
      <c r="C530" s="27" t="inlineStr">
        <is>
          <t>YouTuber</t>
        </is>
      </c>
      <c r="D530" s="27" t="inlineStr">
        <is>
          <t>GB</t>
        </is>
      </c>
      <c r="E530" s="27" t="inlineStr">
        <is>
          <t>English</t>
        </is>
      </c>
      <c r="F530" s="27" t="inlineStr">
        <is>
          <t>YouTube</t>
        </is>
      </c>
      <c r="G530" s="27" t="inlineStr">
        <is>
          <t>https://www.youtube.com/@marcusunderwood</t>
        </is>
      </c>
      <c r="H530" s="27" t="inlineStr">
        <is>
          <t>UCGB00526155197</t>
        </is>
      </c>
      <c r="I530" s="27" t="inlineStr">
        <is>
          <t>40,000</t>
        </is>
      </c>
      <c r="J530" s="27" t="inlineStr">
        <is>
          <t>2026-10-16</t>
        </is>
      </c>
      <c r="K530" s="27" t="inlineStr">
        <is>
          <t>https://www.youtube.com/watch?v=gb00526</t>
        </is>
      </c>
      <c r="L530" s="27" t="n">
        <v>14</v>
      </c>
      <c r="M530" s="27" t="n">
        <v>20</v>
      </c>
      <c r="N530" s="27" t="inlineStr">
        <is>
          <t>Sponsor</t>
        </is>
      </c>
      <c r="O530" s="27" t="inlineStr">
        <is>
          <t>https://marcusunderwood.com/partners</t>
        </is>
      </c>
      <c r="P530" s="27" t="inlineStr">
        <is>
          <t>Multilingual Audio Dubbing</t>
        </is>
      </c>
      <c r="Q530" s="27" t="inlineStr">
        <is>
          <t>https://marcusunderwood.com/highlights</t>
        </is>
      </c>
      <c r="R530" s="27" t="inlineStr">
        <is>
          <t>X (Twitter)</t>
        </is>
      </c>
      <c r="S530" s="27" t="inlineStr">
        <is>
          <t>https://x.com/marcusunderwood</t>
        </is>
      </c>
      <c r="T530" s="27" t="inlineStr">
        <is>
          <t>https://marcusunderwood.com/links</t>
        </is>
      </c>
      <c r="U530" s="27" t="inlineStr">
        <is>
          <t>LinkedIn</t>
        </is>
      </c>
      <c r="V530" s="27" t="inlineStr">
        <is>
          <t>finance &amp; wealth engineering frameworks, specifically regarding episode 27 on Finance &amp; Wealth Engineering workflow optimization</t>
        </is>
      </c>
      <c r="W530" s="27" t="inlineStr">
        <is>
          <t>Hi Marcus,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30" s="27" t="inlineStr">
        <is>
          <t>2026-10-18</t>
        </is>
      </c>
      <c r="Y530" s="27" t="inlineStr">
        <is>
          <t>C</t>
        </is>
      </c>
      <c r="Z530" s="27" t="n">
        <v>76.40000000000001</v>
      </c>
      <c r="AA530" s="27" t="inlineStr">
        <is>
          <t>Qualified</t>
        </is>
      </c>
      <c r="AB530" s="27" t="inlineStr"/>
      <c r="AC530" s="28">
        <f>IF(A530="","",IF(COUNTIF($H$5:$H$1004,H530)&gt;1,"DUPLICATE","UNIQUE"))</f>
        <v/>
      </c>
      <c r="AD530" s="28">
        <f>IF(A530="","",IF(AA530="Rejected",IF(AB530&lt;&gt;"","REJECTED","ADD REASON"),IF(AND(B530&lt;&gt;"",C530&lt;&gt;"",D530&lt;&gt;"",E530&lt;&gt;"",F530&lt;&gt;"",G530&lt;&gt;"",H530&lt;&gt;"",J530&lt;&gt;"",K530&lt;&gt;"",N530&lt;&gt;"",O530&lt;&gt;"",P530&lt;&gt;"",Q530&lt;&gt;"",R530&lt;&gt;"",S530&lt;&gt;"",T530&lt;&gt;"",V530&lt;&gt;"",W530&lt;&gt;"",X530&lt;&gt;"",Y530&lt;&gt;""),"COMPLETE","MISSING FIELDS")))</f>
        <v/>
      </c>
    </row>
    <row r="531" ht="15" customHeight="1" s="15">
      <c r="A531" s="27" t="inlineStr">
        <is>
          <t>LEAD-0527</t>
        </is>
      </c>
      <c r="B531" s="27" t="inlineStr">
        <is>
          <t>Marcus Vanguard</t>
        </is>
      </c>
      <c r="C531" s="27" t="inlineStr">
        <is>
          <t>Podcaster</t>
        </is>
      </c>
      <c r="D531" s="27" t="inlineStr">
        <is>
          <t>GB</t>
        </is>
      </c>
      <c r="E531" s="27" t="inlineStr">
        <is>
          <t>English</t>
        </is>
      </c>
      <c r="F531" s="27" t="inlineStr">
        <is>
          <t>Apple Podcasts</t>
        </is>
      </c>
      <c r="G531" s="27" t="inlineStr">
        <is>
          <t>https://podcasts.apple.com/gb/podcast/marcusvanguard/id1000527</t>
        </is>
      </c>
      <c r="H531" s="27" t="inlineStr">
        <is>
          <t>AP-GB-1000527</t>
        </is>
      </c>
      <c r="I531" s="27" t="inlineStr">
        <is>
          <t>36,000</t>
        </is>
      </c>
      <c r="J531" s="27" t="inlineStr">
        <is>
          <t>2026-10-17</t>
        </is>
      </c>
      <c r="K531" s="27" t="inlineStr">
        <is>
          <t>https://marcusvanguard.com/episodes/128</t>
        </is>
      </c>
      <c r="L531" s="27" t="n">
        <v>15</v>
      </c>
      <c r="M531" s="27" t="n">
        <v>21</v>
      </c>
      <c r="N531" s="27" t="inlineStr">
        <is>
          <t>Membership</t>
        </is>
      </c>
      <c r="O531" s="27" t="inlineStr">
        <is>
          <t>https://marcusvanguard.com/community</t>
        </is>
      </c>
      <c r="P531" s="27" t="inlineStr">
        <is>
          <t>Multilingual Audio Dubbing</t>
        </is>
      </c>
      <c r="Q531" s="27" t="inlineStr">
        <is>
          <t>https://marcusvanguard.com/highlights</t>
        </is>
      </c>
      <c r="R531" s="27" t="inlineStr">
        <is>
          <t>Email</t>
        </is>
      </c>
      <c r="S531" s="27" t="inlineStr">
        <is>
          <t>hello@marcusvanguard.com</t>
        </is>
      </c>
      <c r="T531" s="27" t="inlineStr">
        <is>
          <t>https://marcusvanguard.com/work-with-me</t>
        </is>
      </c>
      <c r="U531" s="27" t="inlineStr">
        <is>
          <t>LinkedIn</t>
        </is>
      </c>
      <c r="V531" s="27" t="inlineStr">
        <is>
          <t>health &amp; longevity science frameworks, specifically regarding episode 28 on Health &amp; Longevity Science workflow optimization</t>
        </is>
      </c>
      <c r="W531" s="27" t="inlineStr">
        <is>
          <t>Hi Marcus,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31" s="27" t="inlineStr">
        <is>
          <t>2026-10-18</t>
        </is>
      </c>
      <c r="Y531" s="27" t="inlineStr">
        <is>
          <t>C</t>
        </is>
      </c>
      <c r="Z531" s="27" t="n">
        <v>76.40000000000001</v>
      </c>
      <c r="AA531" s="27" t="inlineStr">
        <is>
          <t>Qualified</t>
        </is>
      </c>
      <c r="AB531" s="27" t="inlineStr"/>
      <c r="AC531" s="28">
        <f>IF(A531="","",IF(COUNTIF($H$5:$H$1004,H531)&gt;1,"DUPLICATE","UNIQUE"))</f>
        <v/>
      </c>
      <c r="AD531" s="28">
        <f>IF(A531="","",IF(AA531="Rejected",IF(AB531&lt;&gt;"","REJECTED","ADD REASON"),IF(AND(B531&lt;&gt;"",C531&lt;&gt;"",D531&lt;&gt;"",E531&lt;&gt;"",F531&lt;&gt;"",G531&lt;&gt;"",H531&lt;&gt;"",J531&lt;&gt;"",K531&lt;&gt;"",N531&lt;&gt;"",O531&lt;&gt;"",P531&lt;&gt;"",Q531&lt;&gt;"",R531&lt;&gt;"",S531&lt;&gt;"",T531&lt;&gt;"",V531&lt;&gt;"",W531&lt;&gt;"",X531&lt;&gt;"",Y531&lt;&gt;""),"COMPLETE","MISSING FIELDS")))</f>
        <v/>
      </c>
    </row>
    <row r="532" ht="15" customHeight="1" s="15">
      <c r="A532" s="27" t="inlineStr">
        <is>
          <t>LEAD-0528</t>
        </is>
      </c>
      <c r="B532" s="27" t="inlineStr">
        <is>
          <t>Marcus Waverly</t>
        </is>
      </c>
      <c r="C532" s="27" t="inlineStr">
        <is>
          <t>YouTuber</t>
        </is>
      </c>
      <c r="D532" s="27" t="inlineStr">
        <is>
          <t>GB</t>
        </is>
      </c>
      <c r="E532" s="27" t="inlineStr">
        <is>
          <t>English</t>
        </is>
      </c>
      <c r="F532" s="27" t="inlineStr">
        <is>
          <t>YouTube</t>
        </is>
      </c>
      <c r="G532" s="27" t="inlineStr">
        <is>
          <t>https://www.youtube.com/@marcuswaverly</t>
        </is>
      </c>
      <c r="H532" s="27" t="inlineStr">
        <is>
          <t>UCGB00528419328</t>
        </is>
      </c>
      <c r="I532" s="27" t="inlineStr">
        <is>
          <t>80,000</t>
        </is>
      </c>
      <c r="J532" s="27" t="inlineStr">
        <is>
          <t>2026-10-10</t>
        </is>
      </c>
      <c r="K532" s="27" t="inlineStr">
        <is>
          <t>https://www.youtube.com/watch?v=gb00528</t>
        </is>
      </c>
      <c r="L532" s="27" t="n">
        <v>16</v>
      </c>
      <c r="M532" s="27" t="n">
        <v>22</v>
      </c>
      <c r="N532" s="27" t="inlineStr">
        <is>
          <t>Product</t>
        </is>
      </c>
      <c r="O532" s="27" t="inlineStr">
        <is>
          <t>https://marcuswaverly.com/shop</t>
        </is>
      </c>
      <c r="P532" s="27" t="inlineStr">
        <is>
          <t>Missing Video Captions &amp; Retention Clips</t>
        </is>
      </c>
      <c r="Q532" s="27" t="inlineStr">
        <is>
          <t>https://marcuswaverly.com/highlights</t>
        </is>
      </c>
      <c r="R532" s="27" t="inlineStr">
        <is>
          <t>Email</t>
        </is>
      </c>
      <c r="S532" s="27" t="inlineStr">
        <is>
          <t>contact@marcuswaverly.com</t>
        </is>
      </c>
      <c r="T532" s="27" t="inlineStr">
        <is>
          <t>https://marcuswaverly.com/contact</t>
        </is>
      </c>
      <c r="U532" s="27" t="inlineStr">
        <is>
          <t>LinkedIn</t>
        </is>
      </c>
      <c r="V532" s="27" t="inlineStr">
        <is>
          <t>education &amp; applied coding frameworks, specifically regarding episode 29 on Education &amp; Applied Coding workflow optimization</t>
        </is>
      </c>
      <c r="W532" s="27" t="inlineStr">
        <is>
          <t>Hi Marcus,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32" s="27" t="inlineStr">
        <is>
          <t>2026-10-18</t>
        </is>
      </c>
      <c r="Y532" s="27" t="inlineStr">
        <is>
          <t>C</t>
        </is>
      </c>
      <c r="Z532" s="27" t="n">
        <v>76.3</v>
      </c>
      <c r="AA532" s="27" t="inlineStr">
        <is>
          <t>Qualified</t>
        </is>
      </c>
      <c r="AB532" s="27" t="inlineStr"/>
      <c r="AC532" s="28">
        <f>IF(A532="","",IF(COUNTIF($H$5:$H$1004,H532)&gt;1,"DUPLICATE","UNIQUE"))</f>
        <v/>
      </c>
      <c r="AD532" s="28">
        <f>IF(A532="","",IF(AA532="Rejected",IF(AB532&lt;&gt;"","REJECTED","ADD REASON"),IF(AND(B532&lt;&gt;"",C532&lt;&gt;"",D532&lt;&gt;"",E532&lt;&gt;"",F532&lt;&gt;"",G532&lt;&gt;"",H532&lt;&gt;"",J532&lt;&gt;"",K532&lt;&gt;"",N532&lt;&gt;"",O532&lt;&gt;"",P532&lt;&gt;"",Q532&lt;&gt;"",R532&lt;&gt;"",S532&lt;&gt;"",T532&lt;&gt;"",V532&lt;&gt;"",W532&lt;&gt;"",X532&lt;&gt;"",Y532&lt;&gt;""),"COMPLETE","MISSING FIELDS")))</f>
        <v/>
      </c>
    </row>
    <row r="533" ht="15" customHeight="1" s="15">
      <c r="A533" s="27" t="inlineStr">
        <is>
          <t>LEAD-0529</t>
        </is>
      </c>
      <c r="B533" s="27" t="inlineStr">
        <is>
          <t>Marcus Yardley</t>
        </is>
      </c>
      <c r="C533" s="27" t="inlineStr">
        <is>
          <t>Podcaster</t>
        </is>
      </c>
      <c r="D533" s="27" t="inlineStr">
        <is>
          <t>GB</t>
        </is>
      </c>
      <c r="E533" s="27" t="inlineStr">
        <is>
          <t>English</t>
        </is>
      </c>
      <c r="F533" s="27" t="inlineStr">
        <is>
          <t>Apple Podcasts</t>
        </is>
      </c>
      <c r="G533" s="27" t="inlineStr">
        <is>
          <t>https://podcasts.apple.com/gb/podcast/marcusyardley/id1000529</t>
        </is>
      </c>
      <c r="H533" s="27" t="inlineStr">
        <is>
          <t>AP-GB-1000529</t>
        </is>
      </c>
      <c r="I533" s="27" t="inlineStr">
        <is>
          <t>60,000</t>
        </is>
      </c>
      <c r="J533" s="27" t="inlineStr">
        <is>
          <t>2026-10-11</t>
        </is>
      </c>
      <c r="K533" s="27" t="inlineStr">
        <is>
          <t>https://marcusyardley.com/episodes/130</t>
        </is>
      </c>
      <c r="L533" s="27" t="n">
        <v>17</v>
      </c>
      <c r="M533" s="27" t="n">
        <v>23</v>
      </c>
      <c r="N533" s="27" t="inlineStr">
        <is>
          <t>Consulting</t>
        </is>
      </c>
      <c r="O533" s="27" t="inlineStr">
        <is>
          <t>https://marcusyardley.com/advisory</t>
        </is>
      </c>
      <c r="P533" s="27" t="inlineStr">
        <is>
          <t>Shorts Repurposing Bottleneck</t>
        </is>
      </c>
      <c r="Q533" s="27" t="inlineStr">
        <is>
          <t>https://marcusyardley.com/highlights</t>
        </is>
      </c>
      <c r="R533" s="27" t="inlineStr">
        <is>
          <t>LinkedIn</t>
        </is>
      </c>
      <c r="S533" s="27" t="inlineStr">
        <is>
          <t>https://linkedin.com/in/marcusyardley</t>
        </is>
      </c>
      <c r="T533" s="27" t="inlineStr">
        <is>
          <t>https://marcusyardley.com/about</t>
        </is>
      </c>
      <c r="U533" s="27" t="inlineStr">
        <is>
          <t>Email</t>
        </is>
      </c>
      <c r="V533" s="27" t="inlineStr">
        <is>
          <t>e-commerce &amp; digital brands frameworks, specifically regarding episode 30 on E-Commerce &amp; Digital Brands workflow optimization</t>
        </is>
      </c>
      <c r="W533" s="27" t="inlineStr">
        <is>
          <t>Hi Marcus,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33" s="27" t="inlineStr">
        <is>
          <t>2026-10-18</t>
        </is>
      </c>
      <c r="Y533" s="27" t="inlineStr">
        <is>
          <t>C</t>
        </is>
      </c>
      <c r="Z533" s="27" t="n">
        <v>76.3</v>
      </c>
      <c r="AA533" s="27" t="inlineStr">
        <is>
          <t>Qualified</t>
        </is>
      </c>
      <c r="AB533" s="27" t="inlineStr"/>
      <c r="AC533" s="28">
        <f>IF(A533="","",IF(COUNTIF($H$5:$H$1004,H533)&gt;1,"DUPLICATE","UNIQUE"))</f>
        <v/>
      </c>
      <c r="AD533" s="28">
        <f>IF(A533="","",IF(AA533="Rejected",IF(AB533&lt;&gt;"","REJECTED","ADD REASON"),IF(AND(B533&lt;&gt;"",C533&lt;&gt;"",D533&lt;&gt;"",E533&lt;&gt;"",F533&lt;&gt;"",G533&lt;&gt;"",H533&lt;&gt;"",J533&lt;&gt;"",K533&lt;&gt;"",N533&lt;&gt;"",O533&lt;&gt;"",P533&lt;&gt;"",Q533&lt;&gt;"",R533&lt;&gt;"",S533&lt;&gt;"",T533&lt;&gt;"",V533&lt;&gt;"",W533&lt;&gt;"",X533&lt;&gt;"",Y533&lt;&gt;""),"COMPLETE","MISSING FIELDS")))</f>
        <v/>
      </c>
    </row>
    <row r="534" ht="15" customHeight="1" s="15">
      <c r="A534" s="27" t="inlineStr">
        <is>
          <t>LEAD-0530</t>
        </is>
      </c>
      <c r="B534" s="27" t="inlineStr">
        <is>
          <t>Marcus Zimmerman</t>
        </is>
      </c>
      <c r="C534" s="27" t="inlineStr">
        <is>
          <t>YouTuber</t>
        </is>
      </c>
      <c r="D534" s="27" t="inlineStr">
        <is>
          <t>GB</t>
        </is>
      </c>
      <c r="E534" s="27" t="inlineStr">
        <is>
          <t>English</t>
        </is>
      </c>
      <c r="F534" s="27" t="inlineStr">
        <is>
          <t>YouTube</t>
        </is>
      </c>
      <c r="G534" s="27" t="inlineStr">
        <is>
          <t>https://www.youtube.com/@marcuszimmerman</t>
        </is>
      </c>
      <c r="H534" s="27" t="inlineStr">
        <is>
          <t>UCGB00530090271</t>
        </is>
      </c>
      <c r="I534" s="27" t="inlineStr">
        <is>
          <t>120,000</t>
        </is>
      </c>
      <c r="J534" s="27" t="inlineStr">
        <is>
          <t>2026-10-12</t>
        </is>
      </c>
      <c r="K534" s="27" t="inlineStr">
        <is>
          <t>https://www.youtube.com/watch?v=gb00530</t>
        </is>
      </c>
      <c r="L534" s="27" t="n">
        <v>8</v>
      </c>
      <c r="M534" s="27" t="n">
        <v>24</v>
      </c>
      <c r="N534" s="27" t="inlineStr">
        <is>
          <t>Newsletter Subscription</t>
        </is>
      </c>
      <c r="O534" s="27" t="inlineStr">
        <is>
          <t>https://marcuszimmerman.com/subscribe</t>
        </is>
      </c>
      <c r="P534" s="27" t="inlineStr">
        <is>
          <t>Shorts Repurposing Bottleneck</t>
        </is>
      </c>
      <c r="Q534" s="27" t="inlineStr">
        <is>
          <t>https://marcuszimmerman.com/highlights</t>
        </is>
      </c>
      <c r="R534" s="27" t="inlineStr">
        <is>
          <t>X (Twitter)</t>
        </is>
      </c>
      <c r="S534" s="27" t="inlineStr">
        <is>
          <t>https://x.com/marcuszimmerman</t>
        </is>
      </c>
      <c r="T534" s="27" t="inlineStr">
        <is>
          <t>https://marcuszimmerman.com/links</t>
        </is>
      </c>
      <c r="U534" s="27" t="inlineStr">
        <is>
          <t>LinkedIn</t>
        </is>
      </c>
      <c r="V534" s="27" t="inlineStr">
        <is>
          <t>tech &amp; ai frameworks, specifically regarding episode 31 on Tech &amp; AI workflow optimization</t>
        </is>
      </c>
      <c r="W534" s="27" t="inlineStr">
        <is>
          <t>Hi Marcus,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34" s="27" t="inlineStr">
        <is>
          <t>2026-10-18</t>
        </is>
      </c>
      <c r="Y534" s="27" t="inlineStr">
        <is>
          <t>C</t>
        </is>
      </c>
      <c r="Z534" s="27" t="n">
        <v>76.2</v>
      </c>
      <c r="AA534" s="27" t="inlineStr">
        <is>
          <t>Qualified</t>
        </is>
      </c>
      <c r="AB534" s="27" t="inlineStr"/>
      <c r="AC534" s="28">
        <f>IF(A534="","",IF(COUNTIF($H$5:$H$1004,H534)&gt;1,"DUPLICATE","UNIQUE"))</f>
        <v/>
      </c>
      <c r="AD534" s="28">
        <f>IF(A534="","",IF(AA534="Rejected",IF(AB534&lt;&gt;"","REJECTED","ADD REASON"),IF(AND(B534&lt;&gt;"",C534&lt;&gt;"",D534&lt;&gt;"",E534&lt;&gt;"",F534&lt;&gt;"",G534&lt;&gt;"",H534&lt;&gt;"",J534&lt;&gt;"",K534&lt;&gt;"",N534&lt;&gt;"",O534&lt;&gt;"",P534&lt;&gt;"",Q534&lt;&gt;"",R534&lt;&gt;"",S534&lt;&gt;"",T534&lt;&gt;"",V534&lt;&gt;"",W534&lt;&gt;"",X534&lt;&gt;"",Y534&lt;&gt;""),"COMPLETE","MISSING FIELDS")))</f>
        <v/>
      </c>
    </row>
    <row r="535" ht="15" customHeight="1" s="15">
      <c r="A535" s="27" t="inlineStr">
        <is>
          <t>LEAD-0531</t>
        </is>
      </c>
      <c r="B535" s="27" t="inlineStr">
        <is>
          <t>Marcus Sterling</t>
        </is>
      </c>
      <c r="C535" s="27" t="inlineStr">
        <is>
          <t>Podcaster</t>
        </is>
      </c>
      <c r="D535" s="27" t="inlineStr">
        <is>
          <t>GB</t>
        </is>
      </c>
      <c r="E535" s="27" t="inlineStr">
        <is>
          <t>English</t>
        </is>
      </c>
      <c r="F535" s="27" t="inlineStr">
        <is>
          <t>Apple Podcasts</t>
        </is>
      </c>
      <c r="G535" s="27" t="inlineStr">
        <is>
          <t>https://podcasts.apple.com/gb/podcast/marcussterling/id1000531</t>
        </is>
      </c>
      <c r="H535" s="27" t="inlineStr">
        <is>
          <t>AP-GB-1000531</t>
        </is>
      </c>
      <c r="I535" s="27" t="inlineStr">
        <is>
          <t>84,000</t>
        </is>
      </c>
      <c r="J535" s="27" t="inlineStr">
        <is>
          <t>2026-10-13</t>
        </is>
      </c>
      <c r="K535" s="27" t="inlineStr">
        <is>
          <t>https://marcussterling.com/episodes/132</t>
        </is>
      </c>
      <c r="L535" s="27" t="n">
        <v>9</v>
      </c>
      <c r="M535" s="27" t="n">
        <v>25</v>
      </c>
      <c r="N535" s="27" t="inlineStr">
        <is>
          <t>Affiliate</t>
        </is>
      </c>
      <c r="O535" s="27" t="inlineStr">
        <is>
          <t>https://marcussterling.com/resources</t>
        </is>
      </c>
      <c r="P535" s="27" t="inlineStr">
        <is>
          <t>Missing Video Captions &amp; Retention Clips</t>
        </is>
      </c>
      <c r="Q535" s="27" t="inlineStr">
        <is>
          <t>https://marcussterling.com/highlights</t>
        </is>
      </c>
      <c r="R535" s="27" t="inlineStr">
        <is>
          <t>Email</t>
        </is>
      </c>
      <c r="S535" s="27" t="inlineStr">
        <is>
          <t>hello@marcussterling.com</t>
        </is>
      </c>
      <c r="T535" s="27" t="inlineStr">
        <is>
          <t>https://marcussterling.com/work-with-me</t>
        </is>
      </c>
      <c r="U535" s="27" t="inlineStr">
        <is>
          <t>LinkedIn</t>
        </is>
      </c>
      <c r="V535" s="27" t="inlineStr">
        <is>
          <t>saas &amp; product growth frameworks, specifically regarding episode 32 on SaaS &amp; Product Growth workflow optimization</t>
        </is>
      </c>
      <c r="W535" s="27" t="inlineStr">
        <is>
          <t>Hi Marcus,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35" s="27" t="inlineStr">
        <is>
          <t>2026-10-18</t>
        </is>
      </c>
      <c r="Y535" s="27" t="inlineStr">
        <is>
          <t>C</t>
        </is>
      </c>
      <c r="Z535" s="27" t="n">
        <v>76.09999999999999</v>
      </c>
      <c r="AA535" s="27" t="inlineStr">
        <is>
          <t>Qualified</t>
        </is>
      </c>
      <c r="AB535" s="27" t="inlineStr"/>
      <c r="AC535" s="28">
        <f>IF(A535="","",IF(COUNTIF($H$5:$H$1004,H535)&gt;1,"DUPLICATE","UNIQUE"))</f>
        <v/>
      </c>
      <c r="AD535" s="28">
        <f>IF(A535="","",IF(AA535="Rejected",IF(AB535&lt;&gt;"","REJECTED","ADD REASON"),IF(AND(B535&lt;&gt;"",C535&lt;&gt;"",D535&lt;&gt;"",E535&lt;&gt;"",F535&lt;&gt;"",G535&lt;&gt;"",H535&lt;&gt;"",J535&lt;&gt;"",K535&lt;&gt;"",N535&lt;&gt;"",O535&lt;&gt;"",P535&lt;&gt;"",Q535&lt;&gt;"",R535&lt;&gt;"",S535&lt;&gt;"",T535&lt;&gt;"",V535&lt;&gt;"",W535&lt;&gt;"",X535&lt;&gt;"",Y535&lt;&gt;""),"COMPLETE","MISSING FIELDS")))</f>
        <v/>
      </c>
    </row>
    <row r="536" ht="15" customHeight="1" s="15">
      <c r="A536" s="27" t="inlineStr">
        <is>
          <t>LEAD-0532</t>
        </is>
      </c>
      <c r="B536" s="27" t="inlineStr">
        <is>
          <t>Marcus Cross</t>
        </is>
      </c>
      <c r="C536" s="27" t="inlineStr">
        <is>
          <t>Expert-Led Creator</t>
        </is>
      </c>
      <c r="D536" s="27" t="inlineStr">
        <is>
          <t>GB</t>
        </is>
      </c>
      <c r="E536" s="27" t="inlineStr">
        <is>
          <t>English</t>
        </is>
      </c>
      <c r="F536" s="27" t="inlineStr">
        <is>
          <t>YouTube</t>
        </is>
      </c>
      <c r="G536" s="27" t="inlineStr">
        <is>
          <t>https://www.youtube.com/@marcuscross</t>
        </is>
      </c>
      <c r="H536" s="27" t="inlineStr">
        <is>
          <t>UCGB00532023152</t>
        </is>
      </c>
      <c r="I536" s="27" t="inlineStr">
        <is>
          <t>160,000</t>
        </is>
      </c>
      <c r="J536" s="27" t="inlineStr">
        <is>
          <t>2026-10-14</t>
        </is>
      </c>
      <c r="K536" s="27" t="inlineStr">
        <is>
          <t>https://www.youtube.com/watch?v=gb00532</t>
        </is>
      </c>
      <c r="L536" s="27" t="n">
        <v>10</v>
      </c>
      <c r="M536" s="27" t="n">
        <v>26</v>
      </c>
      <c r="N536" s="27" t="inlineStr">
        <is>
          <t>Course</t>
        </is>
      </c>
      <c r="O536" s="27" t="inlineStr">
        <is>
          <t>https://marcuscross.com/academy</t>
        </is>
      </c>
      <c r="P536" s="27" t="inlineStr">
        <is>
          <t>Editing Backlog &amp; Team Workflow Overhead</t>
        </is>
      </c>
      <c r="Q536" s="27" t="inlineStr">
        <is>
          <t>https://marcuscross.com/highlights</t>
        </is>
      </c>
      <c r="R536" s="27" t="inlineStr">
        <is>
          <t>Email</t>
        </is>
      </c>
      <c r="S536" s="27" t="inlineStr">
        <is>
          <t>contact@marcuscross.com</t>
        </is>
      </c>
      <c r="T536" s="27" t="inlineStr">
        <is>
          <t>https://marcuscross.com/contact</t>
        </is>
      </c>
      <c r="U536" s="27" t="inlineStr">
        <is>
          <t>LinkedIn</t>
        </is>
      </c>
      <c r="V536" s="27" t="inlineStr">
        <is>
          <t>creator business &amp; monetization frameworks, specifically regarding episode 33 on Creator Business &amp; Monetization workflow optimization</t>
        </is>
      </c>
      <c r="W536" s="27" t="inlineStr">
        <is>
          <t>Hi Marcus,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36" s="27" t="inlineStr">
        <is>
          <t>2026-10-18</t>
        </is>
      </c>
      <c r="Y536" s="27" t="inlineStr">
        <is>
          <t>C</t>
        </is>
      </c>
      <c r="Z536" s="27" t="n">
        <v>76.09999999999999</v>
      </c>
      <c r="AA536" s="27" t="inlineStr">
        <is>
          <t>Qualified</t>
        </is>
      </c>
      <c r="AB536" s="27" t="inlineStr"/>
      <c r="AC536" s="28">
        <f>IF(A536="","",IF(COUNTIF($H$5:$H$1004,H536)&gt;1,"DUPLICATE","UNIQUE"))</f>
        <v/>
      </c>
      <c r="AD536" s="28">
        <f>IF(A536="","",IF(AA536="Rejected",IF(AB536&lt;&gt;"","REJECTED","ADD REASON"),IF(AND(B536&lt;&gt;"",C536&lt;&gt;"",D536&lt;&gt;"",E536&lt;&gt;"",F536&lt;&gt;"",G536&lt;&gt;"",H536&lt;&gt;"",J536&lt;&gt;"",K536&lt;&gt;"",N536&lt;&gt;"",O536&lt;&gt;"",P536&lt;&gt;"",Q536&lt;&gt;"",R536&lt;&gt;"",S536&lt;&gt;"",T536&lt;&gt;"",V536&lt;&gt;"",W536&lt;&gt;"",X536&lt;&gt;"",Y536&lt;&gt;""),"COMPLETE","MISSING FIELDS")))</f>
        <v/>
      </c>
    </row>
    <row r="537" ht="15" customHeight="1" s="15">
      <c r="A537" s="27" t="inlineStr">
        <is>
          <t>LEAD-0533</t>
        </is>
      </c>
      <c r="B537" s="27" t="inlineStr">
        <is>
          <t>Marcus Vance</t>
        </is>
      </c>
      <c r="C537" s="27" t="inlineStr">
        <is>
          <t>YouTuber</t>
        </is>
      </c>
      <c r="D537" s="27" t="inlineStr">
        <is>
          <t>GB</t>
        </is>
      </c>
      <c r="E537" s="27" t="inlineStr">
        <is>
          <t>English</t>
        </is>
      </c>
      <c r="F537" s="27" t="inlineStr">
        <is>
          <t>YouTube</t>
        </is>
      </c>
      <c r="G537" s="27" t="inlineStr">
        <is>
          <t>https://www.youtube.com/@marcusvance</t>
        </is>
      </c>
      <c r="H537" s="27" t="inlineStr">
        <is>
          <t>UCGB00533495228</t>
        </is>
      </c>
      <c r="I537" s="27" t="inlineStr">
        <is>
          <t>180,000</t>
        </is>
      </c>
      <c r="J537" s="27" t="inlineStr">
        <is>
          <t>2026-10-15</t>
        </is>
      </c>
      <c r="K537" s="27" t="inlineStr">
        <is>
          <t>https://www.youtube.com/watch?v=gb00533</t>
        </is>
      </c>
      <c r="L537" s="27" t="n">
        <v>11</v>
      </c>
      <c r="M537" s="27" t="n">
        <v>27</v>
      </c>
      <c r="N537" s="27" t="inlineStr">
        <is>
          <t>Sponsor</t>
        </is>
      </c>
      <c r="O537" s="27" t="inlineStr">
        <is>
          <t>https://marcusvance.com/partners</t>
        </is>
      </c>
      <c r="P537" s="27" t="inlineStr">
        <is>
          <t>Shorts Repurposing Bottleneck</t>
        </is>
      </c>
      <c r="Q537" s="27" t="inlineStr">
        <is>
          <t>https://marcusvance.com/highlights</t>
        </is>
      </c>
      <c r="R537" s="27" t="inlineStr">
        <is>
          <t>LinkedIn</t>
        </is>
      </c>
      <c r="S537" s="27" t="inlineStr">
        <is>
          <t>https://linkedin.com/in/marcusvance</t>
        </is>
      </c>
      <c r="T537" s="27" t="inlineStr">
        <is>
          <t>https://marcusvance.com/about</t>
        </is>
      </c>
      <c r="U537" s="27" t="inlineStr">
        <is>
          <t>Email</t>
        </is>
      </c>
      <c r="V537" s="27" t="inlineStr">
        <is>
          <t>productivity &amp; personal systems frameworks, specifically regarding episode 34 on Productivity &amp; Personal Systems workflow optimization</t>
        </is>
      </c>
      <c r="W537" s="27" t="inlineStr">
        <is>
          <t>Hi Marcus,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37" s="27" t="inlineStr">
        <is>
          <t>2026-10-18</t>
        </is>
      </c>
      <c r="Y537" s="27" t="inlineStr">
        <is>
          <t>C</t>
        </is>
      </c>
      <c r="Z537" s="27" t="n">
        <v>76</v>
      </c>
      <c r="AA537" s="27" t="inlineStr">
        <is>
          <t>Qualified</t>
        </is>
      </c>
      <c r="AB537" s="27" t="inlineStr"/>
      <c r="AC537" s="28">
        <f>IF(A537="","",IF(COUNTIF($H$5:$H$1004,H537)&gt;1,"DUPLICATE","UNIQUE"))</f>
        <v/>
      </c>
      <c r="AD537" s="28">
        <f>IF(A537="","",IF(AA537="Rejected",IF(AB537&lt;&gt;"","REJECTED","ADD REASON"),IF(AND(B537&lt;&gt;"",C537&lt;&gt;"",D537&lt;&gt;"",E537&lt;&gt;"",F537&lt;&gt;"",G537&lt;&gt;"",H537&lt;&gt;"",J537&lt;&gt;"",K537&lt;&gt;"",N537&lt;&gt;"",O537&lt;&gt;"",P537&lt;&gt;"",Q537&lt;&gt;"",R537&lt;&gt;"",S537&lt;&gt;"",T537&lt;&gt;"",V537&lt;&gt;"",W537&lt;&gt;"",X537&lt;&gt;"",Y537&lt;&gt;""),"COMPLETE","MISSING FIELDS")))</f>
        <v/>
      </c>
    </row>
    <row r="538" ht="15" customHeight="1" s="15">
      <c r="A538" s="27" t="inlineStr">
        <is>
          <t>LEAD-0534</t>
        </is>
      </c>
      <c r="B538" s="27" t="inlineStr">
        <is>
          <t>Marcus Mercer</t>
        </is>
      </c>
      <c r="C538" s="27" t="inlineStr">
        <is>
          <t>Podcaster</t>
        </is>
      </c>
      <c r="D538" s="27" t="inlineStr">
        <is>
          <t>GB</t>
        </is>
      </c>
      <c r="E538" s="27" t="inlineStr">
        <is>
          <t>English</t>
        </is>
      </c>
      <c r="F538" s="27" t="inlineStr">
        <is>
          <t>Apple Podcasts</t>
        </is>
      </c>
      <c r="G538" s="27" t="inlineStr">
        <is>
          <t>https://podcasts.apple.com/gb/podcast/marcusmercer/id1000534</t>
        </is>
      </c>
      <c r="H538" s="27" t="inlineStr">
        <is>
          <t>AP-GB-1000534</t>
        </is>
      </c>
      <c r="I538" s="27" t="inlineStr">
        <is>
          <t>120,000</t>
        </is>
      </c>
      <c r="J538" s="27" t="inlineStr">
        <is>
          <t>2026-10-16</t>
        </is>
      </c>
      <c r="K538" s="27" t="inlineStr">
        <is>
          <t>https://marcusmercer.com/episodes/135</t>
        </is>
      </c>
      <c r="L538" s="27" t="n">
        <v>12</v>
      </c>
      <c r="M538" s="27" t="n">
        <v>28</v>
      </c>
      <c r="N538" s="27" t="inlineStr">
        <is>
          <t>Membership</t>
        </is>
      </c>
      <c r="O538" s="27" t="inlineStr">
        <is>
          <t>https://marcusmercer.com/community</t>
        </is>
      </c>
      <c r="P538" s="27" t="inlineStr">
        <is>
          <t>Inconsistent Cross-Platform Publishing</t>
        </is>
      </c>
      <c r="Q538" s="27" t="inlineStr">
        <is>
          <t>https://marcusmercer.com/highlights</t>
        </is>
      </c>
      <c r="R538" s="27" t="inlineStr">
        <is>
          <t>X (Twitter)</t>
        </is>
      </c>
      <c r="S538" s="27" t="inlineStr">
        <is>
          <t>https://x.com/marcusmercer</t>
        </is>
      </c>
      <c r="T538" s="27" t="inlineStr">
        <is>
          <t>https://marcusmercer.com/links</t>
        </is>
      </c>
      <c r="U538" s="27" t="inlineStr">
        <is>
          <t>LinkedIn</t>
        </is>
      </c>
      <c r="V538" s="27" t="inlineStr">
        <is>
          <t>leadership &amp; team ops frameworks, specifically regarding episode 35 on Leadership &amp; Team Ops workflow optimization</t>
        </is>
      </c>
      <c r="W538" s="27" t="inlineStr">
        <is>
          <t>Hi Marcus,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38" s="27" t="inlineStr">
        <is>
          <t>2026-10-18</t>
        </is>
      </c>
      <c r="Y538" s="27" t="inlineStr">
        <is>
          <t>C</t>
        </is>
      </c>
      <c r="Z538" s="27" t="n">
        <v>76</v>
      </c>
      <c r="AA538" s="27" t="inlineStr">
        <is>
          <t>Qualified</t>
        </is>
      </c>
      <c r="AB538" s="27" t="inlineStr"/>
      <c r="AC538" s="28">
        <f>IF(A538="","",IF(COUNTIF($H$5:$H$1004,H538)&gt;1,"DUPLICATE","UNIQUE"))</f>
        <v/>
      </c>
      <c r="AD538" s="28">
        <f>IF(A538="","",IF(AA538="Rejected",IF(AB538&lt;&gt;"","REJECTED","ADD REASON"),IF(AND(B538&lt;&gt;"",C538&lt;&gt;"",D538&lt;&gt;"",E538&lt;&gt;"",F538&lt;&gt;"",G538&lt;&gt;"",H538&lt;&gt;"",J538&lt;&gt;"",K538&lt;&gt;"",N538&lt;&gt;"",O538&lt;&gt;"",P538&lt;&gt;"",Q538&lt;&gt;"",R538&lt;&gt;"",S538&lt;&gt;"",T538&lt;&gt;"",V538&lt;&gt;"",W538&lt;&gt;"",X538&lt;&gt;"",Y538&lt;&gt;""),"COMPLETE","MISSING FIELDS")))</f>
        <v/>
      </c>
    </row>
    <row r="539" ht="15" customHeight="1" s="15">
      <c r="A539" s="27" t="inlineStr">
        <is>
          <t>LEAD-0535</t>
        </is>
      </c>
      <c r="B539" s="27" t="inlineStr">
        <is>
          <t>Marcus Sinclair</t>
        </is>
      </c>
      <c r="C539" s="27" t="inlineStr">
        <is>
          <t>Expert-Led Creator</t>
        </is>
      </c>
      <c r="D539" s="27" t="inlineStr">
        <is>
          <t>GB</t>
        </is>
      </c>
      <c r="E539" s="27" t="inlineStr">
        <is>
          <t>English</t>
        </is>
      </c>
      <c r="F539" s="27" t="inlineStr">
        <is>
          <t>LinkedIn</t>
        </is>
      </c>
      <c r="G539" s="27" t="inlineStr">
        <is>
          <t>https://www.linkedin.com/in/marcussinclair</t>
        </is>
      </c>
      <c r="H539" s="27" t="inlineStr">
        <is>
          <t>LI-marcussinclair-0535</t>
        </is>
      </c>
      <c r="I539" s="27" t="inlineStr">
        <is>
          <t>156,000</t>
        </is>
      </c>
      <c r="J539" s="27" t="inlineStr">
        <is>
          <t>2026-10-17</t>
        </is>
      </c>
      <c r="K539" s="27" t="inlineStr">
        <is>
          <t>https://marcussinclair.com/posts/86</t>
        </is>
      </c>
      <c r="L539" s="27" t="n">
        <v>13</v>
      </c>
      <c r="M539" s="27" t="n">
        <v>29</v>
      </c>
      <c r="N539" s="27" t="inlineStr">
        <is>
          <t>Product</t>
        </is>
      </c>
      <c r="O539" s="27" t="inlineStr">
        <is>
          <t>https://marcussinclair.com/shop</t>
        </is>
      </c>
      <c r="P539" s="27" t="inlineStr">
        <is>
          <t>Editing Backlog &amp; Team Workflow Overhead</t>
        </is>
      </c>
      <c r="Q539" s="27" t="inlineStr">
        <is>
          <t>https://marcussinclair.com/highlights</t>
        </is>
      </c>
      <c r="R539" s="27" t="inlineStr">
        <is>
          <t>Email</t>
        </is>
      </c>
      <c r="S539" s="27" t="inlineStr">
        <is>
          <t>hello@marcussinclair.com</t>
        </is>
      </c>
      <c r="T539" s="27" t="inlineStr">
        <is>
          <t>https://marcussinclair.com/work-with-me</t>
        </is>
      </c>
      <c r="U539" s="27" t="inlineStr">
        <is>
          <t>LinkedIn</t>
        </is>
      </c>
      <c r="V539" s="27" t="inlineStr">
        <is>
          <t>b2b marketing &amp; sales frameworks, specifically regarding episode 36 on B2B Marketing &amp; Sales workflow optimization</t>
        </is>
      </c>
      <c r="W539" s="27" t="inlineStr">
        <is>
          <t>Hi Marcus,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39" s="27" t="inlineStr">
        <is>
          <t>2026-10-18</t>
        </is>
      </c>
      <c r="Y539" s="27" t="inlineStr">
        <is>
          <t>C</t>
        </is>
      </c>
      <c r="Z539" s="27" t="n">
        <v>75.90000000000001</v>
      </c>
      <c r="AA539" s="27" t="inlineStr">
        <is>
          <t>Qualified</t>
        </is>
      </c>
      <c r="AB539" s="27" t="inlineStr"/>
      <c r="AC539" s="28">
        <f>IF(A539="","",IF(COUNTIF($H$5:$H$1004,H539)&gt;1,"DUPLICATE","UNIQUE"))</f>
        <v/>
      </c>
      <c r="AD539" s="28">
        <f>IF(A539="","",IF(AA539="Rejected",IF(AB539&lt;&gt;"","REJECTED","ADD REASON"),IF(AND(B539&lt;&gt;"",C539&lt;&gt;"",D539&lt;&gt;"",E539&lt;&gt;"",F539&lt;&gt;"",G539&lt;&gt;"",H539&lt;&gt;"",J539&lt;&gt;"",K539&lt;&gt;"",N539&lt;&gt;"",O539&lt;&gt;"",P539&lt;&gt;"",Q539&lt;&gt;"",R539&lt;&gt;"",S539&lt;&gt;"",T539&lt;&gt;"",V539&lt;&gt;"",W539&lt;&gt;"",X539&lt;&gt;"",Y539&lt;&gt;""),"COMPLETE","MISSING FIELDS")))</f>
        <v/>
      </c>
    </row>
    <row r="540" ht="15" customHeight="1" s="15">
      <c r="A540" s="27" t="inlineStr">
        <is>
          <t>LEAD-0536</t>
        </is>
      </c>
      <c r="B540" s="27" t="inlineStr">
        <is>
          <t>Marcus Carrington</t>
        </is>
      </c>
      <c r="C540" s="27" t="inlineStr">
        <is>
          <t>YouTuber</t>
        </is>
      </c>
      <c r="D540" s="27" t="inlineStr">
        <is>
          <t>GB</t>
        </is>
      </c>
      <c r="E540" s="27" t="inlineStr">
        <is>
          <t>English</t>
        </is>
      </c>
      <c r="F540" s="27" t="inlineStr">
        <is>
          <t>YouTube</t>
        </is>
      </c>
      <c r="G540" s="27" t="inlineStr">
        <is>
          <t>https://www.youtube.com/@marcuscarrington</t>
        </is>
      </c>
      <c r="H540" s="27" t="inlineStr">
        <is>
          <t>UCGB00536403533</t>
        </is>
      </c>
      <c r="I540" s="27" t="inlineStr">
        <is>
          <t>240,000</t>
        </is>
      </c>
      <c r="J540" s="27" t="inlineStr">
        <is>
          <t>2026-10-10</t>
        </is>
      </c>
      <c r="K540" s="27" t="inlineStr">
        <is>
          <t>https://www.youtube.com/watch?v=gb00536</t>
        </is>
      </c>
      <c r="L540" s="27" t="n">
        <v>14</v>
      </c>
      <c r="M540" s="27" t="n">
        <v>30</v>
      </c>
      <c r="N540" s="27" t="inlineStr">
        <is>
          <t>Consulting</t>
        </is>
      </c>
      <c r="O540" s="27" t="inlineStr">
        <is>
          <t>https://marcuscarrington.com/advisory</t>
        </is>
      </c>
      <c r="P540" s="27" t="inlineStr">
        <is>
          <t>Multilingual Audio Dubbing</t>
        </is>
      </c>
      <c r="Q540" s="27" t="inlineStr">
        <is>
          <t>https://marcuscarrington.com/highlights</t>
        </is>
      </c>
      <c r="R540" s="27" t="inlineStr">
        <is>
          <t>Email</t>
        </is>
      </c>
      <c r="S540" s="27" t="inlineStr">
        <is>
          <t>contact@marcuscarrington.com</t>
        </is>
      </c>
      <c r="T540" s="27" t="inlineStr">
        <is>
          <t>https://marcuscarrington.com/contact</t>
        </is>
      </c>
      <c r="U540" s="27" t="inlineStr">
        <is>
          <t>LinkedIn</t>
        </is>
      </c>
      <c r="V540" s="27" t="inlineStr">
        <is>
          <t>finance &amp; wealth engineering frameworks, specifically regarding episode 37 on Finance &amp; Wealth Engineering workflow optimization</t>
        </is>
      </c>
      <c r="W540" s="27" t="inlineStr">
        <is>
          <t>Hi Marcus,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40" s="27" t="inlineStr">
        <is>
          <t>2026-10-18</t>
        </is>
      </c>
      <c r="Y540" s="27" t="inlineStr">
        <is>
          <t>C</t>
        </is>
      </c>
      <c r="Z540" s="27" t="n">
        <v>75.8</v>
      </c>
      <c r="AA540" s="27" t="inlineStr">
        <is>
          <t>Qualified</t>
        </is>
      </c>
      <c r="AB540" s="27" t="inlineStr"/>
      <c r="AC540" s="28">
        <f>IF(A540="","",IF(COUNTIF($H$5:$H$1004,H540)&gt;1,"DUPLICATE","UNIQUE"))</f>
        <v/>
      </c>
      <c r="AD540" s="28">
        <f>IF(A540="","",IF(AA540="Rejected",IF(AB540&lt;&gt;"","REJECTED","ADD REASON"),IF(AND(B540&lt;&gt;"",C540&lt;&gt;"",D540&lt;&gt;"",E540&lt;&gt;"",F540&lt;&gt;"",G540&lt;&gt;"",H540&lt;&gt;"",J540&lt;&gt;"",K540&lt;&gt;"",N540&lt;&gt;"",O540&lt;&gt;"",P540&lt;&gt;"",Q540&lt;&gt;"",R540&lt;&gt;"",S540&lt;&gt;"",T540&lt;&gt;"",V540&lt;&gt;"",W540&lt;&gt;"",X540&lt;&gt;"",Y540&lt;&gt;""),"COMPLETE","MISSING FIELDS")))</f>
        <v/>
      </c>
    </row>
    <row r="541" ht="15" customHeight="1" s="15">
      <c r="A541" s="27" t="inlineStr">
        <is>
          <t>LEAD-0537</t>
        </is>
      </c>
      <c r="B541" s="27" t="inlineStr">
        <is>
          <t>Marcus Prescott</t>
        </is>
      </c>
      <c r="C541" s="27" t="inlineStr">
        <is>
          <t>Podcaster</t>
        </is>
      </c>
      <c r="D541" s="27" t="inlineStr">
        <is>
          <t>GB</t>
        </is>
      </c>
      <c r="E541" s="27" t="inlineStr">
        <is>
          <t>English</t>
        </is>
      </c>
      <c r="F541" s="27" t="inlineStr">
        <is>
          <t>Apple Podcasts</t>
        </is>
      </c>
      <c r="G541" s="27" t="inlineStr">
        <is>
          <t>https://podcasts.apple.com/gb/podcast/marcusprescott/id1000537</t>
        </is>
      </c>
      <c r="H541" s="27" t="inlineStr">
        <is>
          <t>AP-GB-1000537</t>
        </is>
      </c>
      <c r="I541" s="27" t="inlineStr">
        <is>
          <t>156,000</t>
        </is>
      </c>
      <c r="J541" s="27" t="inlineStr">
        <is>
          <t>2026-10-11</t>
        </is>
      </c>
      <c r="K541" s="27" t="inlineStr">
        <is>
          <t>https://marcusprescott.com/episodes/138</t>
        </is>
      </c>
      <c r="L541" s="27" t="n">
        <v>15</v>
      </c>
      <c r="M541" s="27" t="n">
        <v>31</v>
      </c>
      <c r="N541" s="27" t="inlineStr">
        <is>
          <t>Newsletter Subscription</t>
        </is>
      </c>
      <c r="O541" s="27" t="inlineStr">
        <is>
          <t>https://marcusprescott.com/subscribe</t>
        </is>
      </c>
      <c r="P541" s="27" t="inlineStr">
        <is>
          <t>Multilingual Audio Dubbing</t>
        </is>
      </c>
      <c r="Q541" s="27" t="inlineStr">
        <is>
          <t>https://marcusprescott.com/highlights</t>
        </is>
      </c>
      <c r="R541" s="27" t="inlineStr">
        <is>
          <t>LinkedIn</t>
        </is>
      </c>
      <c r="S541" s="27" t="inlineStr">
        <is>
          <t>https://linkedin.com/in/marcusprescott</t>
        </is>
      </c>
      <c r="T541" s="27" t="inlineStr">
        <is>
          <t>https://marcusprescott.com/about</t>
        </is>
      </c>
      <c r="U541" s="27" t="inlineStr">
        <is>
          <t>Email</t>
        </is>
      </c>
      <c r="V541" s="27" t="inlineStr">
        <is>
          <t>health &amp; longevity science frameworks, specifically regarding episode 38 on Health &amp; Longevity Science workflow optimization</t>
        </is>
      </c>
      <c r="W541" s="27" t="inlineStr">
        <is>
          <t>Hi Marcus,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41" s="27" t="inlineStr">
        <is>
          <t>2026-10-18</t>
        </is>
      </c>
      <c r="Y541" s="27" t="inlineStr">
        <is>
          <t>C</t>
        </is>
      </c>
      <c r="Z541" s="27" t="n">
        <v>75.8</v>
      </c>
      <c r="AA541" s="27" t="inlineStr">
        <is>
          <t>Qualified</t>
        </is>
      </c>
      <c r="AB541" s="27" t="inlineStr"/>
      <c r="AC541" s="28">
        <f>IF(A541="","",IF(COUNTIF($H$5:$H$1004,H541)&gt;1,"DUPLICATE","UNIQUE"))</f>
        <v/>
      </c>
      <c r="AD541" s="28">
        <f>IF(A541="","",IF(AA541="Rejected",IF(AB541&lt;&gt;"","REJECTED","ADD REASON"),IF(AND(B541&lt;&gt;"",C541&lt;&gt;"",D541&lt;&gt;"",E541&lt;&gt;"",F541&lt;&gt;"",G541&lt;&gt;"",H541&lt;&gt;"",J541&lt;&gt;"",K541&lt;&gt;"",N541&lt;&gt;"",O541&lt;&gt;"",P541&lt;&gt;"",Q541&lt;&gt;"",R541&lt;&gt;"",S541&lt;&gt;"",T541&lt;&gt;"",V541&lt;&gt;"",W541&lt;&gt;"",X541&lt;&gt;"",Y541&lt;&gt;""),"COMPLETE","MISSING FIELDS")))</f>
        <v/>
      </c>
    </row>
    <row r="542" ht="15" customHeight="1" s="15">
      <c r="A542" s="27" t="inlineStr">
        <is>
          <t>LEAD-0538</t>
        </is>
      </c>
      <c r="B542" s="27" t="inlineStr">
        <is>
          <t>Marcus Winslow</t>
        </is>
      </c>
      <c r="C542" s="27" t="inlineStr">
        <is>
          <t>YouTuber</t>
        </is>
      </c>
      <c r="D542" s="27" t="inlineStr">
        <is>
          <t>GB</t>
        </is>
      </c>
      <c r="E542" s="27" t="inlineStr">
        <is>
          <t>English</t>
        </is>
      </c>
      <c r="F542" s="27" t="inlineStr">
        <is>
          <t>YouTube</t>
        </is>
      </c>
      <c r="G542" s="27" t="inlineStr">
        <is>
          <t>https://www.youtube.com/@marcuswinslow</t>
        </is>
      </c>
      <c r="H542" s="27" t="inlineStr">
        <is>
          <t>UCGB00538078706</t>
        </is>
      </c>
      <c r="I542" s="27" t="inlineStr">
        <is>
          <t>280,000</t>
        </is>
      </c>
      <c r="J542" s="27" t="inlineStr">
        <is>
          <t>2026-10-12</t>
        </is>
      </c>
      <c r="K542" s="27" t="inlineStr">
        <is>
          <t>https://www.youtube.com/watch?v=gb00538</t>
        </is>
      </c>
      <c r="L542" s="27" t="n">
        <v>16</v>
      </c>
      <c r="M542" s="27" t="n">
        <v>32</v>
      </c>
      <c r="N542" s="27" t="inlineStr">
        <is>
          <t>Affiliate</t>
        </is>
      </c>
      <c r="O542" s="27" t="inlineStr">
        <is>
          <t>https://marcuswinslow.com/resources</t>
        </is>
      </c>
      <c r="P542" s="27" t="inlineStr">
        <is>
          <t>Missing Video Captions &amp; Retention Clips</t>
        </is>
      </c>
      <c r="Q542" s="27" t="inlineStr">
        <is>
          <t>https://marcuswinslow.com/highlights</t>
        </is>
      </c>
      <c r="R542" s="27" t="inlineStr">
        <is>
          <t>X (Twitter)</t>
        </is>
      </c>
      <c r="S542" s="27" t="inlineStr">
        <is>
          <t>https://x.com/marcuswinslow</t>
        </is>
      </c>
      <c r="T542" s="27" t="inlineStr">
        <is>
          <t>https://marcuswinslow.com/links</t>
        </is>
      </c>
      <c r="U542" s="27" t="inlineStr">
        <is>
          <t>LinkedIn</t>
        </is>
      </c>
      <c r="V542" s="27" t="inlineStr">
        <is>
          <t>education &amp; applied coding frameworks, specifically regarding episode 39 on Education &amp; Applied Coding workflow optimization</t>
        </is>
      </c>
      <c r="W542" s="27" t="inlineStr">
        <is>
          <t>Hi Marcus,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42" s="27" t="inlineStr">
        <is>
          <t>2026-10-18</t>
        </is>
      </c>
      <c r="Y542" s="27" t="inlineStr">
        <is>
          <t>C</t>
        </is>
      </c>
      <c r="Z542" s="27" t="n">
        <v>75.7</v>
      </c>
      <c r="AA542" s="27" t="inlineStr">
        <is>
          <t>Qualified</t>
        </is>
      </c>
      <c r="AB542" s="27" t="inlineStr"/>
      <c r="AC542" s="28">
        <f>IF(A542="","",IF(COUNTIF($H$5:$H$1004,H542)&gt;1,"DUPLICATE","UNIQUE"))</f>
        <v/>
      </c>
      <c r="AD542" s="28">
        <f>IF(A542="","",IF(AA542="Rejected",IF(AB542&lt;&gt;"","REJECTED","ADD REASON"),IF(AND(B542&lt;&gt;"",C542&lt;&gt;"",D542&lt;&gt;"",E542&lt;&gt;"",F542&lt;&gt;"",G542&lt;&gt;"",H542&lt;&gt;"",J542&lt;&gt;"",K542&lt;&gt;"",N542&lt;&gt;"",O542&lt;&gt;"",P542&lt;&gt;"",Q542&lt;&gt;"",R542&lt;&gt;"",S542&lt;&gt;"",T542&lt;&gt;"",V542&lt;&gt;"",W542&lt;&gt;"",X542&lt;&gt;"",Y542&lt;&gt;""),"COMPLETE","MISSING FIELDS")))</f>
        <v/>
      </c>
    </row>
    <row r="543" ht="15" customHeight="1" s="15">
      <c r="A543" s="27" t="inlineStr">
        <is>
          <t>LEAD-0539</t>
        </is>
      </c>
      <c r="B543" s="27" t="inlineStr">
        <is>
          <t>Marcus Bradford</t>
        </is>
      </c>
      <c r="C543" s="27" t="inlineStr">
        <is>
          <t>Podcaster</t>
        </is>
      </c>
      <c r="D543" s="27" t="inlineStr">
        <is>
          <t>GB</t>
        </is>
      </c>
      <c r="E543" s="27" t="inlineStr">
        <is>
          <t>English</t>
        </is>
      </c>
      <c r="F543" s="27" t="inlineStr">
        <is>
          <t>Apple Podcasts</t>
        </is>
      </c>
      <c r="G543" s="27" t="inlineStr">
        <is>
          <t>https://podcasts.apple.com/gb/podcast/marcusbradford/id1000539</t>
        </is>
      </c>
      <c r="H543" s="27" t="inlineStr">
        <is>
          <t>AP-GB-1000539</t>
        </is>
      </c>
      <c r="I543" s="27" t="inlineStr">
        <is>
          <t>180,000</t>
        </is>
      </c>
      <c r="J543" s="27" t="inlineStr">
        <is>
          <t>2026-10-13</t>
        </is>
      </c>
      <c r="K543" s="27" t="inlineStr">
        <is>
          <t>https://marcusbradford.com/episodes/140</t>
        </is>
      </c>
      <c r="L543" s="27" t="n">
        <v>17</v>
      </c>
      <c r="M543" s="27" t="n">
        <v>33</v>
      </c>
      <c r="N543" s="27" t="inlineStr">
        <is>
          <t>Course</t>
        </is>
      </c>
      <c r="O543" s="27" t="inlineStr">
        <is>
          <t>https://marcusbradford.com/academy</t>
        </is>
      </c>
      <c r="P543" s="27" t="inlineStr">
        <is>
          <t>Shorts Repurposing Bottleneck</t>
        </is>
      </c>
      <c r="Q543" s="27" t="inlineStr">
        <is>
          <t>https://marcusbradford.com/highlights</t>
        </is>
      </c>
      <c r="R543" s="27" t="inlineStr">
        <is>
          <t>Email</t>
        </is>
      </c>
      <c r="S543" s="27" t="inlineStr">
        <is>
          <t>hello@marcusbradford.com</t>
        </is>
      </c>
      <c r="T543" s="27" t="inlineStr">
        <is>
          <t>https://marcusbradford.com/work-with-me</t>
        </is>
      </c>
      <c r="U543" s="27" t="inlineStr">
        <is>
          <t>LinkedIn</t>
        </is>
      </c>
      <c r="V543" s="27" t="inlineStr">
        <is>
          <t>e-commerce &amp; digital brands frameworks, specifically regarding episode 40 on E-Commerce &amp; Digital Brands workflow optimization</t>
        </is>
      </c>
      <c r="W543" s="27" t="inlineStr">
        <is>
          <t>Hi Marcus,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43" s="27" t="inlineStr">
        <is>
          <t>2026-10-18</t>
        </is>
      </c>
      <c r="Y543" s="27" t="inlineStr">
        <is>
          <t>C</t>
        </is>
      </c>
      <c r="Z543" s="27" t="n">
        <v>75.7</v>
      </c>
      <c r="AA543" s="27" t="inlineStr">
        <is>
          <t>Qualified</t>
        </is>
      </c>
      <c r="AB543" s="27" t="inlineStr"/>
      <c r="AC543" s="28">
        <f>IF(A543="","",IF(COUNTIF($H$5:$H$1004,H543)&gt;1,"DUPLICATE","UNIQUE"))</f>
        <v/>
      </c>
      <c r="AD543" s="28">
        <f>IF(A543="","",IF(AA543="Rejected",IF(AB543&lt;&gt;"","REJECTED","ADD REASON"),IF(AND(B543&lt;&gt;"",C543&lt;&gt;"",D543&lt;&gt;"",E543&lt;&gt;"",F543&lt;&gt;"",G543&lt;&gt;"",H543&lt;&gt;"",J543&lt;&gt;"",K543&lt;&gt;"",N543&lt;&gt;"",O543&lt;&gt;"",P543&lt;&gt;"",Q543&lt;&gt;"",R543&lt;&gt;"",S543&lt;&gt;"",T543&lt;&gt;"",V543&lt;&gt;"",W543&lt;&gt;"",X543&lt;&gt;"",Y543&lt;&gt;""),"COMPLETE","MISSING FIELDS")))</f>
        <v/>
      </c>
    </row>
    <row r="544" ht="15" customHeight="1" s="15">
      <c r="A544" s="27" t="inlineStr">
        <is>
          <t>LEAD-0540</t>
        </is>
      </c>
      <c r="B544" s="27" t="inlineStr">
        <is>
          <t>Marcus Kensington</t>
        </is>
      </c>
      <c r="C544" s="27" t="inlineStr">
        <is>
          <t>YouTuber</t>
        </is>
      </c>
      <c r="D544" s="27" t="inlineStr">
        <is>
          <t>GB</t>
        </is>
      </c>
      <c r="E544" s="27" t="inlineStr">
        <is>
          <t>English</t>
        </is>
      </c>
      <c r="F544" s="27" t="inlineStr">
        <is>
          <t>YouTube</t>
        </is>
      </c>
      <c r="G544" s="27" t="inlineStr">
        <is>
          <t>https://www.youtube.com/@marcuskensington</t>
        </is>
      </c>
      <c r="H544" s="27" t="inlineStr">
        <is>
          <t>UCGB00540715613</t>
        </is>
      </c>
      <c r="I544" s="27" t="inlineStr">
        <is>
          <t>320,000</t>
        </is>
      </c>
      <c r="J544" s="27" t="inlineStr">
        <is>
          <t>2026-10-14</t>
        </is>
      </c>
      <c r="K544" s="27" t="inlineStr">
        <is>
          <t>https://www.youtube.com/watch?v=gb00540</t>
        </is>
      </c>
      <c r="L544" s="27" t="n">
        <v>8</v>
      </c>
      <c r="M544" s="27" t="n">
        <v>16</v>
      </c>
      <c r="N544" s="27" t="inlineStr">
        <is>
          <t>Sponsor</t>
        </is>
      </c>
      <c r="O544" s="27" t="inlineStr">
        <is>
          <t>https://marcuskensington.com/partners</t>
        </is>
      </c>
      <c r="P544" s="27" t="inlineStr">
        <is>
          <t>Shorts Repurposing Bottleneck</t>
        </is>
      </c>
      <c r="Q544" s="27" t="inlineStr">
        <is>
          <t>https://marcuskensington.com/highlights</t>
        </is>
      </c>
      <c r="R544" s="27" t="inlineStr">
        <is>
          <t>Email</t>
        </is>
      </c>
      <c r="S544" s="27" t="inlineStr">
        <is>
          <t>contact@marcuskensington.com</t>
        </is>
      </c>
      <c r="T544" s="27" t="inlineStr">
        <is>
          <t>https://marcuskensington.com/contact</t>
        </is>
      </c>
      <c r="U544" s="27" t="inlineStr">
        <is>
          <t>LinkedIn</t>
        </is>
      </c>
      <c r="V544" s="27" t="inlineStr">
        <is>
          <t>tech &amp; ai frameworks, specifically regarding episode 41 on Tech &amp; AI workflow optimization</t>
        </is>
      </c>
      <c r="W544" s="27" t="inlineStr">
        <is>
          <t>Hi Marcus,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44" s="27" t="inlineStr">
        <is>
          <t>2026-10-18</t>
        </is>
      </c>
      <c r="Y544" s="27" t="inlineStr">
        <is>
          <t>C</t>
        </is>
      </c>
      <c r="Z544" s="27" t="n">
        <v>75.59999999999999</v>
      </c>
      <c r="AA544" s="27" t="inlineStr">
        <is>
          <t>Qualified</t>
        </is>
      </c>
      <c r="AB544" s="27" t="inlineStr"/>
      <c r="AC544" s="28">
        <f>IF(A544="","",IF(COUNTIF($H$5:$H$1004,H544)&gt;1,"DUPLICATE","UNIQUE"))</f>
        <v/>
      </c>
      <c r="AD544" s="28">
        <f>IF(A544="","",IF(AA544="Rejected",IF(AB544&lt;&gt;"","REJECTED","ADD REASON"),IF(AND(B544&lt;&gt;"",C544&lt;&gt;"",D544&lt;&gt;"",E544&lt;&gt;"",F544&lt;&gt;"",G544&lt;&gt;"",H544&lt;&gt;"",J544&lt;&gt;"",K544&lt;&gt;"",N544&lt;&gt;"",O544&lt;&gt;"",P544&lt;&gt;"",Q544&lt;&gt;"",R544&lt;&gt;"",S544&lt;&gt;"",T544&lt;&gt;"",V544&lt;&gt;"",W544&lt;&gt;"",X544&lt;&gt;"",Y544&lt;&gt;""),"COMPLETE","MISSING FIELDS")))</f>
        <v/>
      </c>
    </row>
    <row r="545" ht="15" customHeight="1" s="15">
      <c r="A545" s="27" t="inlineStr">
        <is>
          <t>LEAD-0541</t>
        </is>
      </c>
      <c r="B545" s="27" t="inlineStr">
        <is>
          <t>Marcus Lancaster</t>
        </is>
      </c>
      <c r="C545" s="27" t="inlineStr">
        <is>
          <t>Podcaster</t>
        </is>
      </c>
      <c r="D545" s="27" t="inlineStr">
        <is>
          <t>GB</t>
        </is>
      </c>
      <c r="E545" s="27" t="inlineStr">
        <is>
          <t>English</t>
        </is>
      </c>
      <c r="F545" s="27" t="inlineStr">
        <is>
          <t>Apple Podcasts</t>
        </is>
      </c>
      <c r="G545" s="27" t="inlineStr">
        <is>
          <t>https://podcasts.apple.com/gb/podcast/marcuslancaster/id1000541</t>
        </is>
      </c>
      <c r="H545" s="27" t="inlineStr">
        <is>
          <t>AP-GB-1000541</t>
        </is>
      </c>
      <c r="I545" s="27" t="inlineStr">
        <is>
          <t>204,000</t>
        </is>
      </c>
      <c r="J545" s="27" t="inlineStr">
        <is>
          <t>2026-10-15</t>
        </is>
      </c>
      <c r="K545" s="27" t="inlineStr">
        <is>
          <t>https://marcuslancaster.com/episodes/142</t>
        </is>
      </c>
      <c r="L545" s="27" t="n">
        <v>9</v>
      </c>
      <c r="M545" s="27" t="n">
        <v>17</v>
      </c>
      <c r="N545" s="27" t="inlineStr">
        <is>
          <t>Membership</t>
        </is>
      </c>
      <c r="O545" s="27" t="inlineStr">
        <is>
          <t>https://marcuslancaster.com/community</t>
        </is>
      </c>
      <c r="P545" s="27" t="inlineStr">
        <is>
          <t>Missing Video Captions &amp; Retention Clips</t>
        </is>
      </c>
      <c r="Q545" s="27" t="inlineStr">
        <is>
          <t>https://marcuslancaster.com/highlights</t>
        </is>
      </c>
      <c r="R545" s="27" t="inlineStr">
        <is>
          <t>LinkedIn</t>
        </is>
      </c>
      <c r="S545" s="27" t="inlineStr">
        <is>
          <t>https://linkedin.com/in/marcuslancaster</t>
        </is>
      </c>
      <c r="T545" s="27" t="inlineStr">
        <is>
          <t>https://marcuslancaster.com/about</t>
        </is>
      </c>
      <c r="U545" s="27" t="inlineStr">
        <is>
          <t>Email</t>
        </is>
      </c>
      <c r="V545" s="27" t="inlineStr">
        <is>
          <t>saas &amp; product growth frameworks, specifically regarding episode 42 on SaaS &amp; Product Growth workflow optimization</t>
        </is>
      </c>
      <c r="W545" s="27" t="inlineStr">
        <is>
          <t>Hi Marcus,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45" s="27" t="inlineStr">
        <is>
          <t>2026-10-18</t>
        </is>
      </c>
      <c r="Y545" s="27" t="inlineStr">
        <is>
          <t>C</t>
        </is>
      </c>
      <c r="Z545" s="27" t="n">
        <v>75.5</v>
      </c>
      <c r="AA545" s="27" t="inlineStr">
        <is>
          <t>Qualified</t>
        </is>
      </c>
      <c r="AB545" s="27" t="inlineStr"/>
      <c r="AC545" s="28">
        <f>IF(A545="","",IF(COUNTIF($H$5:$H$1004,H545)&gt;1,"DUPLICATE","UNIQUE"))</f>
        <v/>
      </c>
      <c r="AD545" s="28">
        <f>IF(A545="","",IF(AA545="Rejected",IF(AB545&lt;&gt;"","REJECTED","ADD REASON"),IF(AND(B545&lt;&gt;"",C545&lt;&gt;"",D545&lt;&gt;"",E545&lt;&gt;"",F545&lt;&gt;"",G545&lt;&gt;"",H545&lt;&gt;"",J545&lt;&gt;"",K545&lt;&gt;"",N545&lt;&gt;"",O545&lt;&gt;"",P545&lt;&gt;"",Q545&lt;&gt;"",R545&lt;&gt;"",S545&lt;&gt;"",T545&lt;&gt;"",V545&lt;&gt;"",W545&lt;&gt;"",X545&lt;&gt;"",Y545&lt;&gt;""),"COMPLETE","MISSING FIELDS")))</f>
        <v/>
      </c>
    </row>
    <row r="546" ht="15" customHeight="1" s="15">
      <c r="A546" s="27" t="inlineStr">
        <is>
          <t>LEAD-0542</t>
        </is>
      </c>
      <c r="B546" s="27" t="inlineStr">
        <is>
          <t>Marcus Montgomery</t>
        </is>
      </c>
      <c r="C546" s="27" t="inlineStr">
        <is>
          <t>Expert-Led Creator</t>
        </is>
      </c>
      <c r="D546" s="27" t="inlineStr">
        <is>
          <t>GB</t>
        </is>
      </c>
      <c r="E546" s="27" t="inlineStr">
        <is>
          <t>English</t>
        </is>
      </c>
      <c r="F546" s="27" t="inlineStr">
        <is>
          <t>YouTube</t>
        </is>
      </c>
      <c r="G546" s="27" t="inlineStr">
        <is>
          <t>https://www.youtube.com/@marcusmontgomery</t>
        </is>
      </c>
      <c r="H546" s="27" t="inlineStr">
        <is>
          <t>UCGB00542493455</t>
        </is>
      </c>
      <c r="I546" s="27" t="inlineStr">
        <is>
          <t>360,000</t>
        </is>
      </c>
      <c r="J546" s="27" t="inlineStr">
        <is>
          <t>2026-10-16</t>
        </is>
      </c>
      <c r="K546" s="27" t="inlineStr">
        <is>
          <t>https://www.youtube.com/watch?v=gb00542</t>
        </is>
      </c>
      <c r="L546" s="27" t="n">
        <v>10</v>
      </c>
      <c r="M546" s="27" t="n">
        <v>18</v>
      </c>
      <c r="N546" s="27" t="inlineStr">
        <is>
          <t>Product</t>
        </is>
      </c>
      <c r="O546" s="27" t="inlineStr">
        <is>
          <t>https://marcusmontgomery.com/shop</t>
        </is>
      </c>
      <c r="P546" s="27" t="inlineStr">
        <is>
          <t>Editing Backlog &amp; Team Workflow Overhead</t>
        </is>
      </c>
      <c r="Q546" s="27" t="inlineStr">
        <is>
          <t>https://marcusmontgomery.com/highlights</t>
        </is>
      </c>
      <c r="R546" s="27" t="inlineStr">
        <is>
          <t>X (Twitter)</t>
        </is>
      </c>
      <c r="S546" s="27" t="inlineStr">
        <is>
          <t>https://x.com/marcusmontgomery</t>
        </is>
      </c>
      <c r="T546" s="27" t="inlineStr">
        <is>
          <t>https://marcusmontgomery.com/links</t>
        </is>
      </c>
      <c r="U546" s="27" t="inlineStr">
        <is>
          <t>LinkedIn</t>
        </is>
      </c>
      <c r="V546" s="27" t="inlineStr">
        <is>
          <t>creator business &amp; monetization frameworks, specifically regarding episode 43 on Creator Business &amp; Monetization workflow optimization</t>
        </is>
      </c>
      <c r="W546" s="27" t="inlineStr">
        <is>
          <t>Hi Marcus,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46" s="27" t="inlineStr">
        <is>
          <t>2026-10-18</t>
        </is>
      </c>
      <c r="Y546" s="27" t="inlineStr">
        <is>
          <t>C</t>
        </is>
      </c>
      <c r="Z546" s="27" t="n">
        <v>75.5</v>
      </c>
      <c r="AA546" s="27" t="inlineStr">
        <is>
          <t>Qualified</t>
        </is>
      </c>
      <c r="AB546" s="27" t="inlineStr"/>
      <c r="AC546" s="28">
        <f>IF(A546="","",IF(COUNTIF($H$5:$H$1004,H546)&gt;1,"DUPLICATE","UNIQUE"))</f>
        <v/>
      </c>
      <c r="AD546" s="28">
        <f>IF(A546="","",IF(AA546="Rejected",IF(AB546&lt;&gt;"","REJECTED","ADD REASON"),IF(AND(B546&lt;&gt;"",C546&lt;&gt;"",D546&lt;&gt;"",E546&lt;&gt;"",F546&lt;&gt;"",G546&lt;&gt;"",H546&lt;&gt;"",J546&lt;&gt;"",K546&lt;&gt;"",N546&lt;&gt;"",O546&lt;&gt;"",P546&lt;&gt;"",Q546&lt;&gt;"",R546&lt;&gt;"",S546&lt;&gt;"",T546&lt;&gt;"",V546&lt;&gt;"",W546&lt;&gt;"",X546&lt;&gt;"",Y546&lt;&gt;""),"COMPLETE","MISSING FIELDS")))</f>
        <v/>
      </c>
    </row>
    <row r="547" ht="15" customHeight="1" s="15">
      <c r="A547" s="27" t="inlineStr">
        <is>
          <t>LEAD-0543</t>
        </is>
      </c>
      <c r="B547" s="27" t="inlineStr">
        <is>
          <t>Marcus Barrington</t>
        </is>
      </c>
      <c r="C547" s="27" t="inlineStr">
        <is>
          <t>YouTuber</t>
        </is>
      </c>
      <c r="D547" s="27" t="inlineStr">
        <is>
          <t>GB</t>
        </is>
      </c>
      <c r="E547" s="27" t="inlineStr">
        <is>
          <t>English</t>
        </is>
      </c>
      <c r="F547" s="27" t="inlineStr">
        <is>
          <t>YouTube</t>
        </is>
      </c>
      <c r="G547" s="27" t="inlineStr">
        <is>
          <t>https://www.youtube.com/@marcusbarrington</t>
        </is>
      </c>
      <c r="H547" s="27" t="inlineStr">
        <is>
          <t>UCGB00543656568</t>
        </is>
      </c>
      <c r="I547" s="27" t="inlineStr">
        <is>
          <t>380,000</t>
        </is>
      </c>
      <c r="J547" s="27" t="inlineStr">
        <is>
          <t>2026-10-17</t>
        </is>
      </c>
      <c r="K547" s="27" t="inlineStr">
        <is>
          <t>https://www.youtube.com/watch?v=gb00543</t>
        </is>
      </c>
      <c r="L547" s="27" t="n">
        <v>11</v>
      </c>
      <c r="M547" s="27" t="n">
        <v>19</v>
      </c>
      <c r="N547" s="27" t="inlineStr">
        <is>
          <t>Consulting</t>
        </is>
      </c>
      <c r="O547" s="27" t="inlineStr">
        <is>
          <t>https://marcusbarrington.com/advisory</t>
        </is>
      </c>
      <c r="P547" s="27" t="inlineStr">
        <is>
          <t>Shorts Repurposing Bottleneck</t>
        </is>
      </c>
      <c r="Q547" s="27" t="inlineStr">
        <is>
          <t>https://marcusbarrington.com/highlights</t>
        </is>
      </c>
      <c r="R547" s="27" t="inlineStr">
        <is>
          <t>Email</t>
        </is>
      </c>
      <c r="S547" s="27" t="inlineStr">
        <is>
          <t>hello@marcusbarrington.com</t>
        </is>
      </c>
      <c r="T547" s="27" t="inlineStr">
        <is>
          <t>https://marcusbarrington.com/work-with-me</t>
        </is>
      </c>
      <c r="U547" s="27" t="inlineStr">
        <is>
          <t>LinkedIn</t>
        </is>
      </c>
      <c r="V547" s="27" t="inlineStr">
        <is>
          <t>productivity &amp; personal systems frameworks, specifically regarding episode 44 on Productivity &amp; Personal Systems workflow optimization</t>
        </is>
      </c>
      <c r="W547" s="27" t="inlineStr">
        <is>
          <t>Hi Marcus,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47" s="27" t="inlineStr">
        <is>
          <t>2026-10-18</t>
        </is>
      </c>
      <c r="Y547" s="27" t="inlineStr">
        <is>
          <t>C</t>
        </is>
      </c>
      <c r="Z547" s="27" t="n">
        <v>75.40000000000001</v>
      </c>
      <c r="AA547" s="27" t="inlineStr">
        <is>
          <t>Qualified</t>
        </is>
      </c>
      <c r="AB547" s="27" t="inlineStr"/>
      <c r="AC547" s="28">
        <f>IF(A547="","",IF(COUNTIF($H$5:$H$1004,H547)&gt;1,"DUPLICATE","UNIQUE"))</f>
        <v/>
      </c>
      <c r="AD547" s="28">
        <f>IF(A547="","",IF(AA547="Rejected",IF(AB547&lt;&gt;"","REJECTED","ADD REASON"),IF(AND(B547&lt;&gt;"",C547&lt;&gt;"",D547&lt;&gt;"",E547&lt;&gt;"",F547&lt;&gt;"",G547&lt;&gt;"",H547&lt;&gt;"",J547&lt;&gt;"",K547&lt;&gt;"",N547&lt;&gt;"",O547&lt;&gt;"",P547&lt;&gt;"",Q547&lt;&gt;"",R547&lt;&gt;"",S547&lt;&gt;"",T547&lt;&gt;"",V547&lt;&gt;"",W547&lt;&gt;"",X547&lt;&gt;"",Y547&lt;&gt;""),"COMPLETE","MISSING FIELDS")))</f>
        <v/>
      </c>
    </row>
    <row r="548" ht="15" customHeight="1" s="15">
      <c r="A548" s="27" t="inlineStr">
        <is>
          <t>LEAD-0544</t>
        </is>
      </c>
      <c r="B548" s="27" t="inlineStr">
        <is>
          <t>Marcus Thornton</t>
        </is>
      </c>
      <c r="C548" s="27" t="inlineStr">
        <is>
          <t>Podcaster</t>
        </is>
      </c>
      <c r="D548" s="27" t="inlineStr">
        <is>
          <t>GB</t>
        </is>
      </c>
      <c r="E548" s="27" t="inlineStr">
        <is>
          <t>English</t>
        </is>
      </c>
      <c r="F548" s="27" t="inlineStr">
        <is>
          <t>Apple Podcasts</t>
        </is>
      </c>
      <c r="G548" s="27" t="inlineStr">
        <is>
          <t>https://podcasts.apple.com/gb/podcast/marcusthornton/id1000544</t>
        </is>
      </c>
      <c r="H548" s="27" t="inlineStr">
        <is>
          <t>AP-GB-1000544</t>
        </is>
      </c>
      <c r="I548" s="27" t="inlineStr">
        <is>
          <t>240,000</t>
        </is>
      </c>
      <c r="J548" s="27" t="inlineStr">
        <is>
          <t>2026-10-10</t>
        </is>
      </c>
      <c r="K548" s="27" t="inlineStr">
        <is>
          <t>https://marcusthornton.com/episodes/145</t>
        </is>
      </c>
      <c r="L548" s="27" t="n">
        <v>12</v>
      </c>
      <c r="M548" s="27" t="n">
        <v>20</v>
      </c>
      <c r="N548" s="27" t="inlineStr">
        <is>
          <t>Newsletter Subscription</t>
        </is>
      </c>
      <c r="O548" s="27" t="inlineStr">
        <is>
          <t>https://marcusthornton.com/subscribe</t>
        </is>
      </c>
      <c r="P548" s="27" t="inlineStr">
        <is>
          <t>Inconsistent Cross-Platform Publishing</t>
        </is>
      </c>
      <c r="Q548" s="27" t="inlineStr">
        <is>
          <t>https://marcusthornton.com/highlights</t>
        </is>
      </c>
      <c r="R548" s="27" t="inlineStr">
        <is>
          <t>Email</t>
        </is>
      </c>
      <c r="S548" s="27" t="inlineStr">
        <is>
          <t>contact@marcusthornton.com</t>
        </is>
      </c>
      <c r="T548" s="27" t="inlineStr">
        <is>
          <t>https://marcusthornton.com/contact</t>
        </is>
      </c>
      <c r="U548" s="27" t="inlineStr">
        <is>
          <t>LinkedIn</t>
        </is>
      </c>
      <c r="V548" s="27" t="inlineStr">
        <is>
          <t>leadership &amp; team ops frameworks, specifically regarding episode 45 on Leadership &amp; Team Ops workflow optimization</t>
        </is>
      </c>
      <c r="W548" s="27" t="inlineStr">
        <is>
          <t>Hi Marcus,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48" s="27" t="inlineStr">
        <is>
          <t>2026-10-18</t>
        </is>
      </c>
      <c r="Y548" s="27" t="inlineStr">
        <is>
          <t>C</t>
        </is>
      </c>
      <c r="Z548" s="27" t="n">
        <v>75.40000000000001</v>
      </c>
      <c r="AA548" s="27" t="inlineStr">
        <is>
          <t>Qualified</t>
        </is>
      </c>
      <c r="AB548" s="27" t="inlineStr"/>
      <c r="AC548" s="28">
        <f>IF(A548="","",IF(COUNTIF($H$5:$H$1004,H548)&gt;1,"DUPLICATE","UNIQUE"))</f>
        <v/>
      </c>
      <c r="AD548" s="28">
        <f>IF(A548="","",IF(AA548="Rejected",IF(AB548&lt;&gt;"","REJECTED","ADD REASON"),IF(AND(B548&lt;&gt;"",C548&lt;&gt;"",D548&lt;&gt;"",E548&lt;&gt;"",F548&lt;&gt;"",G548&lt;&gt;"",H548&lt;&gt;"",J548&lt;&gt;"",K548&lt;&gt;"",N548&lt;&gt;"",O548&lt;&gt;"",P548&lt;&gt;"",Q548&lt;&gt;"",R548&lt;&gt;"",S548&lt;&gt;"",T548&lt;&gt;"",V548&lt;&gt;"",W548&lt;&gt;"",X548&lt;&gt;"",Y548&lt;&gt;""),"COMPLETE","MISSING FIELDS")))</f>
        <v/>
      </c>
    </row>
    <row r="549" ht="15" customHeight="1" s="15">
      <c r="A549" s="27" t="inlineStr">
        <is>
          <t>LEAD-0545</t>
        </is>
      </c>
      <c r="B549" s="27" t="inlineStr">
        <is>
          <t>Marcus Wellington</t>
        </is>
      </c>
      <c r="C549" s="27" t="inlineStr">
        <is>
          <t>Expert-Led Creator</t>
        </is>
      </c>
      <c r="D549" s="27" t="inlineStr">
        <is>
          <t>GB</t>
        </is>
      </c>
      <c r="E549" s="27" t="inlineStr">
        <is>
          <t>English</t>
        </is>
      </c>
      <c r="F549" s="27" t="inlineStr">
        <is>
          <t>LinkedIn</t>
        </is>
      </c>
      <c r="G549" s="27" t="inlineStr">
        <is>
          <t>https://www.linkedin.com/in/marcuswellington</t>
        </is>
      </c>
      <c r="H549" s="27" t="inlineStr">
        <is>
          <t>LI-marcuswellington-0545</t>
        </is>
      </c>
      <c r="I549" s="27" t="inlineStr">
        <is>
          <t>36,000</t>
        </is>
      </c>
      <c r="J549" s="27" t="inlineStr">
        <is>
          <t>2026-10-11</t>
        </is>
      </c>
      <c r="K549" s="27" t="inlineStr">
        <is>
          <t>https://marcuswellington.com/posts/96</t>
        </is>
      </c>
      <c r="L549" s="27" t="n">
        <v>13</v>
      </c>
      <c r="M549" s="27" t="n">
        <v>21</v>
      </c>
      <c r="N549" s="27" t="inlineStr">
        <is>
          <t>Affiliate</t>
        </is>
      </c>
      <c r="O549" s="27" t="inlineStr">
        <is>
          <t>https://marcuswellington.com/resources</t>
        </is>
      </c>
      <c r="P549" s="27" t="inlineStr">
        <is>
          <t>Editing Backlog &amp; Team Workflow Overhead</t>
        </is>
      </c>
      <c r="Q549" s="27" t="inlineStr">
        <is>
          <t>https://marcuswellington.com/highlights</t>
        </is>
      </c>
      <c r="R549" s="27" t="inlineStr">
        <is>
          <t>LinkedIn</t>
        </is>
      </c>
      <c r="S549" s="27" t="inlineStr">
        <is>
          <t>https://linkedin.com/in/marcuswellington</t>
        </is>
      </c>
      <c r="T549" s="27" t="inlineStr">
        <is>
          <t>https://marcuswellington.com/about</t>
        </is>
      </c>
      <c r="U549" s="27" t="inlineStr">
        <is>
          <t>Email</t>
        </is>
      </c>
      <c r="V549" s="27" t="inlineStr">
        <is>
          <t>b2b marketing &amp; sales frameworks, specifically regarding episode 46 on B2B Marketing &amp; Sales workflow optimization</t>
        </is>
      </c>
      <c r="W549" s="27" t="inlineStr">
        <is>
          <t>Hi Marcus,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49" s="27" t="inlineStr">
        <is>
          <t>2026-10-18</t>
        </is>
      </c>
      <c r="Y549" s="27" t="inlineStr">
        <is>
          <t>C</t>
        </is>
      </c>
      <c r="Z549" s="27" t="n">
        <v>75.3</v>
      </c>
      <c r="AA549" s="27" t="inlineStr">
        <is>
          <t>Qualified</t>
        </is>
      </c>
      <c r="AB549" s="27" t="inlineStr"/>
      <c r="AC549" s="28">
        <f>IF(A549="","",IF(COUNTIF($H$5:$H$1004,H549)&gt;1,"DUPLICATE","UNIQUE"))</f>
        <v/>
      </c>
      <c r="AD549" s="28">
        <f>IF(A549="","",IF(AA549="Rejected",IF(AB549&lt;&gt;"","REJECTED","ADD REASON"),IF(AND(B549&lt;&gt;"",C549&lt;&gt;"",D549&lt;&gt;"",E549&lt;&gt;"",F549&lt;&gt;"",G549&lt;&gt;"",H549&lt;&gt;"",J549&lt;&gt;"",K549&lt;&gt;"",N549&lt;&gt;"",O549&lt;&gt;"",P549&lt;&gt;"",Q549&lt;&gt;"",R549&lt;&gt;"",S549&lt;&gt;"",T549&lt;&gt;"",V549&lt;&gt;"",W549&lt;&gt;"",X549&lt;&gt;"",Y549&lt;&gt;""),"COMPLETE","MISSING FIELDS")))</f>
        <v/>
      </c>
    </row>
    <row r="550" ht="15" customHeight="1" s="15">
      <c r="A550" s="27" t="inlineStr">
        <is>
          <t>LEAD-0546</t>
        </is>
      </c>
      <c r="B550" s="27" t="inlineStr">
        <is>
          <t>Nathan Ashford</t>
        </is>
      </c>
      <c r="C550" s="27" t="inlineStr">
        <is>
          <t>YouTuber</t>
        </is>
      </c>
      <c r="D550" s="27" t="inlineStr">
        <is>
          <t>GB</t>
        </is>
      </c>
      <c r="E550" s="27" t="inlineStr">
        <is>
          <t>English</t>
        </is>
      </c>
      <c r="F550" s="27" t="inlineStr">
        <is>
          <t>YouTube</t>
        </is>
      </c>
      <c r="G550" s="27" t="inlineStr">
        <is>
          <t>https://www.youtube.com/@nathanashford</t>
        </is>
      </c>
      <c r="H550" s="27" t="inlineStr">
        <is>
          <t>UCGB00546589231</t>
        </is>
      </c>
      <c r="I550" s="27" t="inlineStr">
        <is>
          <t>440,000</t>
        </is>
      </c>
      <c r="J550" s="27" t="inlineStr">
        <is>
          <t>2026-10-12</t>
        </is>
      </c>
      <c r="K550" s="27" t="inlineStr">
        <is>
          <t>https://www.youtube.com/watch?v=gb00546</t>
        </is>
      </c>
      <c r="L550" s="27" t="n">
        <v>14</v>
      </c>
      <c r="M550" s="27" t="n">
        <v>22</v>
      </c>
      <c r="N550" s="27" t="inlineStr">
        <is>
          <t>Course</t>
        </is>
      </c>
      <c r="O550" s="27" t="inlineStr">
        <is>
          <t>https://nathanashford.com/academy</t>
        </is>
      </c>
      <c r="P550" s="27" t="inlineStr">
        <is>
          <t>Multilingual Audio Dubbing</t>
        </is>
      </c>
      <c r="Q550" s="27" t="inlineStr">
        <is>
          <t>https://nathanashford.com/highlights</t>
        </is>
      </c>
      <c r="R550" s="27" t="inlineStr">
        <is>
          <t>X (Twitter)</t>
        </is>
      </c>
      <c r="S550" s="27" t="inlineStr">
        <is>
          <t>https://x.com/nathanashford</t>
        </is>
      </c>
      <c r="T550" s="27" t="inlineStr">
        <is>
          <t>https://nathanashford.com/links</t>
        </is>
      </c>
      <c r="U550" s="27" t="inlineStr">
        <is>
          <t>LinkedIn</t>
        </is>
      </c>
      <c r="V550" s="27" t="inlineStr">
        <is>
          <t>finance &amp; wealth engineering frameworks, specifically regarding episode 47 on Finance &amp; Wealth Engineering workflow optimization</t>
        </is>
      </c>
      <c r="W550" s="27" t="inlineStr">
        <is>
          <t>Hi Nathan,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50" s="27" t="inlineStr">
        <is>
          <t>2026-10-18</t>
        </is>
      </c>
      <c r="Y550" s="27" t="inlineStr">
        <is>
          <t>C</t>
        </is>
      </c>
      <c r="Z550" s="27" t="n">
        <v>75.2</v>
      </c>
      <c r="AA550" s="27" t="inlineStr">
        <is>
          <t>Qualified</t>
        </is>
      </c>
      <c r="AB550" s="27" t="inlineStr"/>
      <c r="AC550" s="28">
        <f>IF(A550="","",IF(COUNTIF($H$5:$H$1004,H550)&gt;1,"DUPLICATE","UNIQUE"))</f>
        <v/>
      </c>
      <c r="AD550" s="28">
        <f>IF(A550="","",IF(AA550="Rejected",IF(AB550&lt;&gt;"","REJECTED","ADD REASON"),IF(AND(B550&lt;&gt;"",C550&lt;&gt;"",D550&lt;&gt;"",E550&lt;&gt;"",F550&lt;&gt;"",G550&lt;&gt;"",H550&lt;&gt;"",J550&lt;&gt;"",K550&lt;&gt;"",N550&lt;&gt;"",O550&lt;&gt;"",P550&lt;&gt;"",Q550&lt;&gt;"",R550&lt;&gt;"",S550&lt;&gt;"",T550&lt;&gt;"",V550&lt;&gt;"",W550&lt;&gt;"",X550&lt;&gt;"",Y550&lt;&gt;""),"COMPLETE","MISSING FIELDS")))</f>
        <v/>
      </c>
    </row>
    <row r="551" ht="15" customHeight="1" s="15">
      <c r="A551" s="27" t="inlineStr">
        <is>
          <t>LEAD-0547</t>
        </is>
      </c>
      <c r="B551" s="27" t="inlineStr">
        <is>
          <t>Nathan Bancroft</t>
        </is>
      </c>
      <c r="C551" s="27" t="inlineStr">
        <is>
          <t>Podcaster</t>
        </is>
      </c>
      <c r="D551" s="27" t="inlineStr">
        <is>
          <t>GB</t>
        </is>
      </c>
      <c r="E551" s="27" t="inlineStr">
        <is>
          <t>English</t>
        </is>
      </c>
      <c r="F551" s="27" t="inlineStr">
        <is>
          <t>Apple Podcasts</t>
        </is>
      </c>
      <c r="G551" s="27" t="inlineStr">
        <is>
          <t>https://podcasts.apple.com/gb/podcast/nathanbancroft/id1000547</t>
        </is>
      </c>
      <c r="H551" s="27" t="inlineStr">
        <is>
          <t>AP-GB-1000547</t>
        </is>
      </c>
      <c r="I551" s="27" t="inlineStr">
        <is>
          <t>276,000</t>
        </is>
      </c>
      <c r="J551" s="27" t="inlineStr">
        <is>
          <t>2026-10-13</t>
        </is>
      </c>
      <c r="K551" s="27" t="inlineStr">
        <is>
          <t>https://nathanbancroft.com/episodes/148</t>
        </is>
      </c>
      <c r="L551" s="27" t="n">
        <v>15</v>
      </c>
      <c r="M551" s="27" t="n">
        <v>23</v>
      </c>
      <c r="N551" s="27" t="inlineStr">
        <is>
          <t>Sponsor</t>
        </is>
      </c>
      <c r="O551" s="27" t="inlineStr">
        <is>
          <t>https://nathanbancroft.com/partners</t>
        </is>
      </c>
      <c r="P551" s="27" t="inlineStr">
        <is>
          <t>Multilingual Audio Dubbing</t>
        </is>
      </c>
      <c r="Q551" s="27" t="inlineStr">
        <is>
          <t>https://nathanbancroft.com/highlights</t>
        </is>
      </c>
      <c r="R551" s="27" t="inlineStr">
        <is>
          <t>Email</t>
        </is>
      </c>
      <c r="S551" s="27" t="inlineStr">
        <is>
          <t>hello@nathanbancroft.com</t>
        </is>
      </c>
      <c r="T551" s="27" t="inlineStr">
        <is>
          <t>https://nathanbancroft.com/work-with-me</t>
        </is>
      </c>
      <c r="U551" s="27" t="inlineStr">
        <is>
          <t>LinkedIn</t>
        </is>
      </c>
      <c r="V551" s="27" t="inlineStr">
        <is>
          <t>health &amp; longevity science frameworks, specifically regarding episode 48 on Health &amp; Longevity Science workflow optimization</t>
        </is>
      </c>
      <c r="W551" s="27" t="inlineStr">
        <is>
          <t>Hi Nathan,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51" s="27" t="inlineStr">
        <is>
          <t>2026-10-18</t>
        </is>
      </c>
      <c r="Y551" s="27" t="inlineStr">
        <is>
          <t>C</t>
        </is>
      </c>
      <c r="Z551" s="27" t="n">
        <v>75.2</v>
      </c>
      <c r="AA551" s="27" t="inlineStr">
        <is>
          <t>Qualified</t>
        </is>
      </c>
      <c r="AB551" s="27" t="inlineStr"/>
      <c r="AC551" s="28">
        <f>IF(A551="","",IF(COUNTIF($H$5:$H$1004,H551)&gt;1,"DUPLICATE","UNIQUE"))</f>
        <v/>
      </c>
      <c r="AD551" s="28">
        <f>IF(A551="","",IF(AA551="Rejected",IF(AB551&lt;&gt;"","REJECTED","ADD REASON"),IF(AND(B551&lt;&gt;"",C551&lt;&gt;"",D551&lt;&gt;"",E551&lt;&gt;"",F551&lt;&gt;"",G551&lt;&gt;"",H551&lt;&gt;"",J551&lt;&gt;"",K551&lt;&gt;"",N551&lt;&gt;"",O551&lt;&gt;"",P551&lt;&gt;"",Q551&lt;&gt;"",R551&lt;&gt;"",S551&lt;&gt;"",T551&lt;&gt;"",V551&lt;&gt;"",W551&lt;&gt;"",X551&lt;&gt;"",Y551&lt;&gt;""),"COMPLETE","MISSING FIELDS")))</f>
        <v/>
      </c>
    </row>
    <row r="552" ht="15" customHeight="1" s="15">
      <c r="A552" s="27" t="inlineStr">
        <is>
          <t>LEAD-0548</t>
        </is>
      </c>
      <c r="B552" s="27" t="inlineStr">
        <is>
          <t>Nathan Calloway</t>
        </is>
      </c>
      <c r="C552" s="27" t="inlineStr">
        <is>
          <t>YouTuber</t>
        </is>
      </c>
      <c r="D552" s="27" t="inlineStr">
        <is>
          <t>GB</t>
        </is>
      </c>
      <c r="E552" s="27" t="inlineStr">
        <is>
          <t>English</t>
        </is>
      </c>
      <c r="F552" s="27" t="inlineStr">
        <is>
          <t>YouTube</t>
        </is>
      </c>
      <c r="G552" s="27" t="inlineStr">
        <is>
          <t>https://www.youtube.com/@nathancalloway</t>
        </is>
      </c>
      <c r="H552" s="27" t="inlineStr">
        <is>
          <t>UCGB00548810888</t>
        </is>
      </c>
      <c r="I552" s="27" t="inlineStr">
        <is>
          <t>480,000</t>
        </is>
      </c>
      <c r="J552" s="27" t="inlineStr">
        <is>
          <t>2026-10-14</t>
        </is>
      </c>
      <c r="K552" s="27" t="inlineStr">
        <is>
          <t>https://www.youtube.com/watch?v=gb00548</t>
        </is>
      </c>
      <c r="L552" s="27" t="n">
        <v>16</v>
      </c>
      <c r="M552" s="27" t="n">
        <v>24</v>
      </c>
      <c r="N552" s="27" t="inlineStr">
        <is>
          <t>Membership</t>
        </is>
      </c>
      <c r="O552" s="27" t="inlineStr">
        <is>
          <t>https://nathancalloway.com/community</t>
        </is>
      </c>
      <c r="P552" s="27" t="inlineStr">
        <is>
          <t>Missing Video Captions &amp; Retention Clips</t>
        </is>
      </c>
      <c r="Q552" s="27" t="inlineStr">
        <is>
          <t>https://nathancalloway.com/highlights</t>
        </is>
      </c>
      <c r="R552" s="27" t="inlineStr">
        <is>
          <t>Email</t>
        </is>
      </c>
      <c r="S552" s="27" t="inlineStr">
        <is>
          <t>contact@nathancalloway.com</t>
        </is>
      </c>
      <c r="T552" s="27" t="inlineStr">
        <is>
          <t>https://nathancalloway.com/contact</t>
        </is>
      </c>
      <c r="U552" s="27" t="inlineStr">
        <is>
          <t>LinkedIn</t>
        </is>
      </c>
      <c r="V552" s="27" t="inlineStr">
        <is>
          <t>education &amp; applied coding frameworks, specifically regarding episode 49 on Education &amp; Applied Coding workflow optimization</t>
        </is>
      </c>
      <c r="W552" s="27" t="inlineStr">
        <is>
          <t>Hi Nathan,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52" s="27" t="inlineStr">
        <is>
          <t>2026-10-18</t>
        </is>
      </c>
      <c r="Y552" s="27" t="inlineStr">
        <is>
          <t>C</t>
        </is>
      </c>
      <c r="Z552" s="27" t="n">
        <v>75.09999999999999</v>
      </c>
      <c r="AA552" s="27" t="inlineStr">
        <is>
          <t>Qualified</t>
        </is>
      </c>
      <c r="AB552" s="27" t="inlineStr"/>
      <c r="AC552" s="28">
        <f>IF(A552="","",IF(COUNTIF($H$5:$H$1004,H552)&gt;1,"DUPLICATE","UNIQUE"))</f>
        <v/>
      </c>
      <c r="AD552" s="28">
        <f>IF(A552="","",IF(AA552="Rejected",IF(AB552&lt;&gt;"","REJECTED","ADD REASON"),IF(AND(B552&lt;&gt;"",C552&lt;&gt;"",D552&lt;&gt;"",E552&lt;&gt;"",F552&lt;&gt;"",G552&lt;&gt;"",H552&lt;&gt;"",J552&lt;&gt;"",K552&lt;&gt;"",N552&lt;&gt;"",O552&lt;&gt;"",P552&lt;&gt;"",Q552&lt;&gt;"",R552&lt;&gt;"",S552&lt;&gt;"",T552&lt;&gt;"",V552&lt;&gt;"",W552&lt;&gt;"",X552&lt;&gt;"",Y552&lt;&gt;""),"COMPLETE","MISSING FIELDS")))</f>
        <v/>
      </c>
    </row>
    <row r="553" ht="15" customHeight="1" s="15">
      <c r="A553" s="27" t="inlineStr">
        <is>
          <t>LEAD-0549</t>
        </is>
      </c>
      <c r="B553" s="27" t="inlineStr">
        <is>
          <t>Nathan Delaney</t>
        </is>
      </c>
      <c r="C553" s="27" t="inlineStr">
        <is>
          <t>Podcaster</t>
        </is>
      </c>
      <c r="D553" s="27" t="inlineStr">
        <is>
          <t>GB</t>
        </is>
      </c>
      <c r="E553" s="27" t="inlineStr">
        <is>
          <t>English</t>
        </is>
      </c>
      <c r="F553" s="27" t="inlineStr">
        <is>
          <t>Apple Podcasts</t>
        </is>
      </c>
      <c r="G553" s="27" t="inlineStr">
        <is>
          <t>https://podcasts.apple.com/gb/podcast/nathandelaney/id1000549</t>
        </is>
      </c>
      <c r="H553" s="27" t="inlineStr">
        <is>
          <t>AP-GB-1000549</t>
        </is>
      </c>
      <c r="I553" s="27" t="inlineStr">
        <is>
          <t>300,000</t>
        </is>
      </c>
      <c r="J553" s="27" t="inlineStr">
        <is>
          <t>2026-10-15</t>
        </is>
      </c>
      <c r="K553" s="27" t="inlineStr">
        <is>
          <t>https://nathandelaney.com/episodes/150</t>
        </is>
      </c>
      <c r="L553" s="27" t="n">
        <v>17</v>
      </c>
      <c r="M553" s="27" t="n">
        <v>25</v>
      </c>
      <c r="N553" s="27" t="inlineStr">
        <is>
          <t>Product</t>
        </is>
      </c>
      <c r="O553" s="27" t="inlineStr">
        <is>
          <t>https://nathandelaney.com/shop</t>
        </is>
      </c>
      <c r="P553" s="27" t="inlineStr">
        <is>
          <t>Shorts Repurposing Bottleneck</t>
        </is>
      </c>
      <c r="Q553" s="27" t="inlineStr">
        <is>
          <t>https://nathandelaney.com/highlights</t>
        </is>
      </c>
      <c r="R553" s="27" t="inlineStr">
        <is>
          <t>LinkedIn</t>
        </is>
      </c>
      <c r="S553" s="27" t="inlineStr">
        <is>
          <t>https://linkedin.com/in/nathandelaney</t>
        </is>
      </c>
      <c r="T553" s="27" t="inlineStr">
        <is>
          <t>https://nathandelaney.com/about</t>
        </is>
      </c>
      <c r="U553" s="27" t="inlineStr">
        <is>
          <t>Email</t>
        </is>
      </c>
      <c r="V553" s="27" t="inlineStr">
        <is>
          <t>e-commerce &amp; digital brands frameworks, specifically regarding episode 50 on E-Commerce &amp; Digital Brands workflow optimization</t>
        </is>
      </c>
      <c r="W553" s="27" t="inlineStr">
        <is>
          <t>Hi Nathan,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53" s="27" t="inlineStr">
        <is>
          <t>2026-10-18</t>
        </is>
      </c>
      <c r="Y553" s="27" t="inlineStr">
        <is>
          <t>C</t>
        </is>
      </c>
      <c r="Z553" s="27" t="n">
        <v>75.09999999999999</v>
      </c>
      <c r="AA553" s="27" t="inlineStr">
        <is>
          <t>Qualified</t>
        </is>
      </c>
      <c r="AB553" s="27" t="inlineStr"/>
      <c r="AC553" s="28">
        <f>IF(A553="","",IF(COUNTIF($H$5:$H$1004,H553)&gt;1,"DUPLICATE","UNIQUE"))</f>
        <v/>
      </c>
      <c r="AD553" s="28">
        <f>IF(A553="","",IF(AA553="Rejected",IF(AB553&lt;&gt;"","REJECTED","ADD REASON"),IF(AND(B553&lt;&gt;"",C553&lt;&gt;"",D553&lt;&gt;"",E553&lt;&gt;"",F553&lt;&gt;"",G553&lt;&gt;"",H553&lt;&gt;"",J553&lt;&gt;"",K553&lt;&gt;"",N553&lt;&gt;"",O553&lt;&gt;"",P553&lt;&gt;"",Q553&lt;&gt;"",R553&lt;&gt;"",S553&lt;&gt;"",T553&lt;&gt;"",V553&lt;&gt;"",W553&lt;&gt;"",X553&lt;&gt;"",Y553&lt;&gt;""),"COMPLETE","MISSING FIELDS")))</f>
        <v/>
      </c>
    </row>
    <row r="554" ht="15" customHeight="1" s="15">
      <c r="A554" s="27" t="inlineStr">
        <is>
          <t>LEAD-0550</t>
        </is>
      </c>
      <c r="B554" s="27" t="inlineStr">
        <is>
          <t>Nathan Eastwood</t>
        </is>
      </c>
      <c r="C554" s="27" t="inlineStr">
        <is>
          <t>YouTuber</t>
        </is>
      </c>
      <c r="D554" s="27" t="inlineStr">
        <is>
          <t>GB</t>
        </is>
      </c>
      <c r="E554" s="27" t="inlineStr">
        <is>
          <t>English</t>
        </is>
      </c>
      <c r="F554" s="27" t="inlineStr">
        <is>
          <t>YouTube</t>
        </is>
      </c>
      <c r="G554" s="27" t="inlineStr">
        <is>
          <t>https://www.youtube.com/@nathaneastwood</t>
        </is>
      </c>
      <c r="H554" s="27" t="inlineStr">
        <is>
          <t>UCGB00550291842</t>
        </is>
      </c>
      <c r="I554" s="27" t="inlineStr">
        <is>
          <t>520,000</t>
        </is>
      </c>
      <c r="J554" s="27" t="inlineStr">
        <is>
          <t>2026-10-16</t>
        </is>
      </c>
      <c r="K554" s="27" t="inlineStr">
        <is>
          <t>https://www.youtube.com/watch?v=gb00550</t>
        </is>
      </c>
      <c r="L554" s="27" t="n">
        <v>8</v>
      </c>
      <c r="M554" s="27" t="n">
        <v>26</v>
      </c>
      <c r="N554" s="27" t="inlineStr">
        <is>
          <t>Consulting</t>
        </is>
      </c>
      <c r="O554" s="27" t="inlineStr">
        <is>
          <t>https://nathaneastwood.com/advisory</t>
        </is>
      </c>
      <c r="P554" s="27" t="inlineStr">
        <is>
          <t>Shorts Repurposing Bottleneck</t>
        </is>
      </c>
      <c r="Q554" s="27" t="inlineStr">
        <is>
          <t>https://nathaneastwood.com/highlights</t>
        </is>
      </c>
      <c r="R554" s="27" t="inlineStr">
        <is>
          <t>X (Twitter)</t>
        </is>
      </c>
      <c r="S554" s="27" t="inlineStr">
        <is>
          <t>https://x.com/nathaneastwood</t>
        </is>
      </c>
      <c r="T554" s="27" t="inlineStr">
        <is>
          <t>https://nathaneastwood.com/links</t>
        </is>
      </c>
      <c r="U554" s="27" t="inlineStr">
        <is>
          <t>LinkedIn</t>
        </is>
      </c>
      <c r="V554" s="27" t="inlineStr">
        <is>
          <t>tech &amp; ai frameworks, specifically regarding episode 1 on Tech &amp; AI workflow optimization</t>
        </is>
      </c>
      <c r="W554" s="27" t="inlineStr">
        <is>
          <t>Hi Nathan,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54" s="27" t="inlineStr">
        <is>
          <t>2026-10-18</t>
        </is>
      </c>
      <c r="Y554" s="27" t="inlineStr">
        <is>
          <t>C</t>
        </is>
      </c>
      <c r="Z554" s="27" t="n">
        <v>75</v>
      </c>
      <c r="AA554" s="27" t="inlineStr">
        <is>
          <t>Qualified</t>
        </is>
      </c>
      <c r="AB554" s="27" t="inlineStr"/>
      <c r="AC554" s="28">
        <f>IF(A554="","",IF(COUNTIF($H$5:$H$1004,H554)&gt;1,"DUPLICATE","UNIQUE"))</f>
        <v/>
      </c>
      <c r="AD554" s="28">
        <f>IF(A554="","",IF(AA554="Rejected",IF(AB554&lt;&gt;"","REJECTED","ADD REASON"),IF(AND(B554&lt;&gt;"",C554&lt;&gt;"",D554&lt;&gt;"",E554&lt;&gt;"",F554&lt;&gt;"",G554&lt;&gt;"",H554&lt;&gt;"",J554&lt;&gt;"",K554&lt;&gt;"",N554&lt;&gt;"",O554&lt;&gt;"",P554&lt;&gt;"",Q554&lt;&gt;"",R554&lt;&gt;"",S554&lt;&gt;"",T554&lt;&gt;"",V554&lt;&gt;"",W554&lt;&gt;"",X554&lt;&gt;"",Y554&lt;&gt;""),"COMPLETE","MISSING FIELDS")))</f>
        <v/>
      </c>
    </row>
    <row r="555" ht="15" customHeight="1" s="15">
      <c r="A555" s="27" t="inlineStr">
        <is>
          <t>LEAD-0551</t>
        </is>
      </c>
      <c r="B555" s="27" t="inlineStr">
        <is>
          <t>Nathan Fairchild</t>
        </is>
      </c>
      <c r="C555" s="27" t="inlineStr">
        <is>
          <t>Podcaster</t>
        </is>
      </c>
      <c r="D555" s="27" t="inlineStr">
        <is>
          <t>GB</t>
        </is>
      </c>
      <c r="E555" s="27" t="inlineStr">
        <is>
          <t>English</t>
        </is>
      </c>
      <c r="F555" s="27" t="inlineStr">
        <is>
          <t>Apple Podcasts</t>
        </is>
      </c>
      <c r="G555" s="27" t="inlineStr">
        <is>
          <t>https://podcasts.apple.com/gb/podcast/nathanfairchild/id1000551</t>
        </is>
      </c>
      <c r="H555" s="27" t="inlineStr">
        <is>
          <t>AP-GB-1000551</t>
        </is>
      </c>
      <c r="I555" s="27" t="inlineStr">
        <is>
          <t>24,000</t>
        </is>
      </c>
      <c r="J555" s="27" t="inlineStr">
        <is>
          <t>2026-10-17</t>
        </is>
      </c>
      <c r="K555" s="27" t="inlineStr">
        <is>
          <t>https://nathanfairchild.com/episodes/152</t>
        </is>
      </c>
      <c r="L555" s="27" t="n">
        <v>9</v>
      </c>
      <c r="M555" s="27" t="n">
        <v>27</v>
      </c>
      <c r="N555" s="27" t="inlineStr">
        <is>
          <t>Newsletter Subscription</t>
        </is>
      </c>
      <c r="O555" s="27" t="inlineStr">
        <is>
          <t>https://nathanfairchild.com/subscribe</t>
        </is>
      </c>
      <c r="P555" s="27" t="inlineStr">
        <is>
          <t>Missing Video Captions &amp; Retention Clips</t>
        </is>
      </c>
      <c r="Q555" s="27" t="inlineStr">
        <is>
          <t>https://nathanfairchild.com/highlights</t>
        </is>
      </c>
      <c r="R555" s="27" t="inlineStr">
        <is>
          <t>Email</t>
        </is>
      </c>
      <c r="S555" s="27" t="inlineStr">
        <is>
          <t>hello@nathanfairchild.com</t>
        </is>
      </c>
      <c r="T555" s="27" t="inlineStr">
        <is>
          <t>https://nathanfairchild.com/work-with-me</t>
        </is>
      </c>
      <c r="U555" s="27" t="inlineStr">
        <is>
          <t>LinkedIn</t>
        </is>
      </c>
      <c r="V555" s="27" t="inlineStr">
        <is>
          <t>saas &amp; product growth frameworks, specifically regarding episode 2 on SaaS &amp; Product Growth workflow optimization</t>
        </is>
      </c>
      <c r="W555" s="27" t="inlineStr">
        <is>
          <t>Hi Nathan, loved your recent piece on 'saas &amp; product growth frameworks, specifically regarding episode 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55" s="27" t="inlineStr">
        <is>
          <t>2026-10-18</t>
        </is>
      </c>
      <c r="Y555" s="27" t="inlineStr">
        <is>
          <t>C</t>
        </is>
      </c>
      <c r="Z555" s="27" t="n">
        <v>74.90000000000001</v>
      </c>
      <c r="AA555" s="27" t="inlineStr">
        <is>
          <t>Qualified</t>
        </is>
      </c>
      <c r="AB555" s="27" t="inlineStr"/>
      <c r="AC555" s="28">
        <f>IF(A555="","",IF(COUNTIF($H$5:$H$1004,H555)&gt;1,"DUPLICATE","UNIQUE"))</f>
        <v/>
      </c>
      <c r="AD555" s="28">
        <f>IF(A555="","",IF(AA555="Rejected",IF(AB555&lt;&gt;"","REJECTED","ADD REASON"),IF(AND(B555&lt;&gt;"",C555&lt;&gt;"",D555&lt;&gt;"",E555&lt;&gt;"",F555&lt;&gt;"",G555&lt;&gt;"",H555&lt;&gt;"",J555&lt;&gt;"",K555&lt;&gt;"",N555&lt;&gt;"",O555&lt;&gt;"",P555&lt;&gt;"",Q555&lt;&gt;"",R555&lt;&gt;"",S555&lt;&gt;"",T555&lt;&gt;"",V555&lt;&gt;"",W555&lt;&gt;"",X555&lt;&gt;"",Y555&lt;&gt;""),"COMPLETE","MISSING FIELDS")))</f>
        <v/>
      </c>
    </row>
    <row r="556" ht="15" customHeight="1" s="15">
      <c r="A556" s="27" t="inlineStr">
        <is>
          <t>LEAD-0552</t>
        </is>
      </c>
      <c r="B556" s="27" t="inlineStr">
        <is>
          <t>Nathan Gallagher</t>
        </is>
      </c>
      <c r="C556" s="27" t="inlineStr">
        <is>
          <t>Expert-Led Creator</t>
        </is>
      </c>
      <c r="D556" s="27" t="inlineStr">
        <is>
          <t>GB</t>
        </is>
      </c>
      <c r="E556" s="27" t="inlineStr">
        <is>
          <t>English</t>
        </is>
      </c>
      <c r="F556" s="27" t="inlineStr">
        <is>
          <t>YouTube</t>
        </is>
      </c>
      <c r="G556" s="27" t="inlineStr">
        <is>
          <t>https://www.youtube.com/@nathangallagher</t>
        </is>
      </c>
      <c r="H556" s="27" t="inlineStr">
        <is>
          <t>UCGB00552900682</t>
        </is>
      </c>
      <c r="I556" s="27" t="inlineStr">
        <is>
          <t>560,000</t>
        </is>
      </c>
      <c r="J556" s="27" t="inlineStr">
        <is>
          <t>2026-10-10</t>
        </is>
      </c>
      <c r="K556" s="27" t="inlineStr">
        <is>
          <t>https://www.youtube.com/watch?v=gb00552</t>
        </is>
      </c>
      <c r="L556" s="27" t="n">
        <v>10</v>
      </c>
      <c r="M556" s="27" t="n">
        <v>28</v>
      </c>
      <c r="N556" s="27" t="inlineStr">
        <is>
          <t>Affiliate</t>
        </is>
      </c>
      <c r="O556" s="27" t="inlineStr">
        <is>
          <t>https://nathangallagher.com/resources</t>
        </is>
      </c>
      <c r="P556" s="27" t="inlineStr">
        <is>
          <t>Editing Backlog &amp; Team Workflow Overhead</t>
        </is>
      </c>
      <c r="Q556" s="27" t="inlineStr">
        <is>
          <t>https://nathangallagher.com/highlights</t>
        </is>
      </c>
      <c r="R556" s="27" t="inlineStr">
        <is>
          <t>Email</t>
        </is>
      </c>
      <c r="S556" s="27" t="inlineStr">
        <is>
          <t>contact@nathangallagher.com</t>
        </is>
      </c>
      <c r="T556" s="27" t="inlineStr">
        <is>
          <t>https://nathangallagher.com/contact</t>
        </is>
      </c>
      <c r="U556" s="27" t="inlineStr">
        <is>
          <t>LinkedIn</t>
        </is>
      </c>
      <c r="V556" s="27" t="inlineStr">
        <is>
          <t>creator business &amp; monetization frameworks, specifically regarding episode 3 on Creator Business &amp; Monetization workflow optimization</t>
        </is>
      </c>
      <c r="W556" s="27" t="inlineStr">
        <is>
          <t>Hi Nathan, loved your recent piece on 'creator business &amp; monetization frameworks, specifically regarding episode 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56" s="27" t="inlineStr">
        <is>
          <t>2026-10-18</t>
        </is>
      </c>
      <c r="Y556" s="27" t="inlineStr">
        <is>
          <t>C</t>
        </is>
      </c>
      <c r="Z556" s="27" t="n">
        <v>74.90000000000001</v>
      </c>
      <c r="AA556" s="27" t="inlineStr">
        <is>
          <t>Qualified</t>
        </is>
      </c>
      <c r="AB556" s="27" t="inlineStr"/>
      <c r="AC556" s="28">
        <f>IF(A556="","",IF(COUNTIF($H$5:$H$1004,H556)&gt;1,"DUPLICATE","UNIQUE"))</f>
        <v/>
      </c>
      <c r="AD556" s="28">
        <f>IF(A556="","",IF(AA556="Rejected",IF(AB556&lt;&gt;"","REJECTED","ADD REASON"),IF(AND(B556&lt;&gt;"",C556&lt;&gt;"",D556&lt;&gt;"",E556&lt;&gt;"",F556&lt;&gt;"",G556&lt;&gt;"",H556&lt;&gt;"",J556&lt;&gt;"",K556&lt;&gt;"",N556&lt;&gt;"",O556&lt;&gt;"",P556&lt;&gt;"",Q556&lt;&gt;"",R556&lt;&gt;"",S556&lt;&gt;"",T556&lt;&gt;"",V556&lt;&gt;"",W556&lt;&gt;"",X556&lt;&gt;"",Y556&lt;&gt;""),"COMPLETE","MISSING FIELDS")))</f>
        <v/>
      </c>
    </row>
    <row r="557" ht="15" customHeight="1" s="15">
      <c r="A557" s="27" t="inlineStr">
        <is>
          <t>LEAD-0553</t>
        </is>
      </c>
      <c r="B557" s="27" t="inlineStr">
        <is>
          <t>Nathan Hawthorne</t>
        </is>
      </c>
      <c r="C557" s="27" t="inlineStr">
        <is>
          <t>YouTuber</t>
        </is>
      </c>
      <c r="D557" s="27" t="inlineStr">
        <is>
          <t>GB</t>
        </is>
      </c>
      <c r="E557" s="27" t="inlineStr">
        <is>
          <t>English</t>
        </is>
      </c>
      <c r="F557" s="27" t="inlineStr">
        <is>
          <t>YouTube</t>
        </is>
      </c>
      <c r="G557" s="27" t="inlineStr">
        <is>
          <t>https://www.youtube.com/@nathanhawthorne</t>
        </is>
      </c>
      <c r="H557" s="27" t="inlineStr">
        <is>
          <t>UCGB00553880673</t>
        </is>
      </c>
      <c r="I557" s="27" t="inlineStr">
        <is>
          <t>580,000</t>
        </is>
      </c>
      <c r="J557" s="27" t="inlineStr">
        <is>
          <t>2026-10-11</t>
        </is>
      </c>
      <c r="K557" s="27" t="inlineStr">
        <is>
          <t>https://www.youtube.com/watch?v=gb00553</t>
        </is>
      </c>
      <c r="L557" s="27" t="n">
        <v>11</v>
      </c>
      <c r="M557" s="27" t="n">
        <v>29</v>
      </c>
      <c r="N557" s="27" t="inlineStr">
        <is>
          <t>Course</t>
        </is>
      </c>
      <c r="O557" s="27" t="inlineStr">
        <is>
          <t>https://nathanhawthorne.com/academy</t>
        </is>
      </c>
      <c r="P557" s="27" t="inlineStr">
        <is>
          <t>Shorts Repurposing Bottleneck</t>
        </is>
      </c>
      <c r="Q557" s="27" t="inlineStr">
        <is>
          <t>https://nathanhawthorne.com/highlights</t>
        </is>
      </c>
      <c r="R557" s="27" t="inlineStr">
        <is>
          <t>LinkedIn</t>
        </is>
      </c>
      <c r="S557" s="27" t="inlineStr">
        <is>
          <t>https://linkedin.com/in/nathanhawthorne</t>
        </is>
      </c>
      <c r="T557" s="27" t="inlineStr">
        <is>
          <t>https://nathanhawthorne.com/about</t>
        </is>
      </c>
      <c r="U557" s="27" t="inlineStr">
        <is>
          <t>Email</t>
        </is>
      </c>
      <c r="V557" s="27" t="inlineStr">
        <is>
          <t>productivity &amp; personal systems frameworks, specifically regarding episode 4 on Productivity &amp; Personal Systems workflow optimization</t>
        </is>
      </c>
      <c r="W557" s="27" t="inlineStr">
        <is>
          <t>Hi Nathan, loved your recent piece on 'productivity &amp; personal systems frameworks, specifically regarding episode 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57" s="27" t="inlineStr">
        <is>
          <t>2026-10-18</t>
        </is>
      </c>
      <c r="Y557" s="27" t="inlineStr">
        <is>
          <t>C</t>
        </is>
      </c>
      <c r="Z557" s="27" t="n">
        <v>74.8</v>
      </c>
      <c r="AA557" s="27" t="inlineStr">
        <is>
          <t>Qualified</t>
        </is>
      </c>
      <c r="AB557" s="27" t="inlineStr"/>
      <c r="AC557" s="28">
        <f>IF(A557="","",IF(COUNTIF($H$5:$H$1004,H557)&gt;1,"DUPLICATE","UNIQUE"))</f>
        <v/>
      </c>
      <c r="AD557" s="28">
        <f>IF(A557="","",IF(AA557="Rejected",IF(AB557&lt;&gt;"","REJECTED","ADD REASON"),IF(AND(B557&lt;&gt;"",C557&lt;&gt;"",D557&lt;&gt;"",E557&lt;&gt;"",F557&lt;&gt;"",G557&lt;&gt;"",H557&lt;&gt;"",J557&lt;&gt;"",K557&lt;&gt;"",N557&lt;&gt;"",O557&lt;&gt;"",P557&lt;&gt;"",Q557&lt;&gt;"",R557&lt;&gt;"",S557&lt;&gt;"",T557&lt;&gt;"",V557&lt;&gt;"",W557&lt;&gt;"",X557&lt;&gt;"",Y557&lt;&gt;""),"COMPLETE","MISSING FIELDS")))</f>
        <v/>
      </c>
    </row>
    <row r="558" ht="15" customHeight="1" s="15">
      <c r="A558" s="27" t="inlineStr">
        <is>
          <t>LEAD-0554</t>
        </is>
      </c>
      <c r="B558" s="27" t="inlineStr">
        <is>
          <t>Nathan Ingram</t>
        </is>
      </c>
      <c r="C558" s="27" t="inlineStr">
        <is>
          <t>Podcaster</t>
        </is>
      </c>
      <c r="D558" s="27" t="inlineStr">
        <is>
          <t>GB</t>
        </is>
      </c>
      <c r="E558" s="27" t="inlineStr">
        <is>
          <t>English</t>
        </is>
      </c>
      <c r="F558" s="27" t="inlineStr">
        <is>
          <t>Apple Podcasts</t>
        </is>
      </c>
      <c r="G558" s="27" t="inlineStr">
        <is>
          <t>https://podcasts.apple.com/gb/podcast/nathaningram/id1000554</t>
        </is>
      </c>
      <c r="H558" s="27" t="inlineStr">
        <is>
          <t>AP-GB-1000554</t>
        </is>
      </c>
      <c r="I558" s="27" t="inlineStr">
        <is>
          <t>60,000</t>
        </is>
      </c>
      <c r="J558" s="27" t="inlineStr">
        <is>
          <t>2026-10-12</t>
        </is>
      </c>
      <c r="K558" s="27" t="inlineStr">
        <is>
          <t>https://nathaningram.com/episodes/155</t>
        </is>
      </c>
      <c r="L558" s="27" t="n">
        <v>12</v>
      </c>
      <c r="M558" s="27" t="n">
        <v>30</v>
      </c>
      <c r="N558" s="27" t="inlineStr">
        <is>
          <t>Sponsor</t>
        </is>
      </c>
      <c r="O558" s="27" t="inlineStr">
        <is>
          <t>https://nathaningram.com/partners</t>
        </is>
      </c>
      <c r="P558" s="27" t="inlineStr">
        <is>
          <t>Inconsistent Cross-Platform Publishing</t>
        </is>
      </c>
      <c r="Q558" s="27" t="inlineStr">
        <is>
          <t>https://nathaningram.com/highlights</t>
        </is>
      </c>
      <c r="R558" s="27" t="inlineStr">
        <is>
          <t>X (Twitter)</t>
        </is>
      </c>
      <c r="S558" s="27" t="inlineStr">
        <is>
          <t>https://x.com/nathaningram</t>
        </is>
      </c>
      <c r="T558" s="27" t="inlineStr">
        <is>
          <t>https://nathaningram.com/links</t>
        </is>
      </c>
      <c r="U558" s="27" t="inlineStr">
        <is>
          <t>LinkedIn</t>
        </is>
      </c>
      <c r="V558" s="27" t="inlineStr">
        <is>
          <t>leadership &amp; team ops frameworks, specifically regarding episode 5 on Leadership &amp; Team Ops workflow optimization</t>
        </is>
      </c>
      <c r="W558" s="27" t="inlineStr">
        <is>
          <t>Hi Nathan, loved your recent piece on 'leadership &amp; team ops frameworks, specifically regarding episode 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58" s="27" t="inlineStr">
        <is>
          <t>2026-10-18</t>
        </is>
      </c>
      <c r="Y558" s="27" t="inlineStr">
        <is>
          <t>C</t>
        </is>
      </c>
      <c r="Z558" s="27" t="n">
        <v>74.8</v>
      </c>
      <c r="AA558" s="27" t="inlineStr">
        <is>
          <t>Qualified</t>
        </is>
      </c>
      <c r="AB558" s="27" t="inlineStr"/>
      <c r="AC558" s="28">
        <f>IF(A558="","",IF(COUNTIF($H$5:$H$1004,H558)&gt;1,"DUPLICATE","UNIQUE"))</f>
        <v/>
      </c>
      <c r="AD558" s="28">
        <f>IF(A558="","",IF(AA558="Rejected",IF(AB558&lt;&gt;"","REJECTED","ADD REASON"),IF(AND(B558&lt;&gt;"",C558&lt;&gt;"",D558&lt;&gt;"",E558&lt;&gt;"",F558&lt;&gt;"",G558&lt;&gt;"",H558&lt;&gt;"",J558&lt;&gt;"",K558&lt;&gt;"",N558&lt;&gt;"",O558&lt;&gt;"",P558&lt;&gt;"",Q558&lt;&gt;"",R558&lt;&gt;"",S558&lt;&gt;"",T558&lt;&gt;"",V558&lt;&gt;"",W558&lt;&gt;"",X558&lt;&gt;"",Y558&lt;&gt;""),"COMPLETE","MISSING FIELDS")))</f>
        <v/>
      </c>
    </row>
    <row r="559" ht="15" customHeight="1" s="15">
      <c r="A559" s="27" t="inlineStr">
        <is>
          <t>LEAD-0555</t>
        </is>
      </c>
      <c r="B559" s="27" t="inlineStr">
        <is>
          <t>Nathan Jennings</t>
        </is>
      </c>
      <c r="C559" s="27" t="inlineStr">
        <is>
          <t>Expert-Led Creator</t>
        </is>
      </c>
      <c r="D559" s="27" t="inlineStr">
        <is>
          <t>GB</t>
        </is>
      </c>
      <c r="E559" s="27" t="inlineStr">
        <is>
          <t>English</t>
        </is>
      </c>
      <c r="F559" s="27" t="inlineStr">
        <is>
          <t>LinkedIn</t>
        </is>
      </c>
      <c r="G559" s="27" t="inlineStr">
        <is>
          <t>https://www.linkedin.com/in/nathanjennings</t>
        </is>
      </c>
      <c r="H559" s="27" t="inlineStr">
        <is>
          <t>LI-nathanjennings-0555</t>
        </is>
      </c>
      <c r="I559" s="27" t="inlineStr">
        <is>
          <t>96,000</t>
        </is>
      </c>
      <c r="J559" s="27" t="inlineStr">
        <is>
          <t>2026-10-13</t>
        </is>
      </c>
      <c r="K559" s="27" t="inlineStr">
        <is>
          <t>https://nathanjennings.com/posts/106</t>
        </is>
      </c>
      <c r="L559" s="27" t="n">
        <v>13</v>
      </c>
      <c r="M559" s="27" t="n">
        <v>31</v>
      </c>
      <c r="N559" s="27" t="inlineStr">
        <is>
          <t>Membership</t>
        </is>
      </c>
      <c r="O559" s="27" t="inlineStr">
        <is>
          <t>https://nathanjennings.com/community</t>
        </is>
      </c>
      <c r="P559" s="27" t="inlineStr">
        <is>
          <t>Editing Backlog &amp; Team Workflow Overhead</t>
        </is>
      </c>
      <c r="Q559" s="27" t="inlineStr">
        <is>
          <t>https://nathanjennings.com/highlights</t>
        </is>
      </c>
      <c r="R559" s="27" t="inlineStr">
        <is>
          <t>Email</t>
        </is>
      </c>
      <c r="S559" s="27" t="inlineStr">
        <is>
          <t>hello@nathanjennings.com</t>
        </is>
      </c>
      <c r="T559" s="27" t="inlineStr">
        <is>
          <t>https://nathanjennings.com/work-with-me</t>
        </is>
      </c>
      <c r="U559" s="27" t="inlineStr">
        <is>
          <t>LinkedIn</t>
        </is>
      </c>
      <c r="V559" s="27" t="inlineStr">
        <is>
          <t>b2b marketing &amp; sales frameworks, specifically regarding episode 6 on B2B Marketing &amp; Sales workflow optimization</t>
        </is>
      </c>
      <c r="W559" s="27" t="inlineStr">
        <is>
          <t>Hi Nathan, loved your recent piece on 'b2b marketing &amp; sales frameworks, specifically regarding episode 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59" s="27" t="inlineStr">
        <is>
          <t>2026-10-18</t>
        </is>
      </c>
      <c r="Y559" s="27" t="inlineStr">
        <is>
          <t>C</t>
        </is>
      </c>
      <c r="Z559" s="27" t="n">
        <v>74.7</v>
      </c>
      <c r="AA559" s="27" t="inlineStr">
        <is>
          <t>Qualified</t>
        </is>
      </c>
      <c r="AB559" s="27" t="inlineStr"/>
      <c r="AC559" s="28">
        <f>IF(A559="","",IF(COUNTIF($H$5:$H$1004,H559)&gt;1,"DUPLICATE","UNIQUE"))</f>
        <v/>
      </c>
      <c r="AD559" s="28">
        <f>IF(A559="","",IF(AA559="Rejected",IF(AB559&lt;&gt;"","REJECTED","ADD REASON"),IF(AND(B559&lt;&gt;"",C559&lt;&gt;"",D559&lt;&gt;"",E559&lt;&gt;"",F559&lt;&gt;"",G559&lt;&gt;"",H559&lt;&gt;"",J559&lt;&gt;"",K559&lt;&gt;"",N559&lt;&gt;"",O559&lt;&gt;"",P559&lt;&gt;"",Q559&lt;&gt;"",R559&lt;&gt;"",S559&lt;&gt;"",T559&lt;&gt;"",V559&lt;&gt;"",W559&lt;&gt;"",X559&lt;&gt;"",Y559&lt;&gt;""),"COMPLETE","MISSING FIELDS")))</f>
        <v/>
      </c>
    </row>
    <row r="560" ht="15" customHeight="1" s="15">
      <c r="A560" s="27" t="inlineStr">
        <is>
          <t>LEAD-0556</t>
        </is>
      </c>
      <c r="B560" s="27" t="inlineStr">
        <is>
          <t>Nathan Kingsley</t>
        </is>
      </c>
      <c r="C560" s="27" t="inlineStr">
        <is>
          <t>YouTuber</t>
        </is>
      </c>
      <c r="D560" s="27" t="inlineStr">
        <is>
          <t>GB</t>
        </is>
      </c>
      <c r="E560" s="27" t="inlineStr">
        <is>
          <t>English</t>
        </is>
      </c>
      <c r="F560" s="27" t="inlineStr">
        <is>
          <t>YouTube</t>
        </is>
      </c>
      <c r="G560" s="27" t="inlineStr">
        <is>
          <t>https://www.youtube.com/@nathankingsley</t>
        </is>
      </c>
      <c r="H560" s="27" t="inlineStr">
        <is>
          <t>UCGB00556802795</t>
        </is>
      </c>
      <c r="I560" s="27" t="inlineStr">
        <is>
          <t>640,000</t>
        </is>
      </c>
      <c r="J560" s="27" t="inlineStr">
        <is>
          <t>2026-10-14</t>
        </is>
      </c>
      <c r="K560" s="27" t="inlineStr">
        <is>
          <t>https://www.youtube.com/watch?v=gb00556</t>
        </is>
      </c>
      <c r="L560" s="27" t="n">
        <v>14</v>
      </c>
      <c r="M560" s="27" t="n">
        <v>32</v>
      </c>
      <c r="N560" s="27" t="inlineStr">
        <is>
          <t>Product</t>
        </is>
      </c>
      <c r="O560" s="27" t="inlineStr">
        <is>
          <t>https://nathankingsley.com/shop</t>
        </is>
      </c>
      <c r="P560" s="27" t="inlineStr">
        <is>
          <t>Multilingual Audio Dubbing</t>
        </is>
      </c>
      <c r="Q560" s="27" t="inlineStr">
        <is>
          <t>https://nathankingsley.com/highlights</t>
        </is>
      </c>
      <c r="R560" s="27" t="inlineStr">
        <is>
          <t>Email</t>
        </is>
      </c>
      <c r="S560" s="27" t="inlineStr">
        <is>
          <t>contact@nathankingsley.com</t>
        </is>
      </c>
      <c r="T560" s="27" t="inlineStr">
        <is>
          <t>https://nathankingsley.com/contact</t>
        </is>
      </c>
      <c r="U560" s="27" t="inlineStr">
        <is>
          <t>LinkedIn</t>
        </is>
      </c>
      <c r="V560" s="27" t="inlineStr">
        <is>
          <t>finance &amp; wealth engineering frameworks, specifically regarding episode 7 on Finance &amp; Wealth Engineering workflow optimization</t>
        </is>
      </c>
      <c r="W560" s="27" t="inlineStr">
        <is>
          <t>Hi Nathan, loved your recent piece on 'finance &amp; wealth engineering frameworks, specifically regarding episode 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60" s="27" t="inlineStr">
        <is>
          <t>2026-10-18</t>
        </is>
      </c>
      <c r="Y560" s="27" t="inlineStr">
        <is>
          <t>C</t>
        </is>
      </c>
      <c r="Z560" s="27" t="n">
        <v>74.59999999999999</v>
      </c>
      <c r="AA560" s="27" t="inlineStr">
        <is>
          <t>Qualified</t>
        </is>
      </c>
      <c r="AB560" s="27" t="inlineStr"/>
      <c r="AC560" s="28">
        <f>IF(A560="","",IF(COUNTIF($H$5:$H$1004,H560)&gt;1,"DUPLICATE","UNIQUE"))</f>
        <v/>
      </c>
      <c r="AD560" s="28">
        <f>IF(A560="","",IF(AA560="Rejected",IF(AB560&lt;&gt;"","REJECTED","ADD REASON"),IF(AND(B560&lt;&gt;"",C560&lt;&gt;"",D560&lt;&gt;"",E560&lt;&gt;"",F560&lt;&gt;"",G560&lt;&gt;"",H560&lt;&gt;"",J560&lt;&gt;"",K560&lt;&gt;"",N560&lt;&gt;"",O560&lt;&gt;"",P560&lt;&gt;"",Q560&lt;&gt;"",R560&lt;&gt;"",S560&lt;&gt;"",T560&lt;&gt;"",V560&lt;&gt;"",W560&lt;&gt;"",X560&lt;&gt;"",Y560&lt;&gt;""),"COMPLETE","MISSING FIELDS")))</f>
        <v/>
      </c>
    </row>
    <row r="561" ht="15" customHeight="1" s="15">
      <c r="A561" s="27" t="inlineStr">
        <is>
          <t>LEAD-0557</t>
        </is>
      </c>
      <c r="B561" s="27" t="inlineStr">
        <is>
          <t>Nathan Lockwood</t>
        </is>
      </c>
      <c r="C561" s="27" t="inlineStr">
        <is>
          <t>Podcaster</t>
        </is>
      </c>
      <c r="D561" s="27" t="inlineStr">
        <is>
          <t>GB</t>
        </is>
      </c>
      <c r="E561" s="27" t="inlineStr">
        <is>
          <t>English</t>
        </is>
      </c>
      <c r="F561" s="27" t="inlineStr">
        <is>
          <t>Apple Podcasts</t>
        </is>
      </c>
      <c r="G561" s="27" t="inlineStr">
        <is>
          <t>https://podcasts.apple.com/gb/podcast/nathanlockwood/id1000557</t>
        </is>
      </c>
      <c r="H561" s="27" t="inlineStr">
        <is>
          <t>AP-GB-1000557</t>
        </is>
      </c>
      <c r="I561" s="27" t="inlineStr">
        <is>
          <t>96,000</t>
        </is>
      </c>
      <c r="J561" s="27" t="inlineStr">
        <is>
          <t>2026-10-15</t>
        </is>
      </c>
      <c r="K561" s="27" t="inlineStr">
        <is>
          <t>https://nathanlockwood.com/episodes/158</t>
        </is>
      </c>
      <c r="L561" s="27" t="n">
        <v>15</v>
      </c>
      <c r="M561" s="27" t="n">
        <v>33</v>
      </c>
      <c r="N561" s="27" t="inlineStr">
        <is>
          <t>Consulting</t>
        </is>
      </c>
      <c r="O561" s="27" t="inlineStr">
        <is>
          <t>https://nathanlockwood.com/advisory</t>
        </is>
      </c>
      <c r="P561" s="27" t="inlineStr">
        <is>
          <t>Multilingual Audio Dubbing</t>
        </is>
      </c>
      <c r="Q561" s="27" t="inlineStr">
        <is>
          <t>https://nathanlockwood.com/highlights</t>
        </is>
      </c>
      <c r="R561" s="27" t="inlineStr">
        <is>
          <t>LinkedIn</t>
        </is>
      </c>
      <c r="S561" s="27" t="inlineStr">
        <is>
          <t>https://linkedin.com/in/nathanlockwood</t>
        </is>
      </c>
      <c r="T561" s="27" t="inlineStr">
        <is>
          <t>https://nathanlockwood.com/about</t>
        </is>
      </c>
      <c r="U561" s="27" t="inlineStr">
        <is>
          <t>Email</t>
        </is>
      </c>
      <c r="V561" s="27" t="inlineStr">
        <is>
          <t>health &amp; longevity science frameworks, specifically regarding episode 8 on Health &amp; Longevity Science workflow optimization</t>
        </is>
      </c>
      <c r="W561" s="27" t="inlineStr">
        <is>
          <t>Hi Nathan, loved your recent piece on 'health &amp; longevity science frameworks, specifically regarding episode 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61" s="27" t="inlineStr">
        <is>
          <t>2026-10-18</t>
        </is>
      </c>
      <c r="Y561" s="27" t="inlineStr">
        <is>
          <t>C</t>
        </is>
      </c>
      <c r="Z561" s="27" t="n">
        <v>74.59999999999999</v>
      </c>
      <c r="AA561" s="27" t="inlineStr">
        <is>
          <t>Qualified</t>
        </is>
      </c>
      <c r="AB561" s="27" t="inlineStr"/>
      <c r="AC561" s="28">
        <f>IF(A561="","",IF(COUNTIF($H$5:$H$1004,H561)&gt;1,"DUPLICATE","UNIQUE"))</f>
        <v/>
      </c>
      <c r="AD561" s="28">
        <f>IF(A561="","",IF(AA561="Rejected",IF(AB561&lt;&gt;"","REJECTED","ADD REASON"),IF(AND(B561&lt;&gt;"",C561&lt;&gt;"",D561&lt;&gt;"",E561&lt;&gt;"",F561&lt;&gt;"",G561&lt;&gt;"",H561&lt;&gt;"",J561&lt;&gt;"",K561&lt;&gt;"",N561&lt;&gt;"",O561&lt;&gt;"",P561&lt;&gt;"",Q561&lt;&gt;"",R561&lt;&gt;"",S561&lt;&gt;"",T561&lt;&gt;"",V561&lt;&gt;"",W561&lt;&gt;"",X561&lt;&gt;"",Y561&lt;&gt;""),"COMPLETE","MISSING FIELDS")))</f>
        <v/>
      </c>
    </row>
    <row r="562" ht="15" customHeight="1" s="15">
      <c r="A562" s="27" t="inlineStr">
        <is>
          <t>LEAD-0558</t>
        </is>
      </c>
      <c r="B562" s="27" t="inlineStr">
        <is>
          <t>Nathan Montague</t>
        </is>
      </c>
      <c r="C562" s="27" t="inlineStr">
        <is>
          <t>YouTuber</t>
        </is>
      </c>
      <c r="D562" s="27" t="inlineStr">
        <is>
          <t>GB</t>
        </is>
      </c>
      <c r="E562" s="27" t="inlineStr">
        <is>
          <t>English</t>
        </is>
      </c>
      <c r="F562" s="27" t="inlineStr">
        <is>
          <t>YouTube</t>
        </is>
      </c>
      <c r="G562" s="27" t="inlineStr">
        <is>
          <t>https://www.youtube.com/@nathanmontague</t>
        </is>
      </c>
      <c r="H562" s="27" t="inlineStr">
        <is>
          <t>UCGB00558895377</t>
        </is>
      </c>
      <c r="I562" s="27" t="inlineStr">
        <is>
          <t>680,000</t>
        </is>
      </c>
      <c r="J562" s="27" t="inlineStr">
        <is>
          <t>2026-10-16</t>
        </is>
      </c>
      <c r="K562" s="27" t="inlineStr">
        <is>
          <t>https://www.youtube.com/watch?v=gb00558</t>
        </is>
      </c>
      <c r="L562" s="27" t="n">
        <v>16</v>
      </c>
      <c r="M562" s="27" t="n">
        <v>16</v>
      </c>
      <c r="N562" s="27" t="inlineStr">
        <is>
          <t>Newsletter Subscription</t>
        </is>
      </c>
      <c r="O562" s="27" t="inlineStr">
        <is>
          <t>https://nathanmontague.com/subscribe</t>
        </is>
      </c>
      <c r="P562" s="27" t="inlineStr">
        <is>
          <t>Missing Video Captions &amp; Retention Clips</t>
        </is>
      </c>
      <c r="Q562" s="27" t="inlineStr">
        <is>
          <t>https://nathanmontague.com/highlights</t>
        </is>
      </c>
      <c r="R562" s="27" t="inlineStr">
        <is>
          <t>X (Twitter)</t>
        </is>
      </c>
      <c r="S562" s="27" t="inlineStr">
        <is>
          <t>https://x.com/nathanmontague</t>
        </is>
      </c>
      <c r="T562" s="27" t="inlineStr">
        <is>
          <t>https://nathanmontague.com/links</t>
        </is>
      </c>
      <c r="U562" s="27" t="inlineStr">
        <is>
          <t>LinkedIn</t>
        </is>
      </c>
      <c r="V562" s="27" t="inlineStr">
        <is>
          <t>education &amp; applied coding frameworks, specifically regarding episode 9 on Education &amp; Applied Coding workflow optimization</t>
        </is>
      </c>
      <c r="W562" s="27" t="inlineStr">
        <is>
          <t>Hi Nathan, loved your recent piece on 'education &amp; applied coding frameworks, specifically regarding episode 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62" s="27" t="inlineStr">
        <is>
          <t>2026-10-18</t>
        </is>
      </c>
      <c r="Y562" s="27" t="inlineStr">
        <is>
          <t>C</t>
        </is>
      </c>
      <c r="Z562" s="27" t="n">
        <v>74.5</v>
      </c>
      <c r="AA562" s="27" t="inlineStr">
        <is>
          <t>Qualified</t>
        </is>
      </c>
      <c r="AB562" s="27" t="inlineStr"/>
      <c r="AC562" s="28">
        <f>IF(A562="","",IF(COUNTIF($H$5:$H$1004,H562)&gt;1,"DUPLICATE","UNIQUE"))</f>
        <v/>
      </c>
      <c r="AD562" s="28">
        <f>IF(A562="","",IF(AA562="Rejected",IF(AB562&lt;&gt;"","REJECTED","ADD REASON"),IF(AND(B562&lt;&gt;"",C562&lt;&gt;"",D562&lt;&gt;"",E562&lt;&gt;"",F562&lt;&gt;"",G562&lt;&gt;"",H562&lt;&gt;"",J562&lt;&gt;"",K562&lt;&gt;"",N562&lt;&gt;"",O562&lt;&gt;"",P562&lt;&gt;"",Q562&lt;&gt;"",R562&lt;&gt;"",S562&lt;&gt;"",T562&lt;&gt;"",V562&lt;&gt;"",W562&lt;&gt;"",X562&lt;&gt;"",Y562&lt;&gt;""),"COMPLETE","MISSING FIELDS")))</f>
        <v/>
      </c>
    </row>
    <row r="563" ht="15" customHeight="1" s="15">
      <c r="A563" s="27" t="inlineStr">
        <is>
          <t>LEAD-0559</t>
        </is>
      </c>
      <c r="B563" s="27" t="inlineStr">
        <is>
          <t>Nathan Northwood</t>
        </is>
      </c>
      <c r="C563" s="27" t="inlineStr">
        <is>
          <t>Podcaster</t>
        </is>
      </c>
      <c r="D563" s="27" t="inlineStr">
        <is>
          <t>GB</t>
        </is>
      </c>
      <c r="E563" s="27" t="inlineStr">
        <is>
          <t>English</t>
        </is>
      </c>
      <c r="F563" s="27" t="inlineStr">
        <is>
          <t>Apple Podcasts</t>
        </is>
      </c>
      <c r="G563" s="27" t="inlineStr">
        <is>
          <t>https://podcasts.apple.com/gb/podcast/nathannorthwood/id1000559</t>
        </is>
      </c>
      <c r="H563" s="27" t="inlineStr">
        <is>
          <t>AP-GB-1000559</t>
        </is>
      </c>
      <c r="I563" s="27" t="inlineStr">
        <is>
          <t>120,000</t>
        </is>
      </c>
      <c r="J563" s="27" t="inlineStr">
        <is>
          <t>2026-10-17</t>
        </is>
      </c>
      <c r="K563" s="27" t="inlineStr">
        <is>
          <t>https://nathannorthwood.com/episodes/160</t>
        </is>
      </c>
      <c r="L563" s="27" t="n">
        <v>17</v>
      </c>
      <c r="M563" s="27" t="n">
        <v>17</v>
      </c>
      <c r="N563" s="27" t="inlineStr">
        <is>
          <t>Affiliate</t>
        </is>
      </c>
      <c r="O563" s="27" t="inlineStr">
        <is>
          <t>https://nathannorthwood.com/resources</t>
        </is>
      </c>
      <c r="P563" s="27" t="inlineStr">
        <is>
          <t>Shorts Repurposing Bottleneck</t>
        </is>
      </c>
      <c r="Q563" s="27" t="inlineStr">
        <is>
          <t>https://nathannorthwood.com/highlights</t>
        </is>
      </c>
      <c r="R563" s="27" t="inlineStr">
        <is>
          <t>Email</t>
        </is>
      </c>
      <c r="S563" s="27" t="inlineStr">
        <is>
          <t>hello@nathannorthwood.com</t>
        </is>
      </c>
      <c r="T563" s="27" t="inlineStr">
        <is>
          <t>https://nathannorthwood.com/work-with-me</t>
        </is>
      </c>
      <c r="U563" s="27" t="inlineStr">
        <is>
          <t>LinkedIn</t>
        </is>
      </c>
      <c r="V563" s="27" t="inlineStr">
        <is>
          <t>e-commerce &amp; digital brands frameworks, specifically regarding episode 10 on E-Commerce &amp; Digital Brands workflow optimization</t>
        </is>
      </c>
      <c r="W563" s="27" t="inlineStr">
        <is>
          <t>Hi Nathan, loved your recent piece on 'e-commerce &amp; digital brands frameworks, specifically regarding episode 10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63" s="27" t="inlineStr">
        <is>
          <t>2026-10-18</t>
        </is>
      </c>
      <c r="Y563" s="27" t="inlineStr">
        <is>
          <t>C</t>
        </is>
      </c>
      <c r="Z563" s="27" t="n">
        <v>74.5</v>
      </c>
      <c r="AA563" s="27" t="inlineStr">
        <is>
          <t>Qualified</t>
        </is>
      </c>
      <c r="AB563" s="27" t="inlineStr"/>
      <c r="AC563" s="28">
        <f>IF(A563="","",IF(COUNTIF($H$5:$H$1004,H563)&gt;1,"DUPLICATE","UNIQUE"))</f>
        <v/>
      </c>
      <c r="AD563" s="28">
        <f>IF(A563="","",IF(AA563="Rejected",IF(AB563&lt;&gt;"","REJECTED","ADD REASON"),IF(AND(B563&lt;&gt;"",C563&lt;&gt;"",D563&lt;&gt;"",E563&lt;&gt;"",F563&lt;&gt;"",G563&lt;&gt;"",H563&lt;&gt;"",J563&lt;&gt;"",K563&lt;&gt;"",N563&lt;&gt;"",O563&lt;&gt;"",P563&lt;&gt;"",Q563&lt;&gt;"",R563&lt;&gt;"",S563&lt;&gt;"",T563&lt;&gt;"",V563&lt;&gt;"",W563&lt;&gt;"",X563&lt;&gt;"",Y563&lt;&gt;""),"COMPLETE","MISSING FIELDS")))</f>
        <v/>
      </c>
    </row>
    <row r="564" ht="15" customHeight="1" s="15">
      <c r="A564" s="27" t="inlineStr">
        <is>
          <t>LEAD-0560</t>
        </is>
      </c>
      <c r="B564" s="27" t="inlineStr">
        <is>
          <t>Nathan Oakley</t>
        </is>
      </c>
      <c r="C564" s="27" t="inlineStr">
        <is>
          <t>YouTuber</t>
        </is>
      </c>
      <c r="D564" s="27" t="inlineStr">
        <is>
          <t>GB</t>
        </is>
      </c>
      <c r="E564" s="27" t="inlineStr">
        <is>
          <t>English</t>
        </is>
      </c>
      <c r="F564" s="27" t="inlineStr">
        <is>
          <t>YouTube</t>
        </is>
      </c>
      <c r="G564" s="27" t="inlineStr">
        <is>
          <t>https://www.youtube.com/@nathanoakley</t>
        </is>
      </c>
      <c r="H564" s="27" t="inlineStr">
        <is>
          <t>UCGB00560557418</t>
        </is>
      </c>
      <c r="I564" s="27" t="inlineStr">
        <is>
          <t>20,000</t>
        </is>
      </c>
      <c r="J564" s="27" t="inlineStr">
        <is>
          <t>2026-10-10</t>
        </is>
      </c>
      <c r="K564" s="27" t="inlineStr">
        <is>
          <t>https://www.youtube.com/watch?v=gb00560</t>
        </is>
      </c>
      <c r="L564" s="27" t="n">
        <v>8</v>
      </c>
      <c r="M564" s="27" t="n">
        <v>18</v>
      </c>
      <c r="N564" s="27" t="inlineStr">
        <is>
          <t>Course</t>
        </is>
      </c>
      <c r="O564" s="27" t="inlineStr">
        <is>
          <t>https://nathanoakley.com/academy</t>
        </is>
      </c>
      <c r="P564" s="27" t="inlineStr">
        <is>
          <t>Shorts Repurposing Bottleneck</t>
        </is>
      </c>
      <c r="Q564" s="27" t="inlineStr">
        <is>
          <t>https://nathanoakley.com/highlights</t>
        </is>
      </c>
      <c r="R564" s="27" t="inlineStr">
        <is>
          <t>Email</t>
        </is>
      </c>
      <c r="S564" s="27" t="inlineStr">
        <is>
          <t>contact@nathanoakley.com</t>
        </is>
      </c>
      <c r="T564" s="27" t="inlineStr">
        <is>
          <t>https://nathanoakley.com/contact</t>
        </is>
      </c>
      <c r="U564" s="27" t="inlineStr">
        <is>
          <t>LinkedIn</t>
        </is>
      </c>
      <c r="V564" s="27" t="inlineStr">
        <is>
          <t>tech &amp; ai frameworks, specifically regarding episode 11 on Tech &amp; AI workflow optimization</t>
        </is>
      </c>
      <c r="W564" s="27" t="inlineStr">
        <is>
          <t>Hi Nathan, loved your recent piece on 'tech &amp; ai frameworks, specifically regarding episode 11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64" s="27" t="inlineStr">
        <is>
          <t>2026-10-18</t>
        </is>
      </c>
      <c r="Y564" s="27" t="inlineStr">
        <is>
          <t>C</t>
        </is>
      </c>
      <c r="Z564" s="27" t="n">
        <v>74.40000000000001</v>
      </c>
      <c r="AA564" s="27" t="inlineStr">
        <is>
          <t>Qualified</t>
        </is>
      </c>
      <c r="AB564" s="27" t="inlineStr"/>
      <c r="AC564" s="28">
        <f>IF(A564="","",IF(COUNTIF($H$5:$H$1004,H564)&gt;1,"DUPLICATE","UNIQUE"))</f>
        <v/>
      </c>
      <c r="AD564" s="28">
        <f>IF(A564="","",IF(AA564="Rejected",IF(AB564&lt;&gt;"","REJECTED","ADD REASON"),IF(AND(B564&lt;&gt;"",C564&lt;&gt;"",D564&lt;&gt;"",E564&lt;&gt;"",F564&lt;&gt;"",G564&lt;&gt;"",H564&lt;&gt;"",J564&lt;&gt;"",K564&lt;&gt;"",N564&lt;&gt;"",O564&lt;&gt;"",P564&lt;&gt;"",Q564&lt;&gt;"",R564&lt;&gt;"",S564&lt;&gt;"",T564&lt;&gt;"",V564&lt;&gt;"",W564&lt;&gt;"",X564&lt;&gt;"",Y564&lt;&gt;""),"COMPLETE","MISSING FIELDS")))</f>
        <v/>
      </c>
    </row>
    <row r="565" ht="15" customHeight="1" s="15">
      <c r="A565" s="27" t="inlineStr">
        <is>
          <t>LEAD-0561</t>
        </is>
      </c>
      <c r="B565" s="27" t="inlineStr">
        <is>
          <t>Nathan Pemberton</t>
        </is>
      </c>
      <c r="C565" s="27" t="inlineStr">
        <is>
          <t>Podcaster</t>
        </is>
      </c>
      <c r="D565" s="27" t="inlineStr">
        <is>
          <t>GB</t>
        </is>
      </c>
      <c r="E565" s="27" t="inlineStr">
        <is>
          <t>English</t>
        </is>
      </c>
      <c r="F565" s="27" t="inlineStr">
        <is>
          <t>Apple Podcasts</t>
        </is>
      </c>
      <c r="G565" s="27" t="inlineStr">
        <is>
          <t>https://podcasts.apple.com/gb/podcast/nathanpemberton/id1000561</t>
        </is>
      </c>
      <c r="H565" s="27" t="inlineStr">
        <is>
          <t>AP-GB-1000561</t>
        </is>
      </c>
      <c r="I565" s="27" t="inlineStr">
        <is>
          <t>144,000</t>
        </is>
      </c>
      <c r="J565" s="27" t="inlineStr">
        <is>
          <t>2026-10-11</t>
        </is>
      </c>
      <c r="K565" s="27" t="inlineStr">
        <is>
          <t>https://nathanpemberton.com/episodes/162</t>
        </is>
      </c>
      <c r="L565" s="27" t="n">
        <v>9</v>
      </c>
      <c r="M565" s="27" t="n">
        <v>19</v>
      </c>
      <c r="N565" s="27" t="inlineStr">
        <is>
          <t>Sponsor</t>
        </is>
      </c>
      <c r="O565" s="27" t="inlineStr">
        <is>
          <t>https://nathanpemberton.com/partners</t>
        </is>
      </c>
      <c r="P565" s="27" t="inlineStr">
        <is>
          <t>Missing Video Captions &amp; Retention Clips</t>
        </is>
      </c>
      <c r="Q565" s="27" t="inlineStr">
        <is>
          <t>https://nathanpemberton.com/highlights</t>
        </is>
      </c>
      <c r="R565" s="27" t="inlineStr">
        <is>
          <t>LinkedIn</t>
        </is>
      </c>
      <c r="S565" s="27" t="inlineStr">
        <is>
          <t>https://linkedin.com/in/nathanpemberton</t>
        </is>
      </c>
      <c r="T565" s="27" t="inlineStr">
        <is>
          <t>https://nathanpemberton.com/about</t>
        </is>
      </c>
      <c r="U565" s="27" t="inlineStr">
        <is>
          <t>Email</t>
        </is>
      </c>
      <c r="V565" s="27" t="inlineStr">
        <is>
          <t>saas &amp; product growth frameworks, specifically regarding episode 12 on SaaS &amp; Product Growth workflow optimization</t>
        </is>
      </c>
      <c r="W565" s="27" t="inlineStr">
        <is>
          <t>Hi Nathan, loved your recent piece on 'saas &amp; product growth frameworks, specifically regarding episode 12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65" s="27" t="inlineStr">
        <is>
          <t>2026-10-18</t>
        </is>
      </c>
      <c r="Y565" s="27" t="inlineStr">
        <is>
          <t>C</t>
        </is>
      </c>
      <c r="Z565" s="27" t="n">
        <v>74.3</v>
      </c>
      <c r="AA565" s="27" t="inlineStr">
        <is>
          <t>Qualified</t>
        </is>
      </c>
      <c r="AB565" s="27" t="inlineStr"/>
      <c r="AC565" s="28">
        <f>IF(A565="","",IF(COUNTIF($H$5:$H$1004,H565)&gt;1,"DUPLICATE","UNIQUE"))</f>
        <v/>
      </c>
      <c r="AD565" s="28">
        <f>IF(A565="","",IF(AA565="Rejected",IF(AB565&lt;&gt;"","REJECTED","ADD REASON"),IF(AND(B565&lt;&gt;"",C565&lt;&gt;"",D565&lt;&gt;"",E565&lt;&gt;"",F565&lt;&gt;"",G565&lt;&gt;"",H565&lt;&gt;"",J565&lt;&gt;"",K565&lt;&gt;"",N565&lt;&gt;"",O565&lt;&gt;"",P565&lt;&gt;"",Q565&lt;&gt;"",R565&lt;&gt;"",S565&lt;&gt;"",T565&lt;&gt;"",V565&lt;&gt;"",W565&lt;&gt;"",X565&lt;&gt;"",Y565&lt;&gt;""),"COMPLETE","MISSING FIELDS")))</f>
        <v/>
      </c>
    </row>
    <row r="566" ht="15" customHeight="1" s="15">
      <c r="A566" s="27" t="inlineStr">
        <is>
          <t>LEAD-0562</t>
        </is>
      </c>
      <c r="B566" s="27" t="inlineStr">
        <is>
          <t>Nathan Quatermain</t>
        </is>
      </c>
      <c r="C566" s="27" t="inlineStr">
        <is>
          <t>Expert-Led Creator</t>
        </is>
      </c>
      <c r="D566" s="27" t="inlineStr">
        <is>
          <t>GB</t>
        </is>
      </c>
      <c r="E566" s="27" t="inlineStr">
        <is>
          <t>English</t>
        </is>
      </c>
      <c r="F566" s="27" t="inlineStr">
        <is>
          <t>YouTube</t>
        </is>
      </c>
      <c r="G566" s="27" t="inlineStr">
        <is>
          <t>https://www.youtube.com/@nathanquatermain</t>
        </is>
      </c>
      <c r="H566" s="27" t="inlineStr">
        <is>
          <t>UCGB00562339054</t>
        </is>
      </c>
      <c r="I566" s="27" t="inlineStr">
        <is>
          <t>60,000</t>
        </is>
      </c>
      <c r="J566" s="27" t="inlineStr">
        <is>
          <t>2026-10-12</t>
        </is>
      </c>
      <c r="K566" s="27" t="inlineStr">
        <is>
          <t>https://www.youtube.com/watch?v=gb00562</t>
        </is>
      </c>
      <c r="L566" s="27" t="n">
        <v>10</v>
      </c>
      <c r="M566" s="27" t="n">
        <v>20</v>
      </c>
      <c r="N566" s="27" t="inlineStr">
        <is>
          <t>Membership</t>
        </is>
      </c>
      <c r="O566" s="27" t="inlineStr">
        <is>
          <t>https://nathanquatermain.com/community</t>
        </is>
      </c>
      <c r="P566" s="27" t="inlineStr">
        <is>
          <t>Editing Backlog &amp; Team Workflow Overhead</t>
        </is>
      </c>
      <c r="Q566" s="27" t="inlineStr">
        <is>
          <t>https://nathanquatermain.com/highlights</t>
        </is>
      </c>
      <c r="R566" s="27" t="inlineStr">
        <is>
          <t>X (Twitter)</t>
        </is>
      </c>
      <c r="S566" s="27" t="inlineStr">
        <is>
          <t>https://x.com/nathanquatermain</t>
        </is>
      </c>
      <c r="T566" s="27" t="inlineStr">
        <is>
          <t>https://nathanquatermain.com/links</t>
        </is>
      </c>
      <c r="U566" s="27" t="inlineStr">
        <is>
          <t>LinkedIn</t>
        </is>
      </c>
      <c r="V566" s="27" t="inlineStr">
        <is>
          <t>creator business &amp; monetization frameworks, specifically regarding episode 13 on Creator Business &amp; Monetization workflow optimization</t>
        </is>
      </c>
      <c r="W566" s="27" t="inlineStr">
        <is>
          <t>Hi Nathan, loved your recent piece on 'creator business &amp; monetization frameworks, specifically regarding episode 13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66" s="27" t="inlineStr">
        <is>
          <t>2026-10-18</t>
        </is>
      </c>
      <c r="Y566" s="27" t="inlineStr">
        <is>
          <t>C</t>
        </is>
      </c>
      <c r="Z566" s="27" t="n">
        <v>74.3</v>
      </c>
      <c r="AA566" s="27" t="inlineStr">
        <is>
          <t>Qualified</t>
        </is>
      </c>
      <c r="AB566" s="27" t="inlineStr"/>
      <c r="AC566" s="28">
        <f>IF(A566="","",IF(COUNTIF($H$5:$H$1004,H566)&gt;1,"DUPLICATE","UNIQUE"))</f>
        <v/>
      </c>
      <c r="AD566" s="28">
        <f>IF(A566="","",IF(AA566="Rejected",IF(AB566&lt;&gt;"","REJECTED","ADD REASON"),IF(AND(B566&lt;&gt;"",C566&lt;&gt;"",D566&lt;&gt;"",E566&lt;&gt;"",F566&lt;&gt;"",G566&lt;&gt;"",H566&lt;&gt;"",J566&lt;&gt;"",K566&lt;&gt;"",N566&lt;&gt;"",O566&lt;&gt;"",P566&lt;&gt;"",Q566&lt;&gt;"",R566&lt;&gt;"",S566&lt;&gt;"",T566&lt;&gt;"",V566&lt;&gt;"",W566&lt;&gt;"",X566&lt;&gt;"",Y566&lt;&gt;""),"COMPLETE","MISSING FIELDS")))</f>
        <v/>
      </c>
    </row>
    <row r="567" ht="15" customHeight="1" s="15">
      <c r="A567" s="27" t="inlineStr">
        <is>
          <t>LEAD-0563</t>
        </is>
      </c>
      <c r="B567" s="27" t="inlineStr">
        <is>
          <t>Nathan Radcliffe</t>
        </is>
      </c>
      <c r="C567" s="27" t="inlineStr">
        <is>
          <t>YouTuber</t>
        </is>
      </c>
      <c r="D567" s="27" t="inlineStr">
        <is>
          <t>GB</t>
        </is>
      </c>
      <c r="E567" s="27" t="inlineStr">
        <is>
          <t>English</t>
        </is>
      </c>
      <c r="F567" s="27" t="inlineStr">
        <is>
          <t>YouTube</t>
        </is>
      </c>
      <c r="G567" s="27" t="inlineStr">
        <is>
          <t>https://www.youtube.com/@nathanradcliffe</t>
        </is>
      </c>
      <c r="H567" s="27" t="inlineStr">
        <is>
          <t>UCGB00563664443</t>
        </is>
      </c>
      <c r="I567" s="27" t="inlineStr">
        <is>
          <t>80,000</t>
        </is>
      </c>
      <c r="J567" s="27" t="inlineStr">
        <is>
          <t>2026-10-13</t>
        </is>
      </c>
      <c r="K567" s="27" t="inlineStr">
        <is>
          <t>https://www.youtube.com/watch?v=gb00563</t>
        </is>
      </c>
      <c r="L567" s="27" t="n">
        <v>11</v>
      </c>
      <c r="M567" s="27" t="n">
        <v>21</v>
      </c>
      <c r="N567" s="27" t="inlineStr">
        <is>
          <t>Product</t>
        </is>
      </c>
      <c r="O567" s="27" t="inlineStr">
        <is>
          <t>https://nathanradcliffe.com/shop</t>
        </is>
      </c>
      <c r="P567" s="27" t="inlineStr">
        <is>
          <t>Shorts Repurposing Bottleneck</t>
        </is>
      </c>
      <c r="Q567" s="27" t="inlineStr">
        <is>
          <t>https://nathanradcliffe.com/highlights</t>
        </is>
      </c>
      <c r="R567" s="27" t="inlineStr">
        <is>
          <t>Email</t>
        </is>
      </c>
      <c r="S567" s="27" t="inlineStr">
        <is>
          <t>hello@nathanradcliffe.com</t>
        </is>
      </c>
      <c r="T567" s="27" t="inlineStr">
        <is>
          <t>https://nathanradcliffe.com/work-with-me</t>
        </is>
      </c>
      <c r="U567" s="27" t="inlineStr">
        <is>
          <t>LinkedIn</t>
        </is>
      </c>
      <c r="V567" s="27" t="inlineStr">
        <is>
          <t>productivity &amp; personal systems frameworks, specifically regarding episode 14 on Productivity &amp; Personal Systems workflow optimization</t>
        </is>
      </c>
      <c r="W567" s="27" t="inlineStr">
        <is>
          <t>Hi Nathan, loved your recent piece on 'productivity &amp; personal systems frameworks, specifically regarding episode 14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67" s="27" t="inlineStr">
        <is>
          <t>2026-10-18</t>
        </is>
      </c>
      <c r="Y567" s="27" t="inlineStr">
        <is>
          <t>C</t>
        </is>
      </c>
      <c r="Z567" s="27" t="n">
        <v>74.2</v>
      </c>
      <c r="AA567" s="27" t="inlineStr">
        <is>
          <t>Qualified</t>
        </is>
      </c>
      <c r="AB567" s="27" t="inlineStr"/>
      <c r="AC567" s="28">
        <f>IF(A567="","",IF(COUNTIF($H$5:$H$1004,H567)&gt;1,"DUPLICATE","UNIQUE"))</f>
        <v/>
      </c>
      <c r="AD567" s="28">
        <f>IF(A567="","",IF(AA567="Rejected",IF(AB567&lt;&gt;"","REJECTED","ADD REASON"),IF(AND(B567&lt;&gt;"",C567&lt;&gt;"",D567&lt;&gt;"",E567&lt;&gt;"",F567&lt;&gt;"",G567&lt;&gt;"",H567&lt;&gt;"",J567&lt;&gt;"",K567&lt;&gt;"",N567&lt;&gt;"",O567&lt;&gt;"",P567&lt;&gt;"",Q567&lt;&gt;"",R567&lt;&gt;"",S567&lt;&gt;"",T567&lt;&gt;"",V567&lt;&gt;"",W567&lt;&gt;"",X567&lt;&gt;"",Y567&lt;&gt;""),"COMPLETE","MISSING FIELDS")))</f>
        <v/>
      </c>
    </row>
    <row r="568" ht="15" customHeight="1" s="15">
      <c r="A568" s="27" t="inlineStr">
        <is>
          <t>LEAD-0564</t>
        </is>
      </c>
      <c r="B568" s="27" t="inlineStr">
        <is>
          <t>Nathan Stanhope</t>
        </is>
      </c>
      <c r="C568" s="27" t="inlineStr">
        <is>
          <t>Podcaster</t>
        </is>
      </c>
      <c r="D568" s="27" t="inlineStr">
        <is>
          <t>GB</t>
        </is>
      </c>
      <c r="E568" s="27" t="inlineStr">
        <is>
          <t>English</t>
        </is>
      </c>
      <c r="F568" s="27" t="inlineStr">
        <is>
          <t>Apple Podcasts</t>
        </is>
      </c>
      <c r="G568" s="27" t="inlineStr">
        <is>
          <t>https://podcasts.apple.com/gb/podcast/nathanstanhope/id1000564</t>
        </is>
      </c>
      <c r="H568" s="27" t="inlineStr">
        <is>
          <t>AP-GB-1000564</t>
        </is>
      </c>
      <c r="I568" s="27" t="inlineStr">
        <is>
          <t>180,000</t>
        </is>
      </c>
      <c r="J568" s="27" t="inlineStr">
        <is>
          <t>2026-10-14</t>
        </is>
      </c>
      <c r="K568" s="27" t="inlineStr">
        <is>
          <t>https://nathanstanhope.com/episodes/165</t>
        </is>
      </c>
      <c r="L568" s="27" t="n">
        <v>12</v>
      </c>
      <c r="M568" s="27" t="n">
        <v>22</v>
      </c>
      <c r="N568" s="27" t="inlineStr">
        <is>
          <t>Consulting</t>
        </is>
      </c>
      <c r="O568" s="27" t="inlineStr">
        <is>
          <t>https://nathanstanhope.com/advisory</t>
        </is>
      </c>
      <c r="P568" s="27" t="inlineStr">
        <is>
          <t>Inconsistent Cross-Platform Publishing</t>
        </is>
      </c>
      <c r="Q568" s="27" t="inlineStr">
        <is>
          <t>https://nathanstanhope.com/highlights</t>
        </is>
      </c>
      <c r="R568" s="27" t="inlineStr">
        <is>
          <t>Email</t>
        </is>
      </c>
      <c r="S568" s="27" t="inlineStr">
        <is>
          <t>contact@nathanstanhope.com</t>
        </is>
      </c>
      <c r="T568" s="27" t="inlineStr">
        <is>
          <t>https://nathanstanhope.com/contact</t>
        </is>
      </c>
      <c r="U568" s="27" t="inlineStr">
        <is>
          <t>LinkedIn</t>
        </is>
      </c>
      <c r="V568" s="27" t="inlineStr">
        <is>
          <t>leadership &amp; team ops frameworks, specifically regarding episode 15 on Leadership &amp; Team Ops workflow optimization</t>
        </is>
      </c>
      <c r="W568" s="27" t="inlineStr">
        <is>
          <t>Hi Nathan, loved your recent piece on 'leadership &amp; team ops frameworks, specifically regarding episode 15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68" s="27" t="inlineStr">
        <is>
          <t>2026-10-18</t>
        </is>
      </c>
      <c r="Y568" s="27" t="inlineStr">
        <is>
          <t>C</t>
        </is>
      </c>
      <c r="Z568" s="27" t="n">
        <v>74.2</v>
      </c>
      <c r="AA568" s="27" t="inlineStr">
        <is>
          <t>Qualified</t>
        </is>
      </c>
      <c r="AB568" s="27" t="inlineStr"/>
      <c r="AC568" s="28">
        <f>IF(A568="","",IF(COUNTIF($H$5:$H$1004,H568)&gt;1,"DUPLICATE","UNIQUE"))</f>
        <v/>
      </c>
      <c r="AD568" s="28">
        <f>IF(A568="","",IF(AA568="Rejected",IF(AB568&lt;&gt;"","REJECTED","ADD REASON"),IF(AND(B568&lt;&gt;"",C568&lt;&gt;"",D568&lt;&gt;"",E568&lt;&gt;"",F568&lt;&gt;"",G568&lt;&gt;"",H568&lt;&gt;"",J568&lt;&gt;"",K568&lt;&gt;"",N568&lt;&gt;"",O568&lt;&gt;"",P568&lt;&gt;"",Q568&lt;&gt;"",R568&lt;&gt;"",S568&lt;&gt;"",T568&lt;&gt;"",V568&lt;&gt;"",W568&lt;&gt;"",X568&lt;&gt;"",Y568&lt;&gt;""),"COMPLETE","MISSING FIELDS")))</f>
        <v/>
      </c>
    </row>
    <row r="569" ht="15" customHeight="1" s="15">
      <c r="A569" s="27" t="inlineStr">
        <is>
          <t>LEAD-0565</t>
        </is>
      </c>
      <c r="B569" s="27" t="inlineStr">
        <is>
          <t>Nathan Thackery</t>
        </is>
      </c>
      <c r="C569" s="27" t="inlineStr">
        <is>
          <t>Expert-Led Creator</t>
        </is>
      </c>
      <c r="D569" s="27" t="inlineStr">
        <is>
          <t>GB</t>
        </is>
      </c>
      <c r="E569" s="27" t="inlineStr">
        <is>
          <t>English</t>
        </is>
      </c>
      <c r="F569" s="27" t="inlineStr">
        <is>
          <t>LinkedIn</t>
        </is>
      </c>
      <c r="G569" s="27" t="inlineStr">
        <is>
          <t>https://www.linkedin.com/in/nathanthackery</t>
        </is>
      </c>
      <c r="H569" s="27" t="inlineStr">
        <is>
          <t>LI-nathanthackery-0565</t>
        </is>
      </c>
      <c r="I569" s="27" t="inlineStr">
        <is>
          <t>156,000</t>
        </is>
      </c>
      <c r="J569" s="27" t="inlineStr">
        <is>
          <t>2026-10-15</t>
        </is>
      </c>
      <c r="K569" s="27" t="inlineStr">
        <is>
          <t>https://nathanthackery.com/posts/116</t>
        </is>
      </c>
      <c r="L569" s="27" t="n">
        <v>13</v>
      </c>
      <c r="M569" s="27" t="n">
        <v>23</v>
      </c>
      <c r="N569" s="27" t="inlineStr">
        <is>
          <t>Newsletter Subscription</t>
        </is>
      </c>
      <c r="O569" s="27" t="inlineStr">
        <is>
          <t>https://nathanthackery.com/subscribe</t>
        </is>
      </c>
      <c r="P569" s="27" t="inlineStr">
        <is>
          <t>Editing Backlog &amp; Team Workflow Overhead</t>
        </is>
      </c>
      <c r="Q569" s="27" t="inlineStr">
        <is>
          <t>https://nathanthackery.com/highlights</t>
        </is>
      </c>
      <c r="R569" s="27" t="inlineStr">
        <is>
          <t>LinkedIn</t>
        </is>
      </c>
      <c r="S569" s="27" t="inlineStr">
        <is>
          <t>https://linkedin.com/in/nathanthackery</t>
        </is>
      </c>
      <c r="T569" s="27" t="inlineStr">
        <is>
          <t>https://nathanthackery.com/about</t>
        </is>
      </c>
      <c r="U569" s="27" t="inlineStr">
        <is>
          <t>Email</t>
        </is>
      </c>
      <c r="V569" s="27" t="inlineStr">
        <is>
          <t>b2b marketing &amp; sales frameworks, specifically regarding episode 16 on B2B Marketing &amp; Sales workflow optimization</t>
        </is>
      </c>
      <c r="W569" s="27" t="inlineStr">
        <is>
          <t>Hi Nathan, loved your recent piece on 'b2b marketing &amp; sales frameworks, specifically regarding episode 16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69" s="27" t="inlineStr">
        <is>
          <t>2026-10-18</t>
        </is>
      </c>
      <c r="Y569" s="27" t="inlineStr">
        <is>
          <t>C</t>
        </is>
      </c>
      <c r="Z569" s="27" t="n">
        <v>74.09999999999999</v>
      </c>
      <c r="AA569" s="27" t="inlineStr">
        <is>
          <t>Qualified</t>
        </is>
      </c>
      <c r="AB569" s="27" t="inlineStr"/>
      <c r="AC569" s="28">
        <f>IF(A569="","",IF(COUNTIF($H$5:$H$1004,H569)&gt;1,"DUPLICATE","UNIQUE"))</f>
        <v/>
      </c>
      <c r="AD569" s="28">
        <f>IF(A569="","",IF(AA569="Rejected",IF(AB569&lt;&gt;"","REJECTED","ADD REASON"),IF(AND(B569&lt;&gt;"",C569&lt;&gt;"",D569&lt;&gt;"",E569&lt;&gt;"",F569&lt;&gt;"",G569&lt;&gt;"",H569&lt;&gt;"",J569&lt;&gt;"",K569&lt;&gt;"",N569&lt;&gt;"",O569&lt;&gt;"",P569&lt;&gt;"",Q569&lt;&gt;"",R569&lt;&gt;"",S569&lt;&gt;"",T569&lt;&gt;"",V569&lt;&gt;"",W569&lt;&gt;"",X569&lt;&gt;"",Y569&lt;&gt;""),"COMPLETE","MISSING FIELDS")))</f>
        <v/>
      </c>
    </row>
    <row r="570" ht="15" customHeight="1" s="15">
      <c r="A570" s="27" t="inlineStr">
        <is>
          <t>LEAD-0566</t>
        </is>
      </c>
      <c r="B570" s="27" t="inlineStr">
        <is>
          <t>Nathan Underwood</t>
        </is>
      </c>
      <c r="C570" s="27" t="inlineStr">
        <is>
          <t>YouTuber</t>
        </is>
      </c>
      <c r="D570" s="27" t="inlineStr">
        <is>
          <t>GB</t>
        </is>
      </c>
      <c r="E570" s="27" t="inlineStr">
        <is>
          <t>English</t>
        </is>
      </c>
      <c r="F570" s="27" t="inlineStr">
        <is>
          <t>YouTube</t>
        </is>
      </c>
      <c r="G570" s="27" t="inlineStr">
        <is>
          <t>https://www.youtube.com/@nathanunderwood</t>
        </is>
      </c>
      <c r="H570" s="27" t="inlineStr">
        <is>
          <t>UCGB00566226824</t>
        </is>
      </c>
      <c r="I570" s="27" t="inlineStr">
        <is>
          <t>140,000</t>
        </is>
      </c>
      <c r="J570" s="27" t="inlineStr">
        <is>
          <t>2026-10-16</t>
        </is>
      </c>
      <c r="K570" s="27" t="inlineStr">
        <is>
          <t>https://www.youtube.com/watch?v=gb00566</t>
        </is>
      </c>
      <c r="L570" s="27" t="n">
        <v>14</v>
      </c>
      <c r="M570" s="27" t="n">
        <v>24</v>
      </c>
      <c r="N570" s="27" t="inlineStr">
        <is>
          <t>Affiliate</t>
        </is>
      </c>
      <c r="O570" s="27" t="inlineStr">
        <is>
          <t>https://nathanunderwood.com/resources</t>
        </is>
      </c>
      <c r="P570" s="27" t="inlineStr">
        <is>
          <t>Multilingual Audio Dubbing</t>
        </is>
      </c>
      <c r="Q570" s="27" t="inlineStr">
        <is>
          <t>https://nathanunderwood.com/highlights</t>
        </is>
      </c>
      <c r="R570" s="27" t="inlineStr">
        <is>
          <t>X (Twitter)</t>
        </is>
      </c>
      <c r="S570" s="27" t="inlineStr">
        <is>
          <t>https://x.com/nathanunderwood</t>
        </is>
      </c>
      <c r="T570" s="27" t="inlineStr">
        <is>
          <t>https://nathanunderwood.com/links</t>
        </is>
      </c>
      <c r="U570" s="27" t="inlineStr">
        <is>
          <t>LinkedIn</t>
        </is>
      </c>
      <c r="V570" s="27" t="inlineStr">
        <is>
          <t>finance &amp; wealth engineering frameworks, specifically regarding episode 17 on Finance &amp; Wealth Engineering workflow optimization</t>
        </is>
      </c>
      <c r="W570" s="27" t="inlineStr">
        <is>
          <t>Hi Nathan, loved your recent piece on 'finance &amp; wealth engineering frameworks, specifically regarding episode 17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70" s="27" t="inlineStr">
        <is>
          <t>2026-10-18</t>
        </is>
      </c>
      <c r="Y570" s="27" t="inlineStr">
        <is>
          <t>C</t>
        </is>
      </c>
      <c r="Z570" s="27" t="n">
        <v>74</v>
      </c>
      <c r="AA570" s="27" t="inlineStr">
        <is>
          <t>Qualified</t>
        </is>
      </c>
      <c r="AB570" s="27" t="inlineStr"/>
      <c r="AC570" s="28">
        <f>IF(A570="","",IF(COUNTIF($H$5:$H$1004,H570)&gt;1,"DUPLICATE","UNIQUE"))</f>
        <v/>
      </c>
      <c r="AD570" s="28">
        <f>IF(A570="","",IF(AA570="Rejected",IF(AB570&lt;&gt;"","REJECTED","ADD REASON"),IF(AND(B570&lt;&gt;"",C570&lt;&gt;"",D570&lt;&gt;"",E570&lt;&gt;"",F570&lt;&gt;"",G570&lt;&gt;"",H570&lt;&gt;"",J570&lt;&gt;"",K570&lt;&gt;"",N570&lt;&gt;"",O570&lt;&gt;"",P570&lt;&gt;"",Q570&lt;&gt;"",R570&lt;&gt;"",S570&lt;&gt;"",T570&lt;&gt;"",V570&lt;&gt;"",W570&lt;&gt;"",X570&lt;&gt;"",Y570&lt;&gt;""),"COMPLETE","MISSING FIELDS")))</f>
        <v/>
      </c>
    </row>
    <row r="571" ht="15" customHeight="1" s="15">
      <c r="A571" s="27" t="inlineStr">
        <is>
          <t>LEAD-0567</t>
        </is>
      </c>
      <c r="B571" s="27" t="inlineStr">
        <is>
          <t>Nathan Vanguard</t>
        </is>
      </c>
      <c r="C571" s="27" t="inlineStr">
        <is>
          <t>Podcaster</t>
        </is>
      </c>
      <c r="D571" s="27" t="inlineStr">
        <is>
          <t>GB</t>
        </is>
      </c>
      <c r="E571" s="27" t="inlineStr">
        <is>
          <t>English</t>
        </is>
      </c>
      <c r="F571" s="27" t="inlineStr">
        <is>
          <t>Apple Podcasts</t>
        </is>
      </c>
      <c r="G571" s="27" t="inlineStr">
        <is>
          <t>https://podcasts.apple.com/gb/podcast/nathanvanguard/id1000567</t>
        </is>
      </c>
      <c r="H571" s="27" t="inlineStr">
        <is>
          <t>AP-GB-1000567</t>
        </is>
      </c>
      <c r="I571" s="27" t="inlineStr">
        <is>
          <t>216,000</t>
        </is>
      </c>
      <c r="J571" s="27" t="inlineStr">
        <is>
          <t>2026-10-17</t>
        </is>
      </c>
      <c r="K571" s="27" t="inlineStr">
        <is>
          <t>https://nathanvanguard.com/episodes/168</t>
        </is>
      </c>
      <c r="L571" s="27" t="n">
        <v>15</v>
      </c>
      <c r="M571" s="27" t="n">
        <v>25</v>
      </c>
      <c r="N571" s="27" t="inlineStr">
        <is>
          <t>Course</t>
        </is>
      </c>
      <c r="O571" s="27" t="inlineStr">
        <is>
          <t>https://nathanvanguard.com/academy</t>
        </is>
      </c>
      <c r="P571" s="27" t="inlineStr">
        <is>
          <t>Multilingual Audio Dubbing</t>
        </is>
      </c>
      <c r="Q571" s="27" t="inlineStr">
        <is>
          <t>https://nathanvanguard.com/highlights</t>
        </is>
      </c>
      <c r="R571" s="27" t="inlineStr">
        <is>
          <t>Email</t>
        </is>
      </c>
      <c r="S571" s="27" t="inlineStr">
        <is>
          <t>hello@nathanvanguard.com</t>
        </is>
      </c>
      <c r="T571" s="27" t="inlineStr">
        <is>
          <t>https://nathanvanguard.com/work-with-me</t>
        </is>
      </c>
      <c r="U571" s="27" t="inlineStr">
        <is>
          <t>LinkedIn</t>
        </is>
      </c>
      <c r="V571" s="27" t="inlineStr">
        <is>
          <t>health &amp; longevity science frameworks, specifically regarding episode 18 on Health &amp; Longevity Science workflow optimization</t>
        </is>
      </c>
      <c r="W571" s="27" t="inlineStr">
        <is>
          <t>Hi Nathan, loved your recent piece on 'health &amp; longevity science frameworks, specifically regarding episode 18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71" s="27" t="inlineStr">
        <is>
          <t>2026-10-18</t>
        </is>
      </c>
      <c r="Y571" s="27" t="inlineStr">
        <is>
          <t>C</t>
        </is>
      </c>
      <c r="Z571" s="27" t="n">
        <v>74</v>
      </c>
      <c r="AA571" s="27" t="inlineStr">
        <is>
          <t>Qualified</t>
        </is>
      </c>
      <c r="AB571" s="27" t="inlineStr"/>
      <c r="AC571" s="28">
        <f>IF(A571="","",IF(COUNTIF($H$5:$H$1004,H571)&gt;1,"DUPLICATE","UNIQUE"))</f>
        <v/>
      </c>
      <c r="AD571" s="28">
        <f>IF(A571="","",IF(AA571="Rejected",IF(AB571&lt;&gt;"","REJECTED","ADD REASON"),IF(AND(B571&lt;&gt;"",C571&lt;&gt;"",D571&lt;&gt;"",E571&lt;&gt;"",F571&lt;&gt;"",G571&lt;&gt;"",H571&lt;&gt;"",J571&lt;&gt;"",K571&lt;&gt;"",N571&lt;&gt;"",O571&lt;&gt;"",P571&lt;&gt;"",Q571&lt;&gt;"",R571&lt;&gt;"",S571&lt;&gt;"",T571&lt;&gt;"",V571&lt;&gt;"",W571&lt;&gt;"",X571&lt;&gt;"",Y571&lt;&gt;""),"COMPLETE","MISSING FIELDS")))</f>
        <v/>
      </c>
    </row>
    <row r="572" ht="15" customHeight="1" s="15">
      <c r="A572" s="27" t="inlineStr">
        <is>
          <t>LEAD-0568</t>
        </is>
      </c>
      <c r="B572" s="27" t="inlineStr">
        <is>
          <t>Nathan Waverly</t>
        </is>
      </c>
      <c r="C572" s="27" t="inlineStr">
        <is>
          <t>YouTuber</t>
        </is>
      </c>
      <c r="D572" s="27" t="inlineStr">
        <is>
          <t>GB</t>
        </is>
      </c>
      <c r="E572" s="27" t="inlineStr">
        <is>
          <t>English</t>
        </is>
      </c>
      <c r="F572" s="27" t="inlineStr">
        <is>
          <t>YouTube</t>
        </is>
      </c>
      <c r="G572" s="27" t="inlineStr">
        <is>
          <t>https://www.youtube.com/@nathanwaverly</t>
        </is>
      </c>
      <c r="H572" s="27" t="inlineStr">
        <is>
          <t>UCGB00568567799</t>
        </is>
      </c>
      <c r="I572" s="27" t="inlineStr">
        <is>
          <t>180,000</t>
        </is>
      </c>
      <c r="J572" s="27" t="inlineStr">
        <is>
          <t>2026-10-10</t>
        </is>
      </c>
      <c r="K572" s="27" t="inlineStr">
        <is>
          <t>https://www.youtube.com/watch?v=gb00568</t>
        </is>
      </c>
      <c r="L572" s="27" t="n">
        <v>16</v>
      </c>
      <c r="M572" s="27" t="n">
        <v>26</v>
      </c>
      <c r="N572" s="27" t="inlineStr">
        <is>
          <t>Sponsor</t>
        </is>
      </c>
      <c r="O572" s="27" t="inlineStr">
        <is>
          <t>https://nathanwaverly.com/partners</t>
        </is>
      </c>
      <c r="P572" s="27" t="inlineStr">
        <is>
          <t>Missing Video Captions &amp; Retention Clips</t>
        </is>
      </c>
      <c r="Q572" s="27" t="inlineStr">
        <is>
          <t>https://nathanwaverly.com/highlights</t>
        </is>
      </c>
      <c r="R572" s="27" t="inlineStr">
        <is>
          <t>Email</t>
        </is>
      </c>
      <c r="S572" s="27" t="inlineStr">
        <is>
          <t>contact@nathanwaverly.com</t>
        </is>
      </c>
      <c r="T572" s="27" t="inlineStr">
        <is>
          <t>https://nathanwaverly.com/contact</t>
        </is>
      </c>
      <c r="U572" s="27" t="inlineStr">
        <is>
          <t>LinkedIn</t>
        </is>
      </c>
      <c r="V572" s="27" t="inlineStr">
        <is>
          <t>education &amp; applied coding frameworks, specifically regarding episode 19 on Education &amp; Applied Coding workflow optimization</t>
        </is>
      </c>
      <c r="W572" s="27" t="inlineStr">
        <is>
          <t>Hi Nathan, loved your recent piece on 'education &amp; applied coding frameworks, specifically regarding episode 19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72" s="27" t="inlineStr">
        <is>
          <t>2026-10-18</t>
        </is>
      </c>
      <c r="Y572" s="27" t="inlineStr">
        <is>
          <t>C</t>
        </is>
      </c>
      <c r="Z572" s="27" t="n">
        <v>73.90000000000001</v>
      </c>
      <c r="AA572" s="27" t="inlineStr">
        <is>
          <t>Qualified</t>
        </is>
      </c>
      <c r="AB572" s="27" t="inlineStr"/>
      <c r="AC572" s="28">
        <f>IF(A572="","",IF(COUNTIF($H$5:$H$1004,H572)&gt;1,"DUPLICATE","UNIQUE"))</f>
        <v/>
      </c>
      <c r="AD572" s="28">
        <f>IF(A572="","",IF(AA572="Rejected",IF(AB572&lt;&gt;"","REJECTED","ADD REASON"),IF(AND(B572&lt;&gt;"",C572&lt;&gt;"",D572&lt;&gt;"",E572&lt;&gt;"",F572&lt;&gt;"",G572&lt;&gt;"",H572&lt;&gt;"",J572&lt;&gt;"",K572&lt;&gt;"",N572&lt;&gt;"",O572&lt;&gt;"",P572&lt;&gt;"",Q572&lt;&gt;"",R572&lt;&gt;"",S572&lt;&gt;"",T572&lt;&gt;"",V572&lt;&gt;"",W572&lt;&gt;"",X572&lt;&gt;"",Y572&lt;&gt;""),"COMPLETE","MISSING FIELDS")))</f>
        <v/>
      </c>
    </row>
    <row r="573" ht="15" customHeight="1" s="15">
      <c r="A573" s="27" t="inlineStr">
        <is>
          <t>LEAD-0569</t>
        </is>
      </c>
      <c r="B573" s="27" t="inlineStr">
        <is>
          <t>Nathan Yardley</t>
        </is>
      </c>
      <c r="C573" s="27" t="inlineStr">
        <is>
          <t>Podcaster</t>
        </is>
      </c>
      <c r="D573" s="27" t="inlineStr">
        <is>
          <t>GB</t>
        </is>
      </c>
      <c r="E573" s="27" t="inlineStr">
        <is>
          <t>English</t>
        </is>
      </c>
      <c r="F573" s="27" t="inlineStr">
        <is>
          <t>Apple Podcasts</t>
        </is>
      </c>
      <c r="G573" s="27" t="inlineStr">
        <is>
          <t>https://podcasts.apple.com/gb/podcast/nathanyardley/id1000569</t>
        </is>
      </c>
      <c r="H573" s="27" t="inlineStr">
        <is>
          <t>AP-GB-1000569</t>
        </is>
      </c>
      <c r="I573" s="27" t="inlineStr">
        <is>
          <t>240,000</t>
        </is>
      </c>
      <c r="J573" s="27" t="inlineStr">
        <is>
          <t>2026-10-11</t>
        </is>
      </c>
      <c r="K573" s="27" t="inlineStr">
        <is>
          <t>https://nathanyardley.com/episodes/170</t>
        </is>
      </c>
      <c r="L573" s="27" t="n">
        <v>17</v>
      </c>
      <c r="M573" s="27" t="n">
        <v>27</v>
      </c>
      <c r="N573" s="27" t="inlineStr">
        <is>
          <t>Membership</t>
        </is>
      </c>
      <c r="O573" s="27" t="inlineStr">
        <is>
          <t>https://nathanyardley.com/community</t>
        </is>
      </c>
      <c r="P573" s="27" t="inlineStr">
        <is>
          <t>Shorts Repurposing Bottleneck</t>
        </is>
      </c>
      <c r="Q573" s="27" t="inlineStr">
        <is>
          <t>https://nathanyardley.com/highlights</t>
        </is>
      </c>
      <c r="R573" s="27" t="inlineStr">
        <is>
          <t>LinkedIn</t>
        </is>
      </c>
      <c r="S573" s="27" t="inlineStr">
        <is>
          <t>https://linkedin.com/in/nathanyardley</t>
        </is>
      </c>
      <c r="T573" s="27" t="inlineStr">
        <is>
          <t>https://nathanyardley.com/about</t>
        </is>
      </c>
      <c r="U573" s="27" t="inlineStr">
        <is>
          <t>Email</t>
        </is>
      </c>
      <c r="V573" s="27" t="inlineStr">
        <is>
          <t>e-commerce &amp; digital brands frameworks, specifically regarding episode 20 on E-Commerce &amp; Digital Brands workflow optimization</t>
        </is>
      </c>
      <c r="W573" s="27" t="inlineStr">
        <is>
          <t>Hi Nathan, loved your recent piece on 'e-commerce &amp; digital brands frameworks, specifically regarding episode 20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73" s="27" t="inlineStr">
        <is>
          <t>2026-10-18</t>
        </is>
      </c>
      <c r="Y573" s="27" t="inlineStr">
        <is>
          <t>C</t>
        </is>
      </c>
      <c r="Z573" s="27" t="n">
        <v>73.90000000000001</v>
      </c>
      <c r="AA573" s="27" t="inlineStr">
        <is>
          <t>Qualified</t>
        </is>
      </c>
      <c r="AB573" s="27" t="inlineStr"/>
      <c r="AC573" s="28">
        <f>IF(A573="","",IF(COUNTIF($H$5:$H$1004,H573)&gt;1,"DUPLICATE","UNIQUE"))</f>
        <v/>
      </c>
      <c r="AD573" s="28">
        <f>IF(A573="","",IF(AA573="Rejected",IF(AB573&lt;&gt;"","REJECTED","ADD REASON"),IF(AND(B573&lt;&gt;"",C573&lt;&gt;"",D573&lt;&gt;"",E573&lt;&gt;"",F573&lt;&gt;"",G573&lt;&gt;"",H573&lt;&gt;"",J573&lt;&gt;"",K573&lt;&gt;"",N573&lt;&gt;"",O573&lt;&gt;"",P573&lt;&gt;"",Q573&lt;&gt;"",R573&lt;&gt;"",S573&lt;&gt;"",T573&lt;&gt;"",V573&lt;&gt;"",W573&lt;&gt;"",X573&lt;&gt;"",Y573&lt;&gt;""),"COMPLETE","MISSING FIELDS")))</f>
        <v/>
      </c>
    </row>
    <row r="574" ht="15" customHeight="1" s="15">
      <c r="A574" s="27" t="inlineStr">
        <is>
          <t>LEAD-0570</t>
        </is>
      </c>
      <c r="B574" s="27" t="inlineStr">
        <is>
          <t>Nathan Zimmerman</t>
        </is>
      </c>
      <c r="C574" s="27" t="inlineStr">
        <is>
          <t>YouTuber</t>
        </is>
      </c>
      <c r="D574" s="27" t="inlineStr">
        <is>
          <t>GB</t>
        </is>
      </c>
      <c r="E574" s="27" t="inlineStr">
        <is>
          <t>English</t>
        </is>
      </c>
      <c r="F574" s="27" t="inlineStr">
        <is>
          <t>YouTube</t>
        </is>
      </c>
      <c r="G574" s="27" t="inlineStr">
        <is>
          <t>https://www.youtube.com/@nathanzimmerman</t>
        </is>
      </c>
      <c r="H574" s="27" t="inlineStr">
        <is>
          <t>UCGB00570889135</t>
        </is>
      </c>
      <c r="I574" s="27" t="inlineStr">
        <is>
          <t>220,000</t>
        </is>
      </c>
      <c r="J574" s="27" t="inlineStr">
        <is>
          <t>2026-10-12</t>
        </is>
      </c>
      <c r="K574" s="27" t="inlineStr">
        <is>
          <t>https://www.youtube.com/watch?v=gb00570</t>
        </is>
      </c>
      <c r="L574" s="27" t="n">
        <v>8</v>
      </c>
      <c r="M574" s="27" t="n">
        <v>28</v>
      </c>
      <c r="N574" s="27" t="inlineStr">
        <is>
          <t>Product</t>
        </is>
      </c>
      <c r="O574" s="27" t="inlineStr">
        <is>
          <t>https://nathanzimmerman.com/shop</t>
        </is>
      </c>
      <c r="P574" s="27" t="inlineStr">
        <is>
          <t>Shorts Repurposing Bottleneck</t>
        </is>
      </c>
      <c r="Q574" s="27" t="inlineStr">
        <is>
          <t>https://nathanzimmerman.com/highlights</t>
        </is>
      </c>
      <c r="R574" s="27" t="inlineStr">
        <is>
          <t>X (Twitter)</t>
        </is>
      </c>
      <c r="S574" s="27" t="inlineStr">
        <is>
          <t>https://x.com/nathanzimmerman</t>
        </is>
      </c>
      <c r="T574" s="27" t="inlineStr">
        <is>
          <t>https://nathanzimmerman.com/links</t>
        </is>
      </c>
      <c r="U574" s="27" t="inlineStr">
        <is>
          <t>LinkedIn</t>
        </is>
      </c>
      <c r="V574" s="27" t="inlineStr">
        <is>
          <t>tech &amp; ai frameworks, specifically regarding episode 21 on Tech &amp; AI workflow optimization</t>
        </is>
      </c>
      <c r="W574" s="27" t="inlineStr">
        <is>
          <t>Hi Nathan, loved your recent piece on 'tech &amp; ai frameworks, specifically regarding episode 21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74" s="27" t="inlineStr">
        <is>
          <t>2026-10-18</t>
        </is>
      </c>
      <c r="Y574" s="27" t="inlineStr">
        <is>
          <t>C</t>
        </is>
      </c>
      <c r="Z574" s="27" t="n">
        <v>73.8</v>
      </c>
      <c r="AA574" s="27" t="inlineStr">
        <is>
          <t>Qualified</t>
        </is>
      </c>
      <c r="AB574" s="27" t="inlineStr"/>
      <c r="AC574" s="28">
        <f>IF(A574="","",IF(COUNTIF($H$5:$H$1004,H574)&gt;1,"DUPLICATE","UNIQUE"))</f>
        <v/>
      </c>
      <c r="AD574" s="28">
        <f>IF(A574="","",IF(AA574="Rejected",IF(AB574&lt;&gt;"","REJECTED","ADD REASON"),IF(AND(B574&lt;&gt;"",C574&lt;&gt;"",D574&lt;&gt;"",E574&lt;&gt;"",F574&lt;&gt;"",G574&lt;&gt;"",H574&lt;&gt;"",J574&lt;&gt;"",K574&lt;&gt;"",N574&lt;&gt;"",O574&lt;&gt;"",P574&lt;&gt;"",Q574&lt;&gt;"",R574&lt;&gt;"",S574&lt;&gt;"",T574&lt;&gt;"",V574&lt;&gt;"",W574&lt;&gt;"",X574&lt;&gt;"",Y574&lt;&gt;""),"COMPLETE","MISSING FIELDS")))</f>
        <v/>
      </c>
    </row>
    <row r="575" ht="15" customHeight="1" s="15">
      <c r="A575" s="27" t="inlineStr">
        <is>
          <t>LEAD-0571</t>
        </is>
      </c>
      <c r="B575" s="27" t="inlineStr">
        <is>
          <t>Nathan Sterling</t>
        </is>
      </c>
      <c r="C575" s="27" t="inlineStr">
        <is>
          <t>Podcaster</t>
        </is>
      </c>
      <c r="D575" s="27" t="inlineStr">
        <is>
          <t>GB</t>
        </is>
      </c>
      <c r="E575" s="27" t="inlineStr">
        <is>
          <t>English</t>
        </is>
      </c>
      <c r="F575" s="27" t="inlineStr">
        <is>
          <t>Apple Podcasts</t>
        </is>
      </c>
      <c r="G575" s="27" t="inlineStr">
        <is>
          <t>https://podcasts.apple.com/gb/podcast/nathansterling/id1000571</t>
        </is>
      </c>
      <c r="H575" s="27" t="inlineStr">
        <is>
          <t>AP-GB-1000571</t>
        </is>
      </c>
      <c r="I575" s="27" t="inlineStr">
        <is>
          <t>264,000</t>
        </is>
      </c>
      <c r="J575" s="27" t="inlineStr">
        <is>
          <t>2026-10-13</t>
        </is>
      </c>
      <c r="K575" s="27" t="inlineStr">
        <is>
          <t>https://nathansterling.com/episodes/172</t>
        </is>
      </c>
      <c r="L575" s="27" t="n">
        <v>9</v>
      </c>
      <c r="M575" s="27" t="n">
        <v>29</v>
      </c>
      <c r="N575" s="27" t="inlineStr">
        <is>
          <t>Consulting</t>
        </is>
      </c>
      <c r="O575" s="27" t="inlineStr">
        <is>
          <t>https://nathansterling.com/advisory</t>
        </is>
      </c>
      <c r="P575" s="27" t="inlineStr">
        <is>
          <t>Missing Video Captions &amp; Retention Clips</t>
        </is>
      </c>
      <c r="Q575" s="27" t="inlineStr">
        <is>
          <t>https://nathansterling.com/highlights</t>
        </is>
      </c>
      <c r="R575" s="27" t="inlineStr">
        <is>
          <t>Email</t>
        </is>
      </c>
      <c r="S575" s="27" t="inlineStr">
        <is>
          <t>hello@nathansterling.com</t>
        </is>
      </c>
      <c r="T575" s="27" t="inlineStr">
        <is>
          <t>https://nathansterling.com/work-with-me</t>
        </is>
      </c>
      <c r="U575" s="27" t="inlineStr">
        <is>
          <t>LinkedIn</t>
        </is>
      </c>
      <c r="V575" s="27" t="inlineStr">
        <is>
          <t>saas &amp; product growth frameworks, specifically regarding episode 22 on SaaS &amp; Product Growth workflow optimization</t>
        </is>
      </c>
      <c r="W575" s="27" t="inlineStr">
        <is>
          <t>Hi Nathan, loved your recent piece on 'saas &amp; product growth frameworks, specifically regarding episode 22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75" s="27" t="inlineStr">
        <is>
          <t>2026-10-18</t>
        </is>
      </c>
      <c r="Y575" s="27" t="inlineStr">
        <is>
          <t>C</t>
        </is>
      </c>
      <c r="Z575" s="27" t="n">
        <v>73.7</v>
      </c>
      <c r="AA575" s="27" t="inlineStr">
        <is>
          <t>Qualified</t>
        </is>
      </c>
      <c r="AB575" s="27" t="inlineStr"/>
      <c r="AC575" s="28">
        <f>IF(A575="","",IF(COUNTIF($H$5:$H$1004,H575)&gt;1,"DUPLICATE","UNIQUE"))</f>
        <v/>
      </c>
      <c r="AD575" s="28">
        <f>IF(A575="","",IF(AA575="Rejected",IF(AB575&lt;&gt;"","REJECTED","ADD REASON"),IF(AND(B575&lt;&gt;"",C575&lt;&gt;"",D575&lt;&gt;"",E575&lt;&gt;"",F575&lt;&gt;"",G575&lt;&gt;"",H575&lt;&gt;"",J575&lt;&gt;"",K575&lt;&gt;"",N575&lt;&gt;"",O575&lt;&gt;"",P575&lt;&gt;"",Q575&lt;&gt;"",R575&lt;&gt;"",S575&lt;&gt;"",T575&lt;&gt;"",V575&lt;&gt;"",W575&lt;&gt;"",X575&lt;&gt;"",Y575&lt;&gt;""),"COMPLETE","MISSING FIELDS")))</f>
        <v/>
      </c>
    </row>
    <row r="576" ht="15" customHeight="1" s="15">
      <c r="A576" s="27" t="inlineStr">
        <is>
          <t>LEAD-0572</t>
        </is>
      </c>
      <c r="B576" s="27" t="inlineStr">
        <is>
          <t>Nathan Cross</t>
        </is>
      </c>
      <c r="C576" s="27" t="inlineStr">
        <is>
          <t>Expert-Led Creator</t>
        </is>
      </c>
      <c r="D576" s="27" t="inlineStr">
        <is>
          <t>GB</t>
        </is>
      </c>
      <c r="E576" s="27" t="inlineStr">
        <is>
          <t>English</t>
        </is>
      </c>
      <c r="F576" s="27" t="inlineStr">
        <is>
          <t>YouTube</t>
        </is>
      </c>
      <c r="G576" s="27" t="inlineStr">
        <is>
          <t>https://www.youtube.com/@nathancross</t>
        </is>
      </c>
      <c r="H576" s="27" t="inlineStr">
        <is>
          <t>UCGB00572424442</t>
        </is>
      </c>
      <c r="I576" s="27" t="inlineStr">
        <is>
          <t>260,000</t>
        </is>
      </c>
      <c r="J576" s="27" t="inlineStr">
        <is>
          <t>2026-10-14</t>
        </is>
      </c>
      <c r="K576" s="27" t="inlineStr">
        <is>
          <t>https://www.youtube.com/watch?v=gb00572</t>
        </is>
      </c>
      <c r="L576" s="27" t="n">
        <v>10</v>
      </c>
      <c r="M576" s="27" t="n">
        <v>30</v>
      </c>
      <c r="N576" s="27" t="inlineStr">
        <is>
          <t>Newsletter Subscription</t>
        </is>
      </c>
      <c r="O576" s="27" t="inlineStr">
        <is>
          <t>https://nathancross.com/subscribe</t>
        </is>
      </c>
      <c r="P576" s="27" t="inlineStr">
        <is>
          <t>Editing Backlog &amp; Team Workflow Overhead</t>
        </is>
      </c>
      <c r="Q576" s="27" t="inlineStr">
        <is>
          <t>https://nathancross.com/highlights</t>
        </is>
      </c>
      <c r="R576" s="27" t="inlineStr">
        <is>
          <t>Email</t>
        </is>
      </c>
      <c r="S576" s="27" t="inlineStr">
        <is>
          <t>contact@nathancross.com</t>
        </is>
      </c>
      <c r="T576" s="27" t="inlineStr">
        <is>
          <t>https://nathancross.com/contact</t>
        </is>
      </c>
      <c r="U576" s="27" t="inlineStr">
        <is>
          <t>LinkedIn</t>
        </is>
      </c>
      <c r="V576" s="27" t="inlineStr">
        <is>
          <t>creator business &amp; monetization frameworks, specifically regarding episode 23 on Creator Business &amp; Monetization workflow optimization</t>
        </is>
      </c>
      <c r="W576" s="27" t="inlineStr">
        <is>
          <t>Hi Nathan, loved your recent piece on 'creator business &amp; monetization frameworks, specifically regarding episode 23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76" s="27" t="inlineStr">
        <is>
          <t>2026-10-18</t>
        </is>
      </c>
      <c r="Y576" s="27" t="inlineStr">
        <is>
          <t>C</t>
        </is>
      </c>
      <c r="Z576" s="27" t="n">
        <v>73.7</v>
      </c>
      <c r="AA576" s="27" t="inlineStr">
        <is>
          <t>Qualified</t>
        </is>
      </c>
      <c r="AB576" s="27" t="inlineStr"/>
      <c r="AC576" s="28">
        <f>IF(A576="","",IF(COUNTIF($H$5:$H$1004,H576)&gt;1,"DUPLICATE","UNIQUE"))</f>
        <v/>
      </c>
      <c r="AD576" s="28">
        <f>IF(A576="","",IF(AA576="Rejected",IF(AB576&lt;&gt;"","REJECTED","ADD REASON"),IF(AND(B576&lt;&gt;"",C576&lt;&gt;"",D576&lt;&gt;"",E576&lt;&gt;"",F576&lt;&gt;"",G576&lt;&gt;"",H576&lt;&gt;"",J576&lt;&gt;"",K576&lt;&gt;"",N576&lt;&gt;"",O576&lt;&gt;"",P576&lt;&gt;"",Q576&lt;&gt;"",R576&lt;&gt;"",S576&lt;&gt;"",T576&lt;&gt;"",V576&lt;&gt;"",W576&lt;&gt;"",X576&lt;&gt;"",Y576&lt;&gt;""),"COMPLETE","MISSING FIELDS")))</f>
        <v/>
      </c>
    </row>
    <row r="577" ht="15" customHeight="1" s="15">
      <c r="A577" s="27" t="inlineStr">
        <is>
          <t>LEAD-0573</t>
        </is>
      </c>
      <c r="B577" s="27" t="inlineStr">
        <is>
          <t>Nathan Vance</t>
        </is>
      </c>
      <c r="C577" s="27" t="inlineStr">
        <is>
          <t>YouTuber</t>
        </is>
      </c>
      <c r="D577" s="27" t="inlineStr">
        <is>
          <t>GB</t>
        </is>
      </c>
      <c r="E577" s="27" t="inlineStr">
        <is>
          <t>English</t>
        </is>
      </c>
      <c r="F577" s="27" t="inlineStr">
        <is>
          <t>YouTube</t>
        </is>
      </c>
      <c r="G577" s="27" t="inlineStr">
        <is>
          <t>https://www.youtube.com/@nathanvance</t>
        </is>
      </c>
      <c r="H577" s="27" t="inlineStr">
        <is>
          <t>UCGB00573752367</t>
        </is>
      </c>
      <c r="I577" s="27" t="inlineStr">
        <is>
          <t>280,000</t>
        </is>
      </c>
      <c r="J577" s="27" t="inlineStr">
        <is>
          <t>2026-10-15</t>
        </is>
      </c>
      <c r="K577" s="27" t="inlineStr">
        <is>
          <t>https://www.youtube.com/watch?v=gb00573</t>
        </is>
      </c>
      <c r="L577" s="27" t="n">
        <v>11</v>
      </c>
      <c r="M577" s="27" t="n">
        <v>31</v>
      </c>
      <c r="N577" s="27" t="inlineStr">
        <is>
          <t>Affiliate</t>
        </is>
      </c>
      <c r="O577" s="27" t="inlineStr">
        <is>
          <t>https://nathanvance.com/resources</t>
        </is>
      </c>
      <c r="P577" s="27" t="inlineStr">
        <is>
          <t>Shorts Repurposing Bottleneck</t>
        </is>
      </c>
      <c r="Q577" s="27" t="inlineStr">
        <is>
          <t>https://nathanvance.com/highlights</t>
        </is>
      </c>
      <c r="R577" s="27" t="inlineStr">
        <is>
          <t>LinkedIn</t>
        </is>
      </c>
      <c r="S577" s="27" t="inlineStr">
        <is>
          <t>https://linkedin.com/in/nathanvance</t>
        </is>
      </c>
      <c r="T577" s="27" t="inlineStr">
        <is>
          <t>https://nathanvance.com/about</t>
        </is>
      </c>
      <c r="U577" s="27" t="inlineStr">
        <is>
          <t>Email</t>
        </is>
      </c>
      <c r="V577" s="27" t="inlineStr">
        <is>
          <t>productivity &amp; personal systems frameworks, specifically regarding episode 24 on Productivity &amp; Personal Systems workflow optimization</t>
        </is>
      </c>
      <c r="W577" s="27" t="inlineStr">
        <is>
          <t>Hi Nathan, loved your recent piece on 'productivity &amp; personal systems frameworks, specifically regarding episode 24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77" s="27" t="inlineStr">
        <is>
          <t>2026-10-18</t>
        </is>
      </c>
      <c r="Y577" s="27" t="inlineStr">
        <is>
          <t>C</t>
        </is>
      </c>
      <c r="Z577" s="27" t="n">
        <v>73.59999999999999</v>
      </c>
      <c r="AA577" s="27" t="inlineStr">
        <is>
          <t>Qualified</t>
        </is>
      </c>
      <c r="AB577" s="27" t="inlineStr"/>
      <c r="AC577" s="28">
        <f>IF(A577="","",IF(COUNTIF($H$5:$H$1004,H577)&gt;1,"DUPLICATE","UNIQUE"))</f>
        <v/>
      </c>
      <c r="AD577" s="28">
        <f>IF(A577="","",IF(AA577="Rejected",IF(AB577&lt;&gt;"","REJECTED","ADD REASON"),IF(AND(B577&lt;&gt;"",C577&lt;&gt;"",D577&lt;&gt;"",E577&lt;&gt;"",F577&lt;&gt;"",G577&lt;&gt;"",H577&lt;&gt;"",J577&lt;&gt;"",K577&lt;&gt;"",N577&lt;&gt;"",O577&lt;&gt;"",P577&lt;&gt;"",Q577&lt;&gt;"",R577&lt;&gt;"",S577&lt;&gt;"",T577&lt;&gt;"",V577&lt;&gt;"",W577&lt;&gt;"",X577&lt;&gt;"",Y577&lt;&gt;""),"COMPLETE","MISSING FIELDS")))</f>
        <v/>
      </c>
    </row>
    <row r="578" ht="15" customHeight="1" s="15">
      <c r="A578" s="27" t="inlineStr">
        <is>
          <t>LEAD-0574</t>
        </is>
      </c>
      <c r="B578" s="27" t="inlineStr">
        <is>
          <t>Nathan Mercer</t>
        </is>
      </c>
      <c r="C578" s="27" t="inlineStr">
        <is>
          <t>Podcaster</t>
        </is>
      </c>
      <c r="D578" s="27" t="inlineStr">
        <is>
          <t>GB</t>
        </is>
      </c>
      <c r="E578" s="27" t="inlineStr">
        <is>
          <t>English</t>
        </is>
      </c>
      <c r="F578" s="27" t="inlineStr">
        <is>
          <t>Apple Podcasts</t>
        </is>
      </c>
      <c r="G578" s="27" t="inlineStr">
        <is>
          <t>https://podcasts.apple.com/gb/podcast/nathanmercer/id1000574</t>
        </is>
      </c>
      <c r="H578" s="27" t="inlineStr">
        <is>
          <t>AP-GB-1000574</t>
        </is>
      </c>
      <c r="I578" s="27" t="inlineStr">
        <is>
          <t>300,000</t>
        </is>
      </c>
      <c r="J578" s="27" t="inlineStr">
        <is>
          <t>2026-10-16</t>
        </is>
      </c>
      <c r="K578" s="27" t="inlineStr">
        <is>
          <t>https://nathanmercer.com/episodes/175</t>
        </is>
      </c>
      <c r="L578" s="27" t="n">
        <v>12</v>
      </c>
      <c r="M578" s="27" t="n">
        <v>32</v>
      </c>
      <c r="N578" s="27" t="inlineStr">
        <is>
          <t>Course</t>
        </is>
      </c>
      <c r="O578" s="27" t="inlineStr">
        <is>
          <t>https://nathanmercer.com/academy</t>
        </is>
      </c>
      <c r="P578" s="27" t="inlineStr">
        <is>
          <t>Inconsistent Cross-Platform Publishing</t>
        </is>
      </c>
      <c r="Q578" s="27" t="inlineStr">
        <is>
          <t>https://nathanmercer.com/highlights</t>
        </is>
      </c>
      <c r="R578" s="27" t="inlineStr">
        <is>
          <t>X (Twitter)</t>
        </is>
      </c>
      <c r="S578" s="27" t="inlineStr">
        <is>
          <t>https://x.com/nathanmercer</t>
        </is>
      </c>
      <c r="T578" s="27" t="inlineStr">
        <is>
          <t>https://nathanmercer.com/links</t>
        </is>
      </c>
      <c r="U578" s="27" t="inlineStr">
        <is>
          <t>LinkedIn</t>
        </is>
      </c>
      <c r="V578" s="27" t="inlineStr">
        <is>
          <t>leadership &amp; team ops frameworks, specifically regarding episode 25 on Leadership &amp; Team Ops workflow optimization</t>
        </is>
      </c>
      <c r="W578" s="27" t="inlineStr">
        <is>
          <t>Hi Nathan, loved your recent piece on 'leadership &amp; team ops frameworks, specifically regarding episode 25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78" s="27" t="inlineStr">
        <is>
          <t>2026-10-18</t>
        </is>
      </c>
      <c r="Y578" s="27" t="inlineStr">
        <is>
          <t>C</t>
        </is>
      </c>
      <c r="Z578" s="27" t="n">
        <v>73.59999999999999</v>
      </c>
      <c r="AA578" s="27" t="inlineStr">
        <is>
          <t>Qualified</t>
        </is>
      </c>
      <c r="AB578" s="27" t="inlineStr"/>
      <c r="AC578" s="28">
        <f>IF(A578="","",IF(COUNTIF($H$5:$H$1004,H578)&gt;1,"DUPLICATE","UNIQUE"))</f>
        <v/>
      </c>
      <c r="AD578" s="28">
        <f>IF(A578="","",IF(AA578="Rejected",IF(AB578&lt;&gt;"","REJECTED","ADD REASON"),IF(AND(B578&lt;&gt;"",C578&lt;&gt;"",D578&lt;&gt;"",E578&lt;&gt;"",F578&lt;&gt;"",G578&lt;&gt;"",H578&lt;&gt;"",J578&lt;&gt;"",K578&lt;&gt;"",N578&lt;&gt;"",O578&lt;&gt;"",P578&lt;&gt;"",Q578&lt;&gt;"",R578&lt;&gt;"",S578&lt;&gt;"",T578&lt;&gt;"",V578&lt;&gt;"",W578&lt;&gt;"",X578&lt;&gt;"",Y578&lt;&gt;""),"COMPLETE","MISSING FIELDS")))</f>
        <v/>
      </c>
    </row>
    <row r="579" ht="15" customHeight="1" s="15">
      <c r="A579" s="27" t="inlineStr">
        <is>
          <t>LEAD-0575</t>
        </is>
      </c>
      <c r="B579" s="27" t="inlineStr">
        <is>
          <t>Nathan Sinclair</t>
        </is>
      </c>
      <c r="C579" s="27" t="inlineStr">
        <is>
          <t>Expert-Led Creator</t>
        </is>
      </c>
      <c r="D579" s="27" t="inlineStr">
        <is>
          <t>GB</t>
        </is>
      </c>
      <c r="E579" s="27" t="inlineStr">
        <is>
          <t>English</t>
        </is>
      </c>
      <c r="F579" s="27" t="inlineStr">
        <is>
          <t>LinkedIn</t>
        </is>
      </c>
      <c r="G579" s="27" t="inlineStr">
        <is>
          <t>https://www.linkedin.com/in/nathansinclair</t>
        </is>
      </c>
      <c r="H579" s="27" t="inlineStr">
        <is>
          <t>LI-nathansinclair-0575</t>
        </is>
      </c>
      <c r="I579" s="27" t="inlineStr">
        <is>
          <t>36,000</t>
        </is>
      </c>
      <c r="J579" s="27" t="inlineStr">
        <is>
          <t>2026-10-17</t>
        </is>
      </c>
      <c r="K579" s="27" t="inlineStr">
        <is>
          <t>https://nathansinclair.com/posts/126</t>
        </is>
      </c>
      <c r="L579" s="27" t="n">
        <v>13</v>
      </c>
      <c r="M579" s="27" t="n">
        <v>33</v>
      </c>
      <c r="N579" s="27" t="inlineStr">
        <is>
          <t>Sponsor</t>
        </is>
      </c>
      <c r="O579" s="27" t="inlineStr">
        <is>
          <t>https://nathansinclair.com/partners</t>
        </is>
      </c>
      <c r="P579" s="27" t="inlineStr">
        <is>
          <t>Editing Backlog &amp; Team Workflow Overhead</t>
        </is>
      </c>
      <c r="Q579" s="27" t="inlineStr">
        <is>
          <t>https://nathansinclair.com/highlights</t>
        </is>
      </c>
      <c r="R579" s="27" t="inlineStr">
        <is>
          <t>Email</t>
        </is>
      </c>
      <c r="S579" s="27" t="inlineStr">
        <is>
          <t>hello@nathansinclair.com</t>
        </is>
      </c>
      <c r="T579" s="27" t="inlineStr">
        <is>
          <t>https://nathansinclair.com/work-with-me</t>
        </is>
      </c>
      <c r="U579" s="27" t="inlineStr">
        <is>
          <t>LinkedIn</t>
        </is>
      </c>
      <c r="V579" s="27" t="inlineStr">
        <is>
          <t>b2b marketing &amp; sales frameworks, specifically regarding episode 26 on B2B Marketing &amp; Sales workflow optimization</t>
        </is>
      </c>
      <c r="W579" s="27" t="inlineStr">
        <is>
          <t>Hi Nathan, loved your recent piece on 'b2b marketing &amp; sales frameworks, specifically regarding episode 26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79" s="27" t="inlineStr">
        <is>
          <t>2026-10-18</t>
        </is>
      </c>
      <c r="Y579" s="27" t="inlineStr">
        <is>
          <t>C</t>
        </is>
      </c>
      <c r="Z579" s="27" t="n">
        <v>73.5</v>
      </c>
      <c r="AA579" s="27" t="inlineStr">
        <is>
          <t>Qualified</t>
        </is>
      </c>
      <c r="AB579" s="27" t="inlineStr"/>
      <c r="AC579" s="28">
        <f>IF(A579="","",IF(COUNTIF($H$5:$H$1004,H579)&gt;1,"DUPLICATE","UNIQUE"))</f>
        <v/>
      </c>
      <c r="AD579" s="28">
        <f>IF(A579="","",IF(AA579="Rejected",IF(AB579&lt;&gt;"","REJECTED","ADD REASON"),IF(AND(B579&lt;&gt;"",C579&lt;&gt;"",D579&lt;&gt;"",E579&lt;&gt;"",F579&lt;&gt;"",G579&lt;&gt;"",H579&lt;&gt;"",J579&lt;&gt;"",K579&lt;&gt;"",N579&lt;&gt;"",O579&lt;&gt;"",P579&lt;&gt;"",Q579&lt;&gt;"",R579&lt;&gt;"",S579&lt;&gt;"",T579&lt;&gt;"",V579&lt;&gt;"",W579&lt;&gt;"",X579&lt;&gt;"",Y579&lt;&gt;""),"COMPLETE","MISSING FIELDS")))</f>
        <v/>
      </c>
    </row>
    <row r="580" ht="15" customHeight="1" s="15">
      <c r="A580" s="27" t="inlineStr">
        <is>
          <t>LEAD-0576</t>
        </is>
      </c>
      <c r="B580" s="27" t="inlineStr">
        <is>
          <t>Nathan Carrington</t>
        </is>
      </c>
      <c r="C580" s="27" t="inlineStr">
        <is>
          <t>YouTuber</t>
        </is>
      </c>
      <c r="D580" s="27" t="inlineStr">
        <is>
          <t>GB</t>
        </is>
      </c>
      <c r="E580" s="27" t="inlineStr">
        <is>
          <t>English</t>
        </is>
      </c>
      <c r="F580" s="27" t="inlineStr">
        <is>
          <t>YouTube</t>
        </is>
      </c>
      <c r="G580" s="27" t="inlineStr">
        <is>
          <t>https://www.youtube.com/@nathancarrington</t>
        </is>
      </c>
      <c r="H580" s="27" t="inlineStr">
        <is>
          <t>UCGB00576807275</t>
        </is>
      </c>
      <c r="I580" s="27" t="inlineStr">
        <is>
          <t>340,000</t>
        </is>
      </c>
      <c r="J580" s="27" t="inlineStr">
        <is>
          <t>2026-10-10</t>
        </is>
      </c>
      <c r="K580" s="27" t="inlineStr">
        <is>
          <t>https://www.youtube.com/watch?v=gb00576</t>
        </is>
      </c>
      <c r="L580" s="27" t="n">
        <v>14</v>
      </c>
      <c r="M580" s="27" t="n">
        <v>16</v>
      </c>
      <c r="N580" s="27" t="inlineStr">
        <is>
          <t>Membership</t>
        </is>
      </c>
      <c r="O580" s="27" t="inlineStr">
        <is>
          <t>https://nathancarrington.com/community</t>
        </is>
      </c>
      <c r="P580" s="27" t="inlineStr">
        <is>
          <t>Multilingual Audio Dubbing</t>
        </is>
      </c>
      <c r="Q580" s="27" t="inlineStr">
        <is>
          <t>https://nathancarrington.com/highlights</t>
        </is>
      </c>
      <c r="R580" s="27" t="inlineStr">
        <is>
          <t>Email</t>
        </is>
      </c>
      <c r="S580" s="27" t="inlineStr">
        <is>
          <t>contact@nathancarrington.com</t>
        </is>
      </c>
      <c r="T580" s="27" t="inlineStr">
        <is>
          <t>https://nathancarrington.com/contact</t>
        </is>
      </c>
      <c r="U580" s="27" t="inlineStr">
        <is>
          <t>LinkedIn</t>
        </is>
      </c>
      <c r="V580" s="27" t="inlineStr">
        <is>
          <t>finance &amp; wealth engineering frameworks, specifically regarding episode 27 on Finance &amp; Wealth Engineering workflow optimization</t>
        </is>
      </c>
      <c r="W580" s="27" t="inlineStr">
        <is>
          <t>Hi Nathan,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80" s="27" t="inlineStr">
        <is>
          <t>2026-10-18</t>
        </is>
      </c>
      <c r="Y580" s="27" t="inlineStr">
        <is>
          <t>C</t>
        </is>
      </c>
      <c r="Z580" s="27" t="n">
        <v>73.40000000000001</v>
      </c>
      <c r="AA580" s="27" t="inlineStr">
        <is>
          <t>Qualified</t>
        </is>
      </c>
      <c r="AB580" s="27" t="inlineStr"/>
      <c r="AC580" s="28">
        <f>IF(A580="","",IF(COUNTIF($H$5:$H$1004,H580)&gt;1,"DUPLICATE","UNIQUE"))</f>
        <v/>
      </c>
      <c r="AD580" s="28">
        <f>IF(A580="","",IF(AA580="Rejected",IF(AB580&lt;&gt;"","REJECTED","ADD REASON"),IF(AND(B580&lt;&gt;"",C580&lt;&gt;"",D580&lt;&gt;"",E580&lt;&gt;"",F580&lt;&gt;"",G580&lt;&gt;"",H580&lt;&gt;"",J580&lt;&gt;"",K580&lt;&gt;"",N580&lt;&gt;"",O580&lt;&gt;"",P580&lt;&gt;"",Q580&lt;&gt;"",R580&lt;&gt;"",S580&lt;&gt;"",T580&lt;&gt;"",V580&lt;&gt;"",W580&lt;&gt;"",X580&lt;&gt;"",Y580&lt;&gt;""),"COMPLETE","MISSING FIELDS")))</f>
        <v/>
      </c>
    </row>
    <row r="581" ht="15" customHeight="1" s="15">
      <c r="A581" s="27" t="inlineStr">
        <is>
          <t>LEAD-0577</t>
        </is>
      </c>
      <c r="B581" s="27" t="inlineStr">
        <is>
          <t>Nathan Prescott</t>
        </is>
      </c>
      <c r="C581" s="27" t="inlineStr">
        <is>
          <t>Podcaster</t>
        </is>
      </c>
      <c r="D581" s="27" t="inlineStr">
        <is>
          <t>GB</t>
        </is>
      </c>
      <c r="E581" s="27" t="inlineStr">
        <is>
          <t>English</t>
        </is>
      </c>
      <c r="F581" s="27" t="inlineStr">
        <is>
          <t>Apple Podcasts</t>
        </is>
      </c>
      <c r="G581" s="27" t="inlineStr">
        <is>
          <t>https://podcasts.apple.com/gb/podcast/nathanprescott/id1000577</t>
        </is>
      </c>
      <c r="H581" s="27" t="inlineStr">
        <is>
          <t>AP-GB-1000577</t>
        </is>
      </c>
      <c r="I581" s="27" t="inlineStr">
        <is>
          <t>36,000</t>
        </is>
      </c>
      <c r="J581" s="27" t="inlineStr">
        <is>
          <t>2026-10-11</t>
        </is>
      </c>
      <c r="K581" s="27" t="inlineStr">
        <is>
          <t>https://nathanprescott.com/episodes/178</t>
        </is>
      </c>
      <c r="L581" s="27" t="n">
        <v>15</v>
      </c>
      <c r="M581" s="27" t="n">
        <v>17</v>
      </c>
      <c r="N581" s="27" t="inlineStr">
        <is>
          <t>Product</t>
        </is>
      </c>
      <c r="O581" s="27" t="inlineStr">
        <is>
          <t>https://nathanprescott.com/shop</t>
        </is>
      </c>
      <c r="P581" s="27" t="inlineStr">
        <is>
          <t>Multilingual Audio Dubbing</t>
        </is>
      </c>
      <c r="Q581" s="27" t="inlineStr">
        <is>
          <t>https://nathanprescott.com/highlights</t>
        </is>
      </c>
      <c r="R581" s="27" t="inlineStr">
        <is>
          <t>LinkedIn</t>
        </is>
      </c>
      <c r="S581" s="27" t="inlineStr">
        <is>
          <t>https://linkedin.com/in/nathanprescott</t>
        </is>
      </c>
      <c r="T581" s="27" t="inlineStr">
        <is>
          <t>https://nathanprescott.com/about</t>
        </is>
      </c>
      <c r="U581" s="27" t="inlineStr">
        <is>
          <t>Email</t>
        </is>
      </c>
      <c r="V581" s="27" t="inlineStr">
        <is>
          <t>health &amp; longevity science frameworks, specifically regarding episode 28 on Health &amp; Longevity Science workflow optimization</t>
        </is>
      </c>
      <c r="W581" s="27" t="inlineStr">
        <is>
          <t>Hi Nathan,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81" s="27" t="inlineStr">
        <is>
          <t>2026-10-18</t>
        </is>
      </c>
      <c r="Y581" s="27" t="inlineStr">
        <is>
          <t>C</t>
        </is>
      </c>
      <c r="Z581" s="27" t="n">
        <v>73.40000000000001</v>
      </c>
      <c r="AA581" s="27" t="inlineStr">
        <is>
          <t>Qualified</t>
        </is>
      </c>
      <c r="AB581" s="27" t="inlineStr"/>
      <c r="AC581" s="28">
        <f>IF(A581="","",IF(COUNTIF($H$5:$H$1004,H581)&gt;1,"DUPLICATE","UNIQUE"))</f>
        <v/>
      </c>
      <c r="AD581" s="28">
        <f>IF(A581="","",IF(AA581="Rejected",IF(AB581&lt;&gt;"","REJECTED","ADD REASON"),IF(AND(B581&lt;&gt;"",C581&lt;&gt;"",D581&lt;&gt;"",E581&lt;&gt;"",F581&lt;&gt;"",G581&lt;&gt;"",H581&lt;&gt;"",J581&lt;&gt;"",K581&lt;&gt;"",N581&lt;&gt;"",O581&lt;&gt;"",P581&lt;&gt;"",Q581&lt;&gt;"",R581&lt;&gt;"",S581&lt;&gt;"",T581&lt;&gt;"",V581&lt;&gt;"",W581&lt;&gt;"",X581&lt;&gt;"",Y581&lt;&gt;""),"COMPLETE","MISSING FIELDS")))</f>
        <v/>
      </c>
    </row>
    <row r="582" ht="15" customHeight="1" s="15">
      <c r="A582" s="27" t="inlineStr">
        <is>
          <t>LEAD-0578</t>
        </is>
      </c>
      <c r="B582" s="27" t="inlineStr">
        <is>
          <t>Nathan Winslow</t>
        </is>
      </c>
      <c r="C582" s="27" t="inlineStr">
        <is>
          <t>YouTuber</t>
        </is>
      </c>
      <c r="D582" s="27" t="inlineStr">
        <is>
          <t>GB</t>
        </is>
      </c>
      <c r="E582" s="27" t="inlineStr">
        <is>
          <t>English</t>
        </is>
      </c>
      <c r="F582" s="27" t="inlineStr">
        <is>
          <t>YouTube</t>
        </is>
      </c>
      <c r="G582" s="27" t="inlineStr">
        <is>
          <t>https://www.youtube.com/@nathanwinslow</t>
        </is>
      </c>
      <c r="H582" s="27" t="inlineStr">
        <is>
          <t>UCGB00578837617</t>
        </is>
      </c>
      <c r="I582" s="27" t="inlineStr">
        <is>
          <t>380,000</t>
        </is>
      </c>
      <c r="J582" s="27" t="inlineStr">
        <is>
          <t>2026-10-12</t>
        </is>
      </c>
      <c r="K582" s="27" t="inlineStr">
        <is>
          <t>https://www.youtube.com/watch?v=gb00578</t>
        </is>
      </c>
      <c r="L582" s="27" t="n">
        <v>16</v>
      </c>
      <c r="M582" s="27" t="n">
        <v>18</v>
      </c>
      <c r="N582" s="27" t="inlineStr">
        <is>
          <t>Consulting</t>
        </is>
      </c>
      <c r="O582" s="27" t="inlineStr">
        <is>
          <t>https://nathanwinslow.com/advisory</t>
        </is>
      </c>
      <c r="P582" s="27" t="inlineStr">
        <is>
          <t>Missing Video Captions &amp; Retention Clips</t>
        </is>
      </c>
      <c r="Q582" s="27" t="inlineStr">
        <is>
          <t>https://nathanwinslow.com/highlights</t>
        </is>
      </c>
      <c r="R582" s="27" t="inlineStr">
        <is>
          <t>X (Twitter)</t>
        </is>
      </c>
      <c r="S582" s="27" t="inlineStr">
        <is>
          <t>https://x.com/nathanwinslow</t>
        </is>
      </c>
      <c r="T582" s="27" t="inlineStr">
        <is>
          <t>https://nathanwinslow.com/links</t>
        </is>
      </c>
      <c r="U582" s="27" t="inlineStr">
        <is>
          <t>LinkedIn</t>
        </is>
      </c>
      <c r="V582" s="27" t="inlineStr">
        <is>
          <t>education &amp; applied coding frameworks, specifically regarding episode 29 on Education &amp; Applied Coding workflow optimization</t>
        </is>
      </c>
      <c r="W582" s="27" t="inlineStr">
        <is>
          <t>Hi Nathan,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82" s="27" t="inlineStr">
        <is>
          <t>2026-10-18</t>
        </is>
      </c>
      <c r="Y582" s="27" t="inlineStr">
        <is>
          <t>C</t>
        </is>
      </c>
      <c r="Z582" s="27" t="n">
        <v>73.3</v>
      </c>
      <c r="AA582" s="27" t="inlineStr">
        <is>
          <t>Qualified</t>
        </is>
      </c>
      <c r="AB582" s="27" t="inlineStr"/>
      <c r="AC582" s="28">
        <f>IF(A582="","",IF(COUNTIF($H$5:$H$1004,H582)&gt;1,"DUPLICATE","UNIQUE"))</f>
        <v/>
      </c>
      <c r="AD582" s="28">
        <f>IF(A582="","",IF(AA582="Rejected",IF(AB582&lt;&gt;"","REJECTED","ADD REASON"),IF(AND(B582&lt;&gt;"",C582&lt;&gt;"",D582&lt;&gt;"",E582&lt;&gt;"",F582&lt;&gt;"",G582&lt;&gt;"",H582&lt;&gt;"",J582&lt;&gt;"",K582&lt;&gt;"",N582&lt;&gt;"",O582&lt;&gt;"",P582&lt;&gt;"",Q582&lt;&gt;"",R582&lt;&gt;"",S582&lt;&gt;"",T582&lt;&gt;"",V582&lt;&gt;"",W582&lt;&gt;"",X582&lt;&gt;"",Y582&lt;&gt;""),"COMPLETE","MISSING FIELDS")))</f>
        <v/>
      </c>
    </row>
    <row r="583" ht="15" customHeight="1" s="15">
      <c r="A583" s="27" t="inlineStr">
        <is>
          <t>LEAD-0579</t>
        </is>
      </c>
      <c r="B583" s="27" t="inlineStr">
        <is>
          <t>Nathan Bradford</t>
        </is>
      </c>
      <c r="C583" s="27" t="inlineStr">
        <is>
          <t>Podcaster</t>
        </is>
      </c>
      <c r="D583" s="27" t="inlineStr">
        <is>
          <t>GB</t>
        </is>
      </c>
      <c r="E583" s="27" t="inlineStr">
        <is>
          <t>English</t>
        </is>
      </c>
      <c r="F583" s="27" t="inlineStr">
        <is>
          <t>Apple Podcasts</t>
        </is>
      </c>
      <c r="G583" s="27" t="inlineStr">
        <is>
          <t>https://podcasts.apple.com/gb/podcast/nathanbradford/id1000579</t>
        </is>
      </c>
      <c r="H583" s="27" t="inlineStr">
        <is>
          <t>AP-GB-1000579</t>
        </is>
      </c>
      <c r="I583" s="27" t="inlineStr">
        <is>
          <t>60,000</t>
        </is>
      </c>
      <c r="J583" s="27" t="inlineStr">
        <is>
          <t>2026-10-13</t>
        </is>
      </c>
      <c r="K583" s="27" t="inlineStr">
        <is>
          <t>https://nathanbradford.com/episodes/180</t>
        </is>
      </c>
      <c r="L583" s="27" t="n">
        <v>17</v>
      </c>
      <c r="M583" s="27" t="n">
        <v>19</v>
      </c>
      <c r="N583" s="27" t="inlineStr">
        <is>
          <t>Newsletter Subscription</t>
        </is>
      </c>
      <c r="O583" s="27" t="inlineStr">
        <is>
          <t>https://nathanbradford.com/subscribe</t>
        </is>
      </c>
      <c r="P583" s="27" t="inlineStr">
        <is>
          <t>Shorts Repurposing Bottleneck</t>
        </is>
      </c>
      <c r="Q583" s="27" t="inlineStr">
        <is>
          <t>https://nathanbradford.com/highlights</t>
        </is>
      </c>
      <c r="R583" s="27" t="inlineStr">
        <is>
          <t>Email</t>
        </is>
      </c>
      <c r="S583" s="27" t="inlineStr">
        <is>
          <t>hello@nathanbradford.com</t>
        </is>
      </c>
      <c r="T583" s="27" t="inlineStr">
        <is>
          <t>https://nathanbradford.com/work-with-me</t>
        </is>
      </c>
      <c r="U583" s="27" t="inlineStr">
        <is>
          <t>LinkedIn</t>
        </is>
      </c>
      <c r="V583" s="27" t="inlineStr">
        <is>
          <t>e-commerce &amp; digital brands frameworks, specifically regarding episode 30 on E-Commerce &amp; Digital Brands workflow optimization</t>
        </is>
      </c>
      <c r="W583" s="27" t="inlineStr">
        <is>
          <t>Hi Nathan,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83" s="27" t="inlineStr">
        <is>
          <t>2026-10-18</t>
        </is>
      </c>
      <c r="Y583" s="27" t="inlineStr">
        <is>
          <t>C</t>
        </is>
      </c>
      <c r="Z583" s="27" t="n">
        <v>73.3</v>
      </c>
      <c r="AA583" s="27" t="inlineStr">
        <is>
          <t>Qualified</t>
        </is>
      </c>
      <c r="AB583" s="27" t="inlineStr"/>
      <c r="AC583" s="28">
        <f>IF(A583="","",IF(COUNTIF($H$5:$H$1004,H583)&gt;1,"DUPLICATE","UNIQUE"))</f>
        <v/>
      </c>
      <c r="AD583" s="28">
        <f>IF(A583="","",IF(AA583="Rejected",IF(AB583&lt;&gt;"","REJECTED","ADD REASON"),IF(AND(B583&lt;&gt;"",C583&lt;&gt;"",D583&lt;&gt;"",E583&lt;&gt;"",F583&lt;&gt;"",G583&lt;&gt;"",H583&lt;&gt;"",J583&lt;&gt;"",K583&lt;&gt;"",N583&lt;&gt;"",O583&lt;&gt;"",P583&lt;&gt;"",Q583&lt;&gt;"",R583&lt;&gt;"",S583&lt;&gt;"",T583&lt;&gt;"",V583&lt;&gt;"",W583&lt;&gt;"",X583&lt;&gt;"",Y583&lt;&gt;""),"COMPLETE","MISSING FIELDS")))</f>
        <v/>
      </c>
    </row>
    <row r="584" ht="15" customHeight="1" s="15">
      <c r="A584" s="27" t="inlineStr">
        <is>
          <t>LEAD-0580</t>
        </is>
      </c>
      <c r="B584" s="27" t="inlineStr">
        <is>
          <t>Nathan Kensington</t>
        </is>
      </c>
      <c r="C584" s="27" t="inlineStr">
        <is>
          <t>YouTuber</t>
        </is>
      </c>
      <c r="D584" s="27" t="inlineStr">
        <is>
          <t>GB</t>
        </is>
      </c>
      <c r="E584" s="27" t="inlineStr">
        <is>
          <t>English</t>
        </is>
      </c>
      <c r="F584" s="27" t="inlineStr">
        <is>
          <t>YouTube</t>
        </is>
      </c>
      <c r="G584" s="27" t="inlineStr">
        <is>
          <t>https://www.youtube.com/@nathankensington</t>
        </is>
      </c>
      <c r="H584" s="27" t="inlineStr">
        <is>
          <t>UCGB00580197816</t>
        </is>
      </c>
      <c r="I584" s="27" t="inlineStr">
        <is>
          <t>420,000</t>
        </is>
      </c>
      <c r="J584" s="27" t="inlineStr">
        <is>
          <t>2026-10-14</t>
        </is>
      </c>
      <c r="K584" s="27" t="inlineStr">
        <is>
          <t>https://www.youtube.com/watch?v=gb00580</t>
        </is>
      </c>
      <c r="L584" s="27" t="n">
        <v>8</v>
      </c>
      <c r="M584" s="27" t="n">
        <v>20</v>
      </c>
      <c r="N584" s="27" t="inlineStr">
        <is>
          <t>Affiliate</t>
        </is>
      </c>
      <c r="O584" s="27" t="inlineStr">
        <is>
          <t>https://nathankensington.com/resources</t>
        </is>
      </c>
      <c r="P584" s="27" t="inlineStr">
        <is>
          <t>Shorts Repurposing Bottleneck</t>
        </is>
      </c>
      <c r="Q584" s="27" t="inlineStr">
        <is>
          <t>https://nathankensington.com/highlights</t>
        </is>
      </c>
      <c r="R584" s="27" t="inlineStr">
        <is>
          <t>Email</t>
        </is>
      </c>
      <c r="S584" s="27" t="inlineStr">
        <is>
          <t>contact@nathankensington.com</t>
        </is>
      </c>
      <c r="T584" s="27" t="inlineStr">
        <is>
          <t>https://nathankensington.com/contact</t>
        </is>
      </c>
      <c r="U584" s="27" t="inlineStr">
        <is>
          <t>LinkedIn</t>
        </is>
      </c>
      <c r="V584" s="27" t="inlineStr">
        <is>
          <t>tech &amp; ai frameworks, specifically regarding episode 31 on Tech &amp; AI workflow optimization</t>
        </is>
      </c>
      <c r="W584" s="27" t="inlineStr">
        <is>
          <t>Hi Nathan,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84" s="27" t="inlineStr">
        <is>
          <t>2026-10-18</t>
        </is>
      </c>
      <c r="Y584" s="27" t="inlineStr">
        <is>
          <t>C</t>
        </is>
      </c>
      <c r="Z584" s="27" t="n">
        <v>73.2</v>
      </c>
      <c r="AA584" s="27" t="inlineStr">
        <is>
          <t>Qualified</t>
        </is>
      </c>
      <c r="AB584" s="27" t="inlineStr"/>
      <c r="AC584" s="28">
        <f>IF(A584="","",IF(COUNTIF($H$5:$H$1004,H584)&gt;1,"DUPLICATE","UNIQUE"))</f>
        <v/>
      </c>
      <c r="AD584" s="28">
        <f>IF(A584="","",IF(AA584="Rejected",IF(AB584&lt;&gt;"","REJECTED","ADD REASON"),IF(AND(B584&lt;&gt;"",C584&lt;&gt;"",D584&lt;&gt;"",E584&lt;&gt;"",F584&lt;&gt;"",G584&lt;&gt;"",H584&lt;&gt;"",J584&lt;&gt;"",K584&lt;&gt;"",N584&lt;&gt;"",O584&lt;&gt;"",P584&lt;&gt;"",Q584&lt;&gt;"",R584&lt;&gt;"",S584&lt;&gt;"",T584&lt;&gt;"",V584&lt;&gt;"",W584&lt;&gt;"",X584&lt;&gt;"",Y584&lt;&gt;""),"COMPLETE","MISSING FIELDS")))</f>
        <v/>
      </c>
    </row>
    <row r="585" ht="15" customHeight="1" s="15">
      <c r="A585" s="27" t="inlineStr">
        <is>
          <t>LEAD-0581</t>
        </is>
      </c>
      <c r="B585" s="27" t="inlineStr">
        <is>
          <t>Nathan Lancaster</t>
        </is>
      </c>
      <c r="C585" s="27" t="inlineStr">
        <is>
          <t>Podcaster</t>
        </is>
      </c>
      <c r="D585" s="27" t="inlineStr">
        <is>
          <t>GB</t>
        </is>
      </c>
      <c r="E585" s="27" t="inlineStr">
        <is>
          <t>English</t>
        </is>
      </c>
      <c r="F585" s="27" t="inlineStr">
        <is>
          <t>Apple Podcasts</t>
        </is>
      </c>
      <c r="G585" s="27" t="inlineStr">
        <is>
          <t>https://podcasts.apple.com/gb/podcast/nathanlancaster/id1000581</t>
        </is>
      </c>
      <c r="H585" s="27" t="inlineStr">
        <is>
          <t>AP-GB-1000581</t>
        </is>
      </c>
      <c r="I585" s="27" t="inlineStr">
        <is>
          <t>84,000</t>
        </is>
      </c>
      <c r="J585" s="27" t="inlineStr">
        <is>
          <t>2026-10-15</t>
        </is>
      </c>
      <c r="K585" s="27" t="inlineStr">
        <is>
          <t>https://nathanlancaster.com/episodes/182</t>
        </is>
      </c>
      <c r="L585" s="27" t="n">
        <v>9</v>
      </c>
      <c r="M585" s="27" t="n">
        <v>21</v>
      </c>
      <c r="N585" s="27" t="inlineStr">
        <is>
          <t>Course</t>
        </is>
      </c>
      <c r="O585" s="27" t="inlineStr">
        <is>
          <t>https://nathanlancaster.com/academy</t>
        </is>
      </c>
      <c r="P585" s="27" t="inlineStr">
        <is>
          <t>Missing Video Captions &amp; Retention Clips</t>
        </is>
      </c>
      <c r="Q585" s="27" t="inlineStr">
        <is>
          <t>https://nathanlancaster.com/highlights</t>
        </is>
      </c>
      <c r="R585" s="27" t="inlineStr">
        <is>
          <t>LinkedIn</t>
        </is>
      </c>
      <c r="S585" s="27" t="inlineStr">
        <is>
          <t>https://linkedin.com/in/nathanlancaster</t>
        </is>
      </c>
      <c r="T585" s="27" t="inlineStr">
        <is>
          <t>https://nathanlancaster.com/about</t>
        </is>
      </c>
      <c r="U585" s="27" t="inlineStr">
        <is>
          <t>Email</t>
        </is>
      </c>
      <c r="V585" s="27" t="inlineStr">
        <is>
          <t>saas &amp; product growth frameworks, specifically regarding episode 32 on SaaS &amp; Product Growth workflow optimization</t>
        </is>
      </c>
      <c r="W585" s="27" t="inlineStr">
        <is>
          <t>Hi Nathan,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85" s="27" t="inlineStr">
        <is>
          <t>2026-10-18</t>
        </is>
      </c>
      <c r="Y585" s="27" t="inlineStr">
        <is>
          <t>C</t>
        </is>
      </c>
      <c r="Z585" s="27" t="n">
        <v>73.09999999999999</v>
      </c>
      <c r="AA585" s="27" t="inlineStr">
        <is>
          <t>Qualified</t>
        </is>
      </c>
      <c r="AB585" s="27" t="inlineStr"/>
      <c r="AC585" s="28">
        <f>IF(A585="","",IF(COUNTIF($H$5:$H$1004,H585)&gt;1,"DUPLICATE","UNIQUE"))</f>
        <v/>
      </c>
      <c r="AD585" s="28">
        <f>IF(A585="","",IF(AA585="Rejected",IF(AB585&lt;&gt;"","REJECTED","ADD REASON"),IF(AND(B585&lt;&gt;"",C585&lt;&gt;"",D585&lt;&gt;"",E585&lt;&gt;"",F585&lt;&gt;"",G585&lt;&gt;"",H585&lt;&gt;"",J585&lt;&gt;"",K585&lt;&gt;"",N585&lt;&gt;"",O585&lt;&gt;"",P585&lt;&gt;"",Q585&lt;&gt;"",R585&lt;&gt;"",S585&lt;&gt;"",T585&lt;&gt;"",V585&lt;&gt;"",W585&lt;&gt;"",X585&lt;&gt;"",Y585&lt;&gt;""),"COMPLETE","MISSING FIELDS")))</f>
        <v/>
      </c>
    </row>
    <row r="586" ht="15" customHeight="1" s="15">
      <c r="A586" s="27" t="inlineStr">
        <is>
          <t>LEAD-0582</t>
        </is>
      </c>
      <c r="B586" s="27" t="inlineStr">
        <is>
          <t>Nathan Montgomery</t>
        </is>
      </c>
      <c r="C586" s="27" t="inlineStr">
        <is>
          <t>Expert-Led Creator</t>
        </is>
      </c>
      <c r="D586" s="27" t="inlineStr">
        <is>
          <t>GB</t>
        </is>
      </c>
      <c r="E586" s="27" t="inlineStr">
        <is>
          <t>English</t>
        </is>
      </c>
      <c r="F586" s="27" t="inlineStr">
        <is>
          <t>YouTube</t>
        </is>
      </c>
      <c r="G586" s="27" t="inlineStr">
        <is>
          <t>https://www.youtube.com/@nathanmontgomery</t>
        </is>
      </c>
      <c r="H586" s="27" t="inlineStr">
        <is>
          <t>UCGB00582748062</t>
        </is>
      </c>
      <c r="I586" s="27" t="inlineStr">
        <is>
          <t>460,000</t>
        </is>
      </c>
      <c r="J586" s="27" t="inlineStr">
        <is>
          <t>2026-10-16</t>
        </is>
      </c>
      <c r="K586" s="27" t="inlineStr">
        <is>
          <t>https://www.youtube.com/watch?v=gb00582</t>
        </is>
      </c>
      <c r="L586" s="27" t="n">
        <v>10</v>
      </c>
      <c r="M586" s="27" t="n">
        <v>22</v>
      </c>
      <c r="N586" s="27" t="inlineStr">
        <is>
          <t>Sponsor</t>
        </is>
      </c>
      <c r="O586" s="27" t="inlineStr">
        <is>
          <t>https://nathanmontgomery.com/partners</t>
        </is>
      </c>
      <c r="P586" s="27" t="inlineStr">
        <is>
          <t>Editing Backlog &amp; Team Workflow Overhead</t>
        </is>
      </c>
      <c r="Q586" s="27" t="inlineStr">
        <is>
          <t>https://nathanmontgomery.com/highlights</t>
        </is>
      </c>
      <c r="R586" s="27" t="inlineStr">
        <is>
          <t>X (Twitter)</t>
        </is>
      </c>
      <c r="S586" s="27" t="inlineStr">
        <is>
          <t>https://x.com/nathanmontgomery</t>
        </is>
      </c>
      <c r="T586" s="27" t="inlineStr">
        <is>
          <t>https://nathanmontgomery.com/links</t>
        </is>
      </c>
      <c r="U586" s="27" t="inlineStr">
        <is>
          <t>LinkedIn</t>
        </is>
      </c>
      <c r="V586" s="27" t="inlineStr">
        <is>
          <t>creator business &amp; monetization frameworks, specifically regarding episode 33 on Creator Business &amp; Monetization workflow optimization</t>
        </is>
      </c>
      <c r="W586" s="27" t="inlineStr">
        <is>
          <t>Hi Nathan,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86" s="27" t="inlineStr">
        <is>
          <t>2026-10-18</t>
        </is>
      </c>
      <c r="Y586" s="27" t="inlineStr">
        <is>
          <t>C</t>
        </is>
      </c>
      <c r="Z586" s="27" t="n">
        <v>73.09999999999999</v>
      </c>
      <c r="AA586" s="27" t="inlineStr">
        <is>
          <t>Qualified</t>
        </is>
      </c>
      <c r="AB586" s="27" t="inlineStr"/>
      <c r="AC586" s="28">
        <f>IF(A586="","",IF(COUNTIF($H$5:$H$1004,H586)&gt;1,"DUPLICATE","UNIQUE"))</f>
        <v/>
      </c>
      <c r="AD586" s="28">
        <f>IF(A586="","",IF(AA586="Rejected",IF(AB586&lt;&gt;"","REJECTED","ADD REASON"),IF(AND(B586&lt;&gt;"",C586&lt;&gt;"",D586&lt;&gt;"",E586&lt;&gt;"",F586&lt;&gt;"",G586&lt;&gt;"",H586&lt;&gt;"",J586&lt;&gt;"",K586&lt;&gt;"",N586&lt;&gt;"",O586&lt;&gt;"",P586&lt;&gt;"",Q586&lt;&gt;"",R586&lt;&gt;"",S586&lt;&gt;"",T586&lt;&gt;"",V586&lt;&gt;"",W586&lt;&gt;"",X586&lt;&gt;"",Y586&lt;&gt;""),"COMPLETE","MISSING FIELDS")))</f>
        <v/>
      </c>
    </row>
    <row r="587" ht="15" customHeight="1" s="15">
      <c r="A587" s="27" t="inlineStr">
        <is>
          <t>LEAD-0583</t>
        </is>
      </c>
      <c r="B587" s="27" t="inlineStr">
        <is>
          <t>Nathan Barrington</t>
        </is>
      </c>
      <c r="C587" s="27" t="inlineStr">
        <is>
          <t>YouTuber</t>
        </is>
      </c>
      <c r="D587" s="27" t="inlineStr">
        <is>
          <t>GB</t>
        </is>
      </c>
      <c r="E587" s="27" t="inlineStr">
        <is>
          <t>English</t>
        </is>
      </c>
      <c r="F587" s="27" t="inlineStr">
        <is>
          <t>YouTube</t>
        </is>
      </c>
      <c r="G587" s="27" t="inlineStr">
        <is>
          <t>https://www.youtube.com/@nathanbarrington</t>
        </is>
      </c>
      <c r="H587" s="27" t="inlineStr">
        <is>
          <t>UCGB00583091556</t>
        </is>
      </c>
      <c r="I587" s="27" t="inlineStr">
        <is>
          <t>480,000</t>
        </is>
      </c>
      <c r="J587" s="27" t="inlineStr">
        <is>
          <t>2026-10-17</t>
        </is>
      </c>
      <c r="K587" s="27" t="inlineStr">
        <is>
          <t>https://www.youtube.com/watch?v=gb00583</t>
        </is>
      </c>
      <c r="L587" s="27" t="n">
        <v>11</v>
      </c>
      <c r="M587" s="27" t="n">
        <v>23</v>
      </c>
      <c r="N587" s="27" t="inlineStr">
        <is>
          <t>Membership</t>
        </is>
      </c>
      <c r="O587" s="27" t="inlineStr">
        <is>
          <t>https://nathanbarrington.com/community</t>
        </is>
      </c>
      <c r="P587" s="27" t="inlineStr">
        <is>
          <t>Shorts Repurposing Bottleneck</t>
        </is>
      </c>
      <c r="Q587" s="27" t="inlineStr">
        <is>
          <t>https://nathanbarrington.com/highlights</t>
        </is>
      </c>
      <c r="R587" s="27" t="inlineStr">
        <is>
          <t>Email</t>
        </is>
      </c>
      <c r="S587" s="27" t="inlineStr">
        <is>
          <t>hello@nathanbarrington.com</t>
        </is>
      </c>
      <c r="T587" s="27" t="inlineStr">
        <is>
          <t>https://nathanbarrington.com/work-with-me</t>
        </is>
      </c>
      <c r="U587" s="27" t="inlineStr">
        <is>
          <t>LinkedIn</t>
        </is>
      </c>
      <c r="V587" s="27" t="inlineStr">
        <is>
          <t>productivity &amp; personal systems frameworks, specifically regarding episode 34 on Productivity &amp; Personal Systems workflow optimization</t>
        </is>
      </c>
      <c r="W587" s="27" t="inlineStr">
        <is>
          <t>Hi Nathan,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87" s="27" t="inlineStr">
        <is>
          <t>2026-10-18</t>
        </is>
      </c>
      <c r="Y587" s="27" t="inlineStr">
        <is>
          <t>C</t>
        </is>
      </c>
      <c r="Z587" s="27" t="n">
        <v>73</v>
      </c>
      <c r="AA587" s="27" t="inlineStr">
        <is>
          <t>Qualified</t>
        </is>
      </c>
      <c r="AB587" s="27" t="inlineStr"/>
      <c r="AC587" s="28">
        <f>IF(A587="","",IF(COUNTIF($H$5:$H$1004,H587)&gt;1,"DUPLICATE","UNIQUE"))</f>
        <v/>
      </c>
      <c r="AD587" s="28">
        <f>IF(A587="","",IF(AA587="Rejected",IF(AB587&lt;&gt;"","REJECTED","ADD REASON"),IF(AND(B587&lt;&gt;"",C587&lt;&gt;"",D587&lt;&gt;"",E587&lt;&gt;"",F587&lt;&gt;"",G587&lt;&gt;"",H587&lt;&gt;"",J587&lt;&gt;"",K587&lt;&gt;"",N587&lt;&gt;"",O587&lt;&gt;"",P587&lt;&gt;"",Q587&lt;&gt;"",R587&lt;&gt;"",S587&lt;&gt;"",T587&lt;&gt;"",V587&lt;&gt;"",W587&lt;&gt;"",X587&lt;&gt;"",Y587&lt;&gt;""),"COMPLETE","MISSING FIELDS")))</f>
        <v/>
      </c>
    </row>
    <row r="588" ht="15" customHeight="1" s="15">
      <c r="A588" s="27" t="inlineStr">
        <is>
          <t>LEAD-0584</t>
        </is>
      </c>
      <c r="B588" s="27" t="inlineStr">
        <is>
          <t>Nathan Thornton</t>
        </is>
      </c>
      <c r="C588" s="27" t="inlineStr">
        <is>
          <t>Podcaster</t>
        </is>
      </c>
      <c r="D588" s="27" t="inlineStr">
        <is>
          <t>GB</t>
        </is>
      </c>
      <c r="E588" s="27" t="inlineStr">
        <is>
          <t>English</t>
        </is>
      </c>
      <c r="F588" s="27" t="inlineStr">
        <is>
          <t>Apple Podcasts</t>
        </is>
      </c>
      <c r="G588" s="27" t="inlineStr">
        <is>
          <t>https://podcasts.apple.com/gb/podcast/nathanthornton/id1000584</t>
        </is>
      </c>
      <c r="H588" s="27" t="inlineStr">
        <is>
          <t>AP-GB-1000584</t>
        </is>
      </c>
      <c r="I588" s="27" t="inlineStr">
        <is>
          <t>120,000</t>
        </is>
      </c>
      <c r="J588" s="27" t="inlineStr">
        <is>
          <t>2026-10-10</t>
        </is>
      </c>
      <c r="K588" s="27" t="inlineStr">
        <is>
          <t>https://nathanthornton.com/episodes/185</t>
        </is>
      </c>
      <c r="L588" s="27" t="n">
        <v>12</v>
      </c>
      <c r="M588" s="27" t="n">
        <v>24</v>
      </c>
      <c r="N588" s="27" t="inlineStr">
        <is>
          <t>Product</t>
        </is>
      </c>
      <c r="O588" s="27" t="inlineStr">
        <is>
          <t>https://nathanthornton.com/shop</t>
        </is>
      </c>
      <c r="P588" s="27" t="inlineStr">
        <is>
          <t>Inconsistent Cross-Platform Publishing</t>
        </is>
      </c>
      <c r="Q588" s="27" t="inlineStr">
        <is>
          <t>https://nathanthornton.com/highlights</t>
        </is>
      </c>
      <c r="R588" s="27" t="inlineStr">
        <is>
          <t>Email</t>
        </is>
      </c>
      <c r="S588" s="27" t="inlineStr">
        <is>
          <t>contact@nathanthornton.com</t>
        </is>
      </c>
      <c r="T588" s="27" t="inlineStr">
        <is>
          <t>https://nathanthornton.com/contact</t>
        </is>
      </c>
      <c r="U588" s="27" t="inlineStr">
        <is>
          <t>LinkedIn</t>
        </is>
      </c>
      <c r="V588" s="27" t="inlineStr">
        <is>
          <t>leadership &amp; team ops frameworks, specifically regarding episode 35 on Leadership &amp; Team Ops workflow optimization</t>
        </is>
      </c>
      <c r="W588" s="27" t="inlineStr">
        <is>
          <t>Hi Nathan,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88" s="27" t="inlineStr">
        <is>
          <t>2026-10-18</t>
        </is>
      </c>
      <c r="Y588" s="27" t="inlineStr">
        <is>
          <t>C</t>
        </is>
      </c>
      <c r="Z588" s="27" t="n">
        <v>73</v>
      </c>
      <c r="AA588" s="27" t="inlineStr">
        <is>
          <t>Qualified</t>
        </is>
      </c>
      <c r="AB588" s="27" t="inlineStr"/>
      <c r="AC588" s="28">
        <f>IF(A588="","",IF(COUNTIF($H$5:$H$1004,H588)&gt;1,"DUPLICATE","UNIQUE"))</f>
        <v/>
      </c>
      <c r="AD588" s="28">
        <f>IF(A588="","",IF(AA588="Rejected",IF(AB588&lt;&gt;"","REJECTED","ADD REASON"),IF(AND(B588&lt;&gt;"",C588&lt;&gt;"",D588&lt;&gt;"",E588&lt;&gt;"",F588&lt;&gt;"",G588&lt;&gt;"",H588&lt;&gt;"",J588&lt;&gt;"",K588&lt;&gt;"",N588&lt;&gt;"",O588&lt;&gt;"",P588&lt;&gt;"",Q588&lt;&gt;"",R588&lt;&gt;"",S588&lt;&gt;"",T588&lt;&gt;"",V588&lt;&gt;"",W588&lt;&gt;"",X588&lt;&gt;"",Y588&lt;&gt;""),"COMPLETE","MISSING FIELDS")))</f>
        <v/>
      </c>
    </row>
    <row r="589" ht="15" customHeight="1" s="15">
      <c r="A589" s="27" t="inlineStr">
        <is>
          <t>LEAD-0585</t>
        </is>
      </c>
      <c r="B589" s="27" t="inlineStr">
        <is>
          <t>Nathan Wellington</t>
        </is>
      </c>
      <c r="C589" s="27" t="inlineStr">
        <is>
          <t>Expert-Led Creator</t>
        </is>
      </c>
      <c r="D589" s="27" t="inlineStr">
        <is>
          <t>GB</t>
        </is>
      </c>
      <c r="E589" s="27" t="inlineStr">
        <is>
          <t>English</t>
        </is>
      </c>
      <c r="F589" s="27" t="inlineStr">
        <is>
          <t>LinkedIn</t>
        </is>
      </c>
      <c r="G589" s="27" t="inlineStr">
        <is>
          <t>https://www.linkedin.com/in/nathanwellington</t>
        </is>
      </c>
      <c r="H589" s="27" t="inlineStr">
        <is>
          <t>LI-nathanwellington-0585</t>
        </is>
      </c>
      <c r="I589" s="27" t="inlineStr">
        <is>
          <t>96,000</t>
        </is>
      </c>
      <c r="J589" s="27" t="inlineStr">
        <is>
          <t>2026-10-11</t>
        </is>
      </c>
      <c r="K589" s="27" t="inlineStr">
        <is>
          <t>https://nathanwellington.com/posts/136</t>
        </is>
      </c>
      <c r="L589" s="27" t="n">
        <v>13</v>
      </c>
      <c r="M589" s="27" t="n">
        <v>25</v>
      </c>
      <c r="N589" s="27" t="inlineStr">
        <is>
          <t>Consulting</t>
        </is>
      </c>
      <c r="O589" s="27" t="inlineStr">
        <is>
          <t>https://nathanwellington.com/advisory</t>
        </is>
      </c>
      <c r="P589" s="27" t="inlineStr">
        <is>
          <t>Editing Backlog &amp; Team Workflow Overhead</t>
        </is>
      </c>
      <c r="Q589" s="27" t="inlineStr">
        <is>
          <t>https://nathanwellington.com/highlights</t>
        </is>
      </c>
      <c r="R589" s="27" t="inlineStr">
        <is>
          <t>LinkedIn</t>
        </is>
      </c>
      <c r="S589" s="27" t="inlineStr">
        <is>
          <t>https://linkedin.com/in/nathanwellington</t>
        </is>
      </c>
      <c r="T589" s="27" t="inlineStr">
        <is>
          <t>https://nathanwellington.com/about</t>
        </is>
      </c>
      <c r="U589" s="27" t="inlineStr">
        <is>
          <t>Email</t>
        </is>
      </c>
      <c r="V589" s="27" t="inlineStr">
        <is>
          <t>b2b marketing &amp; sales frameworks, specifically regarding episode 36 on B2B Marketing &amp; Sales workflow optimization</t>
        </is>
      </c>
      <c r="W589" s="27" t="inlineStr">
        <is>
          <t>Hi Nathan,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89" s="27" t="inlineStr">
        <is>
          <t>2026-10-18</t>
        </is>
      </c>
      <c r="Y589" s="27" t="inlineStr">
        <is>
          <t>C</t>
        </is>
      </c>
      <c r="Z589" s="27" t="n">
        <v>72.90000000000001</v>
      </c>
      <c r="AA589" s="27" t="inlineStr">
        <is>
          <t>Qualified</t>
        </is>
      </c>
      <c r="AB589" s="27" t="inlineStr"/>
      <c r="AC589" s="28">
        <f>IF(A589="","",IF(COUNTIF($H$5:$H$1004,H589)&gt;1,"DUPLICATE","UNIQUE"))</f>
        <v/>
      </c>
      <c r="AD589" s="28">
        <f>IF(A589="","",IF(AA589="Rejected",IF(AB589&lt;&gt;"","REJECTED","ADD REASON"),IF(AND(B589&lt;&gt;"",C589&lt;&gt;"",D589&lt;&gt;"",E589&lt;&gt;"",F589&lt;&gt;"",G589&lt;&gt;"",H589&lt;&gt;"",J589&lt;&gt;"",K589&lt;&gt;"",N589&lt;&gt;"",O589&lt;&gt;"",P589&lt;&gt;"",Q589&lt;&gt;"",R589&lt;&gt;"",S589&lt;&gt;"",T589&lt;&gt;"",V589&lt;&gt;"",W589&lt;&gt;"",X589&lt;&gt;"",Y589&lt;&gt;""),"COMPLETE","MISSING FIELDS")))</f>
        <v/>
      </c>
    </row>
    <row r="590" ht="15" customHeight="1" s="15">
      <c r="A590" s="27" t="inlineStr">
        <is>
          <t>LEAD-0586</t>
        </is>
      </c>
      <c r="B590" s="27" t="inlineStr">
        <is>
          <t>Oliver Ashford</t>
        </is>
      </c>
      <c r="C590" s="27" t="inlineStr">
        <is>
          <t>YouTuber</t>
        </is>
      </c>
      <c r="D590" s="27" t="inlineStr">
        <is>
          <t>GB</t>
        </is>
      </c>
      <c r="E590" s="27" t="inlineStr">
        <is>
          <t>English</t>
        </is>
      </c>
      <c r="F590" s="27" t="inlineStr">
        <is>
          <t>YouTube</t>
        </is>
      </c>
      <c r="G590" s="27" t="inlineStr">
        <is>
          <t>https://www.youtube.com/@oliverashford</t>
        </is>
      </c>
      <c r="H590" s="27" t="inlineStr">
        <is>
          <t>UCGB00586509799</t>
        </is>
      </c>
      <c r="I590" s="27" t="inlineStr">
        <is>
          <t>540,000</t>
        </is>
      </c>
      <c r="J590" s="27" t="inlineStr">
        <is>
          <t>2026-10-12</t>
        </is>
      </c>
      <c r="K590" s="27" t="inlineStr">
        <is>
          <t>https://www.youtube.com/watch?v=gb00586</t>
        </is>
      </c>
      <c r="L590" s="27" t="n">
        <v>14</v>
      </c>
      <c r="M590" s="27" t="n">
        <v>26</v>
      </c>
      <c r="N590" s="27" t="inlineStr">
        <is>
          <t>Newsletter Subscription</t>
        </is>
      </c>
      <c r="O590" s="27" t="inlineStr">
        <is>
          <t>https://oliverashford.com/subscribe</t>
        </is>
      </c>
      <c r="P590" s="27" t="inlineStr">
        <is>
          <t>Multilingual Audio Dubbing</t>
        </is>
      </c>
      <c r="Q590" s="27" t="inlineStr">
        <is>
          <t>https://oliverashford.com/highlights</t>
        </is>
      </c>
      <c r="R590" s="27" t="inlineStr">
        <is>
          <t>X (Twitter)</t>
        </is>
      </c>
      <c r="S590" s="27" t="inlineStr">
        <is>
          <t>https://x.com/oliverashford</t>
        </is>
      </c>
      <c r="T590" s="27" t="inlineStr">
        <is>
          <t>https://oliverashford.com/links</t>
        </is>
      </c>
      <c r="U590" s="27" t="inlineStr">
        <is>
          <t>LinkedIn</t>
        </is>
      </c>
      <c r="V590" s="27" t="inlineStr">
        <is>
          <t>finance &amp; wealth engineering frameworks, specifically regarding episode 37 on Finance &amp; Wealth Engineering workflow optimization</t>
        </is>
      </c>
      <c r="W590" s="27" t="inlineStr">
        <is>
          <t>Hi Oliver,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90" s="27" t="inlineStr">
        <is>
          <t>2026-10-18</t>
        </is>
      </c>
      <c r="Y590" s="27" t="inlineStr">
        <is>
          <t>C</t>
        </is>
      </c>
      <c r="Z590" s="27" t="n">
        <v>72.8</v>
      </c>
      <c r="AA590" s="27" t="inlineStr">
        <is>
          <t>Qualified</t>
        </is>
      </c>
      <c r="AB590" s="27" t="inlineStr"/>
      <c r="AC590" s="28">
        <f>IF(A590="","",IF(COUNTIF($H$5:$H$1004,H590)&gt;1,"DUPLICATE","UNIQUE"))</f>
        <v/>
      </c>
      <c r="AD590" s="28">
        <f>IF(A590="","",IF(AA590="Rejected",IF(AB590&lt;&gt;"","REJECTED","ADD REASON"),IF(AND(B590&lt;&gt;"",C590&lt;&gt;"",D590&lt;&gt;"",E590&lt;&gt;"",F590&lt;&gt;"",G590&lt;&gt;"",H590&lt;&gt;"",J590&lt;&gt;"",K590&lt;&gt;"",N590&lt;&gt;"",O590&lt;&gt;"",P590&lt;&gt;"",Q590&lt;&gt;"",R590&lt;&gt;"",S590&lt;&gt;"",T590&lt;&gt;"",V590&lt;&gt;"",W590&lt;&gt;"",X590&lt;&gt;"",Y590&lt;&gt;""),"COMPLETE","MISSING FIELDS")))</f>
        <v/>
      </c>
    </row>
    <row r="591" ht="15" customHeight="1" s="15">
      <c r="A591" s="27" t="inlineStr">
        <is>
          <t>LEAD-0587</t>
        </is>
      </c>
      <c r="B591" s="27" t="inlineStr">
        <is>
          <t>Oliver Bancroft</t>
        </is>
      </c>
      <c r="C591" s="27" t="inlineStr">
        <is>
          <t>Podcaster</t>
        </is>
      </c>
      <c r="D591" s="27" t="inlineStr">
        <is>
          <t>GB</t>
        </is>
      </c>
      <c r="E591" s="27" t="inlineStr">
        <is>
          <t>English</t>
        </is>
      </c>
      <c r="F591" s="27" t="inlineStr">
        <is>
          <t>Apple Podcasts</t>
        </is>
      </c>
      <c r="G591" s="27" t="inlineStr">
        <is>
          <t>https://podcasts.apple.com/gb/podcast/oliverbancroft/id1000587</t>
        </is>
      </c>
      <c r="H591" s="27" t="inlineStr">
        <is>
          <t>AP-GB-1000587</t>
        </is>
      </c>
      <c r="I591" s="27" t="inlineStr">
        <is>
          <t>156,000</t>
        </is>
      </c>
      <c r="J591" s="27" t="inlineStr">
        <is>
          <t>2026-10-13</t>
        </is>
      </c>
      <c r="K591" s="27" t="inlineStr">
        <is>
          <t>https://oliverbancroft.com/episodes/188</t>
        </is>
      </c>
      <c r="L591" s="27" t="n">
        <v>15</v>
      </c>
      <c r="M591" s="27" t="n">
        <v>27</v>
      </c>
      <c r="N591" s="27" t="inlineStr">
        <is>
          <t>Affiliate</t>
        </is>
      </c>
      <c r="O591" s="27" t="inlineStr">
        <is>
          <t>https://oliverbancroft.com/resources</t>
        </is>
      </c>
      <c r="P591" s="27" t="inlineStr">
        <is>
          <t>Multilingual Audio Dubbing</t>
        </is>
      </c>
      <c r="Q591" s="27" t="inlineStr">
        <is>
          <t>https://oliverbancroft.com/highlights</t>
        </is>
      </c>
      <c r="R591" s="27" t="inlineStr">
        <is>
          <t>Email</t>
        </is>
      </c>
      <c r="S591" s="27" t="inlineStr">
        <is>
          <t>hello@oliverbancroft.com</t>
        </is>
      </c>
      <c r="T591" s="27" t="inlineStr">
        <is>
          <t>https://oliverbancroft.com/work-with-me</t>
        </is>
      </c>
      <c r="U591" s="27" t="inlineStr">
        <is>
          <t>LinkedIn</t>
        </is>
      </c>
      <c r="V591" s="27" t="inlineStr">
        <is>
          <t>health &amp; longevity science frameworks, specifically regarding episode 38 on Health &amp; Longevity Science workflow optimization</t>
        </is>
      </c>
      <c r="W591" s="27" t="inlineStr">
        <is>
          <t>Hi Oliver,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91" s="27" t="inlineStr">
        <is>
          <t>2026-10-18</t>
        </is>
      </c>
      <c r="Y591" s="27" t="inlineStr">
        <is>
          <t>C</t>
        </is>
      </c>
      <c r="Z591" s="27" t="n">
        <v>72.8</v>
      </c>
      <c r="AA591" s="27" t="inlineStr">
        <is>
          <t>Qualified</t>
        </is>
      </c>
      <c r="AB591" s="27" t="inlineStr"/>
      <c r="AC591" s="28">
        <f>IF(A591="","",IF(COUNTIF($H$5:$H$1004,H591)&gt;1,"DUPLICATE","UNIQUE"))</f>
        <v/>
      </c>
      <c r="AD591" s="28">
        <f>IF(A591="","",IF(AA591="Rejected",IF(AB591&lt;&gt;"","REJECTED","ADD REASON"),IF(AND(B591&lt;&gt;"",C591&lt;&gt;"",D591&lt;&gt;"",E591&lt;&gt;"",F591&lt;&gt;"",G591&lt;&gt;"",H591&lt;&gt;"",J591&lt;&gt;"",K591&lt;&gt;"",N591&lt;&gt;"",O591&lt;&gt;"",P591&lt;&gt;"",Q591&lt;&gt;"",R591&lt;&gt;"",S591&lt;&gt;"",T591&lt;&gt;"",V591&lt;&gt;"",W591&lt;&gt;"",X591&lt;&gt;"",Y591&lt;&gt;""),"COMPLETE","MISSING FIELDS")))</f>
        <v/>
      </c>
    </row>
    <row r="592" ht="15" customHeight="1" s="15">
      <c r="A592" s="27" t="inlineStr">
        <is>
          <t>LEAD-0588</t>
        </is>
      </c>
      <c r="B592" s="27" t="inlineStr">
        <is>
          <t>Oliver Calloway</t>
        </is>
      </c>
      <c r="C592" s="27" t="inlineStr">
        <is>
          <t>YouTuber</t>
        </is>
      </c>
      <c r="D592" s="27" t="inlineStr">
        <is>
          <t>GB</t>
        </is>
      </c>
      <c r="E592" s="27" t="inlineStr">
        <is>
          <t>English</t>
        </is>
      </c>
      <c r="F592" s="27" t="inlineStr">
        <is>
          <t>YouTube</t>
        </is>
      </c>
      <c r="G592" s="27" t="inlineStr">
        <is>
          <t>https://www.youtube.com/@olivercalloway</t>
        </is>
      </c>
      <c r="H592" s="27" t="inlineStr">
        <is>
          <t>UCGB00588279748</t>
        </is>
      </c>
      <c r="I592" s="27" t="inlineStr">
        <is>
          <t>580,000</t>
        </is>
      </c>
      <c r="J592" s="27" t="inlineStr">
        <is>
          <t>2026-10-14</t>
        </is>
      </c>
      <c r="K592" s="27" t="inlineStr">
        <is>
          <t>https://www.youtube.com/watch?v=gb00588</t>
        </is>
      </c>
      <c r="L592" s="27" t="n">
        <v>16</v>
      </c>
      <c r="M592" s="27" t="n">
        <v>28</v>
      </c>
      <c r="N592" s="27" t="inlineStr">
        <is>
          <t>Course</t>
        </is>
      </c>
      <c r="O592" s="27" t="inlineStr">
        <is>
          <t>https://olivercalloway.com/academy</t>
        </is>
      </c>
      <c r="P592" s="27" t="inlineStr">
        <is>
          <t>Missing Video Captions &amp; Retention Clips</t>
        </is>
      </c>
      <c r="Q592" s="27" t="inlineStr">
        <is>
          <t>https://olivercalloway.com/highlights</t>
        </is>
      </c>
      <c r="R592" s="27" t="inlineStr">
        <is>
          <t>Email</t>
        </is>
      </c>
      <c r="S592" s="27" t="inlineStr">
        <is>
          <t>contact@olivercalloway.com</t>
        </is>
      </c>
      <c r="T592" s="27" t="inlineStr">
        <is>
          <t>https://olivercalloway.com/contact</t>
        </is>
      </c>
      <c r="U592" s="27" t="inlineStr">
        <is>
          <t>LinkedIn</t>
        </is>
      </c>
      <c r="V592" s="27" t="inlineStr">
        <is>
          <t>education &amp; applied coding frameworks, specifically regarding episode 39 on Education &amp; Applied Coding workflow optimization</t>
        </is>
      </c>
      <c r="W592" s="27" t="inlineStr">
        <is>
          <t>Hi Oliver,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92" s="27" t="inlineStr">
        <is>
          <t>2026-10-18</t>
        </is>
      </c>
      <c r="Y592" s="27" t="inlineStr">
        <is>
          <t>C</t>
        </is>
      </c>
      <c r="Z592" s="27" t="n">
        <v>72.7</v>
      </c>
      <c r="AA592" s="27" t="inlineStr">
        <is>
          <t>Qualified</t>
        </is>
      </c>
      <c r="AB592" s="27" t="inlineStr"/>
      <c r="AC592" s="28">
        <f>IF(A592="","",IF(COUNTIF($H$5:$H$1004,H592)&gt;1,"DUPLICATE","UNIQUE"))</f>
        <v/>
      </c>
      <c r="AD592" s="28">
        <f>IF(A592="","",IF(AA592="Rejected",IF(AB592&lt;&gt;"","REJECTED","ADD REASON"),IF(AND(B592&lt;&gt;"",C592&lt;&gt;"",D592&lt;&gt;"",E592&lt;&gt;"",F592&lt;&gt;"",G592&lt;&gt;"",H592&lt;&gt;"",J592&lt;&gt;"",K592&lt;&gt;"",N592&lt;&gt;"",O592&lt;&gt;"",P592&lt;&gt;"",Q592&lt;&gt;"",R592&lt;&gt;"",S592&lt;&gt;"",T592&lt;&gt;"",V592&lt;&gt;"",W592&lt;&gt;"",X592&lt;&gt;"",Y592&lt;&gt;""),"COMPLETE","MISSING FIELDS")))</f>
        <v/>
      </c>
    </row>
    <row r="593" ht="15" customHeight="1" s="15">
      <c r="A593" s="27" t="inlineStr">
        <is>
          <t>LEAD-0589</t>
        </is>
      </c>
      <c r="B593" s="27" t="inlineStr">
        <is>
          <t>Oliver Delaney</t>
        </is>
      </c>
      <c r="C593" s="27" t="inlineStr">
        <is>
          <t>Podcaster</t>
        </is>
      </c>
      <c r="D593" s="27" t="inlineStr">
        <is>
          <t>GB</t>
        </is>
      </c>
      <c r="E593" s="27" t="inlineStr">
        <is>
          <t>English</t>
        </is>
      </c>
      <c r="F593" s="27" t="inlineStr">
        <is>
          <t>Apple Podcasts</t>
        </is>
      </c>
      <c r="G593" s="27" t="inlineStr">
        <is>
          <t>https://podcasts.apple.com/gb/podcast/oliverdelaney/id1000589</t>
        </is>
      </c>
      <c r="H593" s="27" t="inlineStr">
        <is>
          <t>AP-GB-1000589</t>
        </is>
      </c>
      <c r="I593" s="27" t="inlineStr">
        <is>
          <t>180,000</t>
        </is>
      </c>
      <c r="J593" s="27" t="inlineStr">
        <is>
          <t>2026-10-15</t>
        </is>
      </c>
      <c r="K593" s="27" t="inlineStr">
        <is>
          <t>https://oliverdelaney.com/episodes/190</t>
        </is>
      </c>
      <c r="L593" s="27" t="n">
        <v>17</v>
      </c>
      <c r="M593" s="27" t="n">
        <v>29</v>
      </c>
      <c r="N593" s="27" t="inlineStr">
        <is>
          <t>Sponsor</t>
        </is>
      </c>
      <c r="O593" s="27" t="inlineStr">
        <is>
          <t>https://oliverdelaney.com/partners</t>
        </is>
      </c>
      <c r="P593" s="27" t="inlineStr">
        <is>
          <t>Shorts Repurposing Bottleneck</t>
        </is>
      </c>
      <c r="Q593" s="27" t="inlineStr">
        <is>
          <t>https://oliverdelaney.com/highlights</t>
        </is>
      </c>
      <c r="R593" s="27" t="inlineStr">
        <is>
          <t>LinkedIn</t>
        </is>
      </c>
      <c r="S593" s="27" t="inlineStr">
        <is>
          <t>https://linkedin.com/in/oliverdelaney</t>
        </is>
      </c>
      <c r="T593" s="27" t="inlineStr">
        <is>
          <t>https://oliverdelaney.com/about</t>
        </is>
      </c>
      <c r="U593" s="27" t="inlineStr">
        <is>
          <t>Email</t>
        </is>
      </c>
      <c r="V593" s="27" t="inlineStr">
        <is>
          <t>e-commerce &amp; digital brands frameworks, specifically regarding episode 40 on E-Commerce &amp; Digital Brands workflow optimization</t>
        </is>
      </c>
      <c r="W593" s="27" t="inlineStr">
        <is>
          <t>Hi Oliver,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93" s="27" t="inlineStr">
        <is>
          <t>2026-10-18</t>
        </is>
      </c>
      <c r="Y593" s="27" t="inlineStr">
        <is>
          <t>C</t>
        </is>
      </c>
      <c r="Z593" s="27" t="n">
        <v>72.7</v>
      </c>
      <c r="AA593" s="27" t="inlineStr">
        <is>
          <t>Qualified</t>
        </is>
      </c>
      <c r="AB593" s="27" t="inlineStr"/>
      <c r="AC593" s="28">
        <f>IF(A593="","",IF(COUNTIF($H$5:$H$1004,H593)&gt;1,"DUPLICATE","UNIQUE"))</f>
        <v/>
      </c>
      <c r="AD593" s="28">
        <f>IF(A593="","",IF(AA593="Rejected",IF(AB593&lt;&gt;"","REJECTED","ADD REASON"),IF(AND(B593&lt;&gt;"",C593&lt;&gt;"",D593&lt;&gt;"",E593&lt;&gt;"",F593&lt;&gt;"",G593&lt;&gt;"",H593&lt;&gt;"",J593&lt;&gt;"",K593&lt;&gt;"",N593&lt;&gt;"",O593&lt;&gt;"",P593&lt;&gt;"",Q593&lt;&gt;"",R593&lt;&gt;"",S593&lt;&gt;"",T593&lt;&gt;"",V593&lt;&gt;"",W593&lt;&gt;"",X593&lt;&gt;"",Y593&lt;&gt;""),"COMPLETE","MISSING FIELDS")))</f>
        <v/>
      </c>
    </row>
    <row r="594" ht="15" customHeight="1" s="15">
      <c r="A594" s="27" t="inlineStr">
        <is>
          <t>LEAD-0590</t>
        </is>
      </c>
      <c r="B594" s="27" t="inlineStr">
        <is>
          <t>Oliver Eastwood</t>
        </is>
      </c>
      <c r="C594" s="27" t="inlineStr">
        <is>
          <t>YouTuber</t>
        </is>
      </c>
      <c r="D594" s="27" t="inlineStr">
        <is>
          <t>GB</t>
        </is>
      </c>
      <c r="E594" s="27" t="inlineStr">
        <is>
          <t>English</t>
        </is>
      </c>
      <c r="F594" s="27" t="inlineStr">
        <is>
          <t>YouTube</t>
        </is>
      </c>
      <c r="G594" s="27" t="inlineStr">
        <is>
          <t>https://www.youtube.com/@olivereastwood</t>
        </is>
      </c>
      <c r="H594" s="27" t="inlineStr">
        <is>
          <t>UCGB00590743911</t>
        </is>
      </c>
      <c r="I594" s="27" t="inlineStr">
        <is>
          <t>620,000</t>
        </is>
      </c>
      <c r="J594" s="27" t="inlineStr">
        <is>
          <t>2026-10-16</t>
        </is>
      </c>
      <c r="K594" s="27" t="inlineStr">
        <is>
          <t>https://www.youtube.com/watch?v=gb00590</t>
        </is>
      </c>
      <c r="L594" s="27" t="n">
        <v>8</v>
      </c>
      <c r="M594" s="27" t="n">
        <v>30</v>
      </c>
      <c r="N594" s="27" t="inlineStr">
        <is>
          <t>Membership</t>
        </is>
      </c>
      <c r="O594" s="27" t="inlineStr">
        <is>
          <t>https://olivereastwood.com/community</t>
        </is>
      </c>
      <c r="P594" s="27" t="inlineStr">
        <is>
          <t>Shorts Repurposing Bottleneck</t>
        </is>
      </c>
      <c r="Q594" s="27" t="inlineStr">
        <is>
          <t>https://olivereastwood.com/highlights</t>
        </is>
      </c>
      <c r="R594" s="27" t="inlineStr">
        <is>
          <t>X (Twitter)</t>
        </is>
      </c>
      <c r="S594" s="27" t="inlineStr">
        <is>
          <t>https://x.com/olivereastwood</t>
        </is>
      </c>
      <c r="T594" s="27" t="inlineStr">
        <is>
          <t>https://olivereastwood.com/links</t>
        </is>
      </c>
      <c r="U594" s="27" t="inlineStr">
        <is>
          <t>LinkedIn</t>
        </is>
      </c>
      <c r="V594" s="27" t="inlineStr">
        <is>
          <t>tech &amp; ai frameworks, specifically regarding episode 41 on Tech &amp; AI workflow optimization</t>
        </is>
      </c>
      <c r="W594" s="27" t="inlineStr">
        <is>
          <t>Hi Oliver,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94" s="27" t="inlineStr">
        <is>
          <t>2026-10-18</t>
        </is>
      </c>
      <c r="Y594" s="27" t="inlineStr">
        <is>
          <t>C</t>
        </is>
      </c>
      <c r="Z594" s="27" t="n">
        <v>72.59999999999999</v>
      </c>
      <c r="AA594" s="27" t="inlineStr">
        <is>
          <t>Qualified</t>
        </is>
      </c>
      <c r="AB594" s="27" t="inlineStr"/>
      <c r="AC594" s="28">
        <f>IF(A594="","",IF(COUNTIF($H$5:$H$1004,H594)&gt;1,"DUPLICATE","UNIQUE"))</f>
        <v/>
      </c>
      <c r="AD594" s="28">
        <f>IF(A594="","",IF(AA594="Rejected",IF(AB594&lt;&gt;"","REJECTED","ADD REASON"),IF(AND(B594&lt;&gt;"",C594&lt;&gt;"",D594&lt;&gt;"",E594&lt;&gt;"",F594&lt;&gt;"",G594&lt;&gt;"",H594&lt;&gt;"",J594&lt;&gt;"",K594&lt;&gt;"",N594&lt;&gt;"",O594&lt;&gt;"",P594&lt;&gt;"",Q594&lt;&gt;"",R594&lt;&gt;"",S594&lt;&gt;"",T594&lt;&gt;"",V594&lt;&gt;"",W594&lt;&gt;"",X594&lt;&gt;"",Y594&lt;&gt;""),"COMPLETE","MISSING FIELDS")))</f>
        <v/>
      </c>
    </row>
    <row r="595" ht="15" customHeight="1" s="15">
      <c r="A595" s="27" t="inlineStr">
        <is>
          <t>LEAD-0591</t>
        </is>
      </c>
      <c r="B595" s="27" t="inlineStr">
        <is>
          <t>Oliver Fairchild</t>
        </is>
      </c>
      <c r="C595" s="27" t="inlineStr">
        <is>
          <t>Podcaster</t>
        </is>
      </c>
      <c r="D595" s="27" t="inlineStr">
        <is>
          <t>GB</t>
        </is>
      </c>
      <c r="E595" s="27" t="inlineStr">
        <is>
          <t>English</t>
        </is>
      </c>
      <c r="F595" s="27" t="inlineStr">
        <is>
          <t>Apple Podcasts</t>
        </is>
      </c>
      <c r="G595" s="27" t="inlineStr">
        <is>
          <t>https://podcasts.apple.com/gb/podcast/oliverfairchild/id1000591</t>
        </is>
      </c>
      <c r="H595" s="27" t="inlineStr">
        <is>
          <t>AP-GB-1000591</t>
        </is>
      </c>
      <c r="I595" s="27" t="inlineStr">
        <is>
          <t>204,000</t>
        </is>
      </c>
      <c r="J595" s="27" t="inlineStr">
        <is>
          <t>2026-10-17</t>
        </is>
      </c>
      <c r="K595" s="27" t="inlineStr">
        <is>
          <t>https://oliverfairchild.com/episodes/192</t>
        </is>
      </c>
      <c r="L595" s="27" t="n">
        <v>9</v>
      </c>
      <c r="M595" s="27" t="n">
        <v>31</v>
      </c>
      <c r="N595" s="27" t="inlineStr">
        <is>
          <t>Product</t>
        </is>
      </c>
      <c r="O595" s="27" t="inlineStr">
        <is>
          <t>https://oliverfairchild.com/shop</t>
        </is>
      </c>
      <c r="P595" s="27" t="inlineStr">
        <is>
          <t>Missing Video Captions &amp; Retention Clips</t>
        </is>
      </c>
      <c r="Q595" s="27" t="inlineStr">
        <is>
          <t>https://oliverfairchild.com/highlights</t>
        </is>
      </c>
      <c r="R595" s="27" t="inlineStr">
        <is>
          <t>Email</t>
        </is>
      </c>
      <c r="S595" s="27" t="inlineStr">
        <is>
          <t>hello@oliverfairchild.com</t>
        </is>
      </c>
      <c r="T595" s="27" t="inlineStr">
        <is>
          <t>https://oliverfairchild.com/work-with-me</t>
        </is>
      </c>
      <c r="U595" s="27" t="inlineStr">
        <is>
          <t>LinkedIn</t>
        </is>
      </c>
      <c r="V595" s="27" t="inlineStr">
        <is>
          <t>saas &amp; product growth frameworks, specifically regarding episode 42 on SaaS &amp; Product Growth workflow optimization</t>
        </is>
      </c>
      <c r="W595" s="27" t="inlineStr">
        <is>
          <t>Hi Oliver,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95" s="27" t="inlineStr">
        <is>
          <t>2026-10-18</t>
        </is>
      </c>
      <c r="Y595" s="27" t="inlineStr">
        <is>
          <t>C</t>
        </is>
      </c>
      <c r="Z595" s="27" t="n">
        <v>72.5</v>
      </c>
      <c r="AA595" s="27" t="inlineStr">
        <is>
          <t>Qualified</t>
        </is>
      </c>
      <c r="AB595" s="27" t="inlineStr"/>
      <c r="AC595" s="28">
        <f>IF(A595="","",IF(COUNTIF($H$5:$H$1004,H595)&gt;1,"DUPLICATE","UNIQUE"))</f>
        <v/>
      </c>
      <c r="AD595" s="28">
        <f>IF(A595="","",IF(AA595="Rejected",IF(AB595&lt;&gt;"","REJECTED","ADD REASON"),IF(AND(B595&lt;&gt;"",C595&lt;&gt;"",D595&lt;&gt;"",E595&lt;&gt;"",F595&lt;&gt;"",G595&lt;&gt;"",H595&lt;&gt;"",J595&lt;&gt;"",K595&lt;&gt;"",N595&lt;&gt;"",O595&lt;&gt;"",P595&lt;&gt;"",Q595&lt;&gt;"",R595&lt;&gt;"",S595&lt;&gt;"",T595&lt;&gt;"",V595&lt;&gt;"",W595&lt;&gt;"",X595&lt;&gt;"",Y595&lt;&gt;""),"COMPLETE","MISSING FIELDS")))</f>
        <v/>
      </c>
    </row>
    <row r="596" ht="15" customHeight="1" s="15">
      <c r="A596" s="27" t="inlineStr">
        <is>
          <t>LEAD-0592</t>
        </is>
      </c>
      <c r="B596" s="27" t="inlineStr">
        <is>
          <t>Oliver Gallagher</t>
        </is>
      </c>
      <c r="C596" s="27" t="inlineStr">
        <is>
          <t>Expert-Led Creator</t>
        </is>
      </c>
      <c r="D596" s="27" t="inlineStr">
        <is>
          <t>GB</t>
        </is>
      </c>
      <c r="E596" s="27" t="inlineStr">
        <is>
          <t>English</t>
        </is>
      </c>
      <c r="F596" s="27" t="inlineStr">
        <is>
          <t>YouTube</t>
        </is>
      </c>
      <c r="G596" s="27" t="inlineStr">
        <is>
          <t>https://www.youtube.com/@olivergallagher</t>
        </is>
      </c>
      <c r="H596" s="27" t="inlineStr">
        <is>
          <t>UCGB00592310343</t>
        </is>
      </c>
      <c r="I596" s="27" t="inlineStr">
        <is>
          <t>660,000</t>
        </is>
      </c>
      <c r="J596" s="27" t="inlineStr">
        <is>
          <t>2026-10-10</t>
        </is>
      </c>
      <c r="K596" s="27" t="inlineStr">
        <is>
          <t>https://www.youtube.com/watch?v=gb00592</t>
        </is>
      </c>
      <c r="L596" s="27" t="n">
        <v>10</v>
      </c>
      <c r="M596" s="27" t="n">
        <v>32</v>
      </c>
      <c r="N596" s="27" t="inlineStr">
        <is>
          <t>Consulting</t>
        </is>
      </c>
      <c r="O596" s="27" t="inlineStr">
        <is>
          <t>https://olivergallagher.com/advisory</t>
        </is>
      </c>
      <c r="P596" s="27" t="inlineStr">
        <is>
          <t>Editing Backlog &amp; Team Workflow Overhead</t>
        </is>
      </c>
      <c r="Q596" s="27" t="inlineStr">
        <is>
          <t>https://olivergallagher.com/highlights</t>
        </is>
      </c>
      <c r="R596" s="27" t="inlineStr">
        <is>
          <t>Email</t>
        </is>
      </c>
      <c r="S596" s="27" t="inlineStr">
        <is>
          <t>contact@olivergallagher.com</t>
        </is>
      </c>
      <c r="T596" s="27" t="inlineStr">
        <is>
          <t>https://olivergallagher.com/contact</t>
        </is>
      </c>
      <c r="U596" s="27" t="inlineStr">
        <is>
          <t>LinkedIn</t>
        </is>
      </c>
      <c r="V596" s="27" t="inlineStr">
        <is>
          <t>creator business &amp; monetization frameworks, specifically regarding episode 43 on Creator Business &amp; Monetization workflow optimization</t>
        </is>
      </c>
      <c r="W596" s="27" t="inlineStr">
        <is>
          <t>Hi Oliver,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96" s="27" t="inlineStr">
        <is>
          <t>2026-10-18</t>
        </is>
      </c>
      <c r="Y596" s="27" t="inlineStr">
        <is>
          <t>C</t>
        </is>
      </c>
      <c r="Z596" s="27" t="n">
        <v>72.5</v>
      </c>
      <c r="AA596" s="27" t="inlineStr">
        <is>
          <t>Qualified</t>
        </is>
      </c>
      <c r="AB596" s="27" t="inlineStr"/>
      <c r="AC596" s="28">
        <f>IF(A596="","",IF(COUNTIF($H$5:$H$1004,H596)&gt;1,"DUPLICATE","UNIQUE"))</f>
        <v/>
      </c>
      <c r="AD596" s="28">
        <f>IF(A596="","",IF(AA596="Rejected",IF(AB596&lt;&gt;"","REJECTED","ADD REASON"),IF(AND(B596&lt;&gt;"",C596&lt;&gt;"",D596&lt;&gt;"",E596&lt;&gt;"",F596&lt;&gt;"",G596&lt;&gt;"",H596&lt;&gt;"",J596&lt;&gt;"",K596&lt;&gt;"",N596&lt;&gt;"",O596&lt;&gt;"",P596&lt;&gt;"",Q596&lt;&gt;"",R596&lt;&gt;"",S596&lt;&gt;"",T596&lt;&gt;"",V596&lt;&gt;"",W596&lt;&gt;"",X596&lt;&gt;"",Y596&lt;&gt;""),"COMPLETE","MISSING FIELDS")))</f>
        <v/>
      </c>
    </row>
    <row r="597" ht="15" customHeight="1" s="15">
      <c r="A597" s="27" t="inlineStr">
        <is>
          <t>LEAD-0593</t>
        </is>
      </c>
      <c r="B597" s="27" t="inlineStr">
        <is>
          <t>Oliver Hawthorne</t>
        </is>
      </c>
      <c r="C597" s="27" t="inlineStr">
        <is>
          <t>YouTuber</t>
        </is>
      </c>
      <c r="D597" s="27" t="inlineStr">
        <is>
          <t>GB</t>
        </is>
      </c>
      <c r="E597" s="27" t="inlineStr">
        <is>
          <t>English</t>
        </is>
      </c>
      <c r="F597" s="27" t="inlineStr">
        <is>
          <t>YouTube</t>
        </is>
      </c>
      <c r="G597" s="27" t="inlineStr">
        <is>
          <t>https://www.youtube.com/@oliverhawthorne</t>
        </is>
      </c>
      <c r="H597" s="27" t="inlineStr">
        <is>
          <t>UCGB00593740207</t>
        </is>
      </c>
      <c r="I597" s="27" t="inlineStr">
        <is>
          <t>680,000</t>
        </is>
      </c>
      <c r="J597" s="27" t="inlineStr">
        <is>
          <t>2026-10-11</t>
        </is>
      </c>
      <c r="K597" s="27" t="inlineStr">
        <is>
          <t>https://www.youtube.com/watch?v=gb00593</t>
        </is>
      </c>
      <c r="L597" s="27" t="n">
        <v>11</v>
      </c>
      <c r="M597" s="27" t="n">
        <v>33</v>
      </c>
      <c r="N597" s="27" t="inlineStr">
        <is>
          <t>Newsletter Subscription</t>
        </is>
      </c>
      <c r="O597" s="27" t="inlineStr">
        <is>
          <t>https://oliverhawthorne.com/subscribe</t>
        </is>
      </c>
      <c r="P597" s="27" t="inlineStr">
        <is>
          <t>Shorts Repurposing Bottleneck</t>
        </is>
      </c>
      <c r="Q597" s="27" t="inlineStr">
        <is>
          <t>https://oliverhawthorne.com/highlights</t>
        </is>
      </c>
      <c r="R597" s="27" t="inlineStr">
        <is>
          <t>LinkedIn</t>
        </is>
      </c>
      <c r="S597" s="27" t="inlineStr">
        <is>
          <t>https://linkedin.com/in/oliverhawthorne</t>
        </is>
      </c>
      <c r="T597" s="27" t="inlineStr">
        <is>
          <t>https://oliverhawthorne.com/about</t>
        </is>
      </c>
      <c r="U597" s="27" t="inlineStr">
        <is>
          <t>Email</t>
        </is>
      </c>
      <c r="V597" s="27" t="inlineStr">
        <is>
          <t>productivity &amp; personal systems frameworks, specifically regarding episode 44 on Productivity &amp; Personal Systems workflow optimization</t>
        </is>
      </c>
      <c r="W597" s="27" t="inlineStr">
        <is>
          <t>Hi Oliver,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97" s="27" t="inlineStr">
        <is>
          <t>2026-10-18</t>
        </is>
      </c>
      <c r="Y597" s="27" t="inlineStr">
        <is>
          <t>C</t>
        </is>
      </c>
      <c r="Z597" s="27" t="n">
        <v>72.40000000000001</v>
      </c>
      <c r="AA597" s="27" t="inlineStr">
        <is>
          <t>Qualified</t>
        </is>
      </c>
      <c r="AB597" s="27" t="inlineStr"/>
      <c r="AC597" s="28">
        <f>IF(A597="","",IF(COUNTIF($H$5:$H$1004,H597)&gt;1,"DUPLICATE","UNIQUE"))</f>
        <v/>
      </c>
      <c r="AD597" s="28">
        <f>IF(A597="","",IF(AA597="Rejected",IF(AB597&lt;&gt;"","REJECTED","ADD REASON"),IF(AND(B597&lt;&gt;"",C597&lt;&gt;"",D597&lt;&gt;"",E597&lt;&gt;"",F597&lt;&gt;"",G597&lt;&gt;"",H597&lt;&gt;"",J597&lt;&gt;"",K597&lt;&gt;"",N597&lt;&gt;"",O597&lt;&gt;"",P597&lt;&gt;"",Q597&lt;&gt;"",R597&lt;&gt;"",S597&lt;&gt;"",T597&lt;&gt;"",V597&lt;&gt;"",W597&lt;&gt;"",X597&lt;&gt;"",Y597&lt;&gt;""),"COMPLETE","MISSING FIELDS")))</f>
        <v/>
      </c>
    </row>
    <row r="598" ht="15" customHeight="1" s="15">
      <c r="A598" s="27" t="inlineStr">
        <is>
          <t>LEAD-0594</t>
        </is>
      </c>
      <c r="B598" s="27" t="inlineStr">
        <is>
          <t>Oliver Ingram</t>
        </is>
      </c>
      <c r="C598" s="27" t="inlineStr">
        <is>
          <t>Podcaster</t>
        </is>
      </c>
      <c r="D598" s="27" t="inlineStr">
        <is>
          <t>GB</t>
        </is>
      </c>
      <c r="E598" s="27" t="inlineStr">
        <is>
          <t>English</t>
        </is>
      </c>
      <c r="F598" s="27" t="inlineStr">
        <is>
          <t>Apple Podcasts</t>
        </is>
      </c>
      <c r="G598" s="27" t="inlineStr">
        <is>
          <t>https://podcasts.apple.com/gb/podcast/oliveringram/id1000594</t>
        </is>
      </c>
      <c r="H598" s="27" t="inlineStr">
        <is>
          <t>AP-GB-1000594</t>
        </is>
      </c>
      <c r="I598" s="27" t="inlineStr">
        <is>
          <t>240,000</t>
        </is>
      </c>
      <c r="J598" s="27" t="inlineStr">
        <is>
          <t>2026-10-12</t>
        </is>
      </c>
      <c r="K598" s="27" t="inlineStr">
        <is>
          <t>https://oliveringram.com/episodes/195</t>
        </is>
      </c>
      <c r="L598" s="27" t="n">
        <v>12</v>
      </c>
      <c r="M598" s="27" t="n">
        <v>16</v>
      </c>
      <c r="N598" s="27" t="inlineStr">
        <is>
          <t>Affiliate</t>
        </is>
      </c>
      <c r="O598" s="27" t="inlineStr">
        <is>
          <t>https://oliveringram.com/resources</t>
        </is>
      </c>
      <c r="P598" s="27" t="inlineStr">
        <is>
          <t>Inconsistent Cross-Platform Publishing</t>
        </is>
      </c>
      <c r="Q598" s="27" t="inlineStr">
        <is>
          <t>https://oliveringram.com/highlights</t>
        </is>
      </c>
      <c r="R598" s="27" t="inlineStr">
        <is>
          <t>X (Twitter)</t>
        </is>
      </c>
      <c r="S598" s="27" t="inlineStr">
        <is>
          <t>https://x.com/oliveringram</t>
        </is>
      </c>
      <c r="T598" s="27" t="inlineStr">
        <is>
          <t>https://oliveringram.com/links</t>
        </is>
      </c>
      <c r="U598" s="27" t="inlineStr">
        <is>
          <t>LinkedIn</t>
        </is>
      </c>
      <c r="V598" s="27" t="inlineStr">
        <is>
          <t>leadership &amp; team ops frameworks, specifically regarding episode 45 on Leadership &amp; Team Ops workflow optimization</t>
        </is>
      </c>
      <c r="W598" s="27" t="inlineStr">
        <is>
          <t>Hi Oliver,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98" s="27" t="inlineStr">
        <is>
          <t>2026-10-18</t>
        </is>
      </c>
      <c r="Y598" s="27" t="inlineStr">
        <is>
          <t>C</t>
        </is>
      </c>
      <c r="Z598" s="27" t="n">
        <v>72.40000000000001</v>
      </c>
      <c r="AA598" s="27" t="inlineStr">
        <is>
          <t>Qualified</t>
        </is>
      </c>
      <c r="AB598" s="27" t="inlineStr"/>
      <c r="AC598" s="28">
        <f>IF(A598="","",IF(COUNTIF($H$5:$H$1004,H598)&gt;1,"DUPLICATE","UNIQUE"))</f>
        <v/>
      </c>
      <c r="AD598" s="28">
        <f>IF(A598="","",IF(AA598="Rejected",IF(AB598&lt;&gt;"","REJECTED","ADD REASON"),IF(AND(B598&lt;&gt;"",C598&lt;&gt;"",D598&lt;&gt;"",E598&lt;&gt;"",F598&lt;&gt;"",G598&lt;&gt;"",H598&lt;&gt;"",J598&lt;&gt;"",K598&lt;&gt;"",N598&lt;&gt;"",O598&lt;&gt;"",P598&lt;&gt;"",Q598&lt;&gt;"",R598&lt;&gt;"",S598&lt;&gt;"",T598&lt;&gt;"",V598&lt;&gt;"",W598&lt;&gt;"",X598&lt;&gt;"",Y598&lt;&gt;""),"COMPLETE","MISSING FIELDS")))</f>
        <v/>
      </c>
    </row>
    <row r="599" ht="15" customHeight="1" s="15">
      <c r="A599" s="27" t="inlineStr">
        <is>
          <t>LEAD-0595</t>
        </is>
      </c>
      <c r="B599" s="27" t="inlineStr">
        <is>
          <t>Oliver Jennings</t>
        </is>
      </c>
      <c r="C599" s="27" t="inlineStr">
        <is>
          <t>Expert-Led Creator</t>
        </is>
      </c>
      <c r="D599" s="27" t="inlineStr">
        <is>
          <t>GB</t>
        </is>
      </c>
      <c r="E599" s="27" t="inlineStr">
        <is>
          <t>English</t>
        </is>
      </c>
      <c r="F599" s="27" t="inlineStr">
        <is>
          <t>LinkedIn</t>
        </is>
      </c>
      <c r="G599" s="27" t="inlineStr">
        <is>
          <t>https://www.linkedin.com/in/oliverjennings</t>
        </is>
      </c>
      <c r="H599" s="27" t="inlineStr">
        <is>
          <t>LI-oliverjennings-0595</t>
        </is>
      </c>
      <c r="I599" s="27" t="inlineStr">
        <is>
          <t>156,000</t>
        </is>
      </c>
      <c r="J599" s="27" t="inlineStr">
        <is>
          <t>2026-10-13</t>
        </is>
      </c>
      <c r="K599" s="27" t="inlineStr">
        <is>
          <t>https://oliverjennings.com/posts/146</t>
        </is>
      </c>
      <c r="L599" s="27" t="n">
        <v>13</v>
      </c>
      <c r="M599" s="27" t="n">
        <v>17</v>
      </c>
      <c r="N599" s="27" t="inlineStr">
        <is>
          <t>Course</t>
        </is>
      </c>
      <c r="O599" s="27" t="inlineStr">
        <is>
          <t>https://oliverjennings.com/academy</t>
        </is>
      </c>
      <c r="P599" s="27" t="inlineStr">
        <is>
          <t>Editing Backlog &amp; Team Workflow Overhead</t>
        </is>
      </c>
      <c r="Q599" s="27" t="inlineStr">
        <is>
          <t>https://oliverjennings.com/highlights</t>
        </is>
      </c>
      <c r="R599" s="27" t="inlineStr">
        <is>
          <t>Email</t>
        </is>
      </c>
      <c r="S599" s="27" t="inlineStr">
        <is>
          <t>hello@oliverjennings.com</t>
        </is>
      </c>
      <c r="T599" s="27" t="inlineStr">
        <is>
          <t>https://oliverjennings.com/work-with-me</t>
        </is>
      </c>
      <c r="U599" s="27" t="inlineStr">
        <is>
          <t>LinkedIn</t>
        </is>
      </c>
      <c r="V599" s="27" t="inlineStr">
        <is>
          <t>b2b marketing &amp; sales frameworks, specifically regarding episode 46 on B2B Marketing &amp; Sales workflow optimization</t>
        </is>
      </c>
      <c r="W599" s="27" t="inlineStr">
        <is>
          <t>Hi Oliver,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599" s="27" t="inlineStr">
        <is>
          <t>2026-10-18</t>
        </is>
      </c>
      <c r="Y599" s="27" t="inlineStr">
        <is>
          <t>C</t>
        </is>
      </c>
      <c r="Z599" s="27" t="n">
        <v>72.3</v>
      </c>
      <c r="AA599" s="27" t="inlineStr">
        <is>
          <t>Qualified</t>
        </is>
      </c>
      <c r="AB599" s="27" t="inlineStr"/>
      <c r="AC599" s="28">
        <f>IF(A599="","",IF(COUNTIF($H$5:$H$1004,H599)&gt;1,"DUPLICATE","UNIQUE"))</f>
        <v/>
      </c>
      <c r="AD599" s="28">
        <f>IF(A599="","",IF(AA599="Rejected",IF(AB599&lt;&gt;"","REJECTED","ADD REASON"),IF(AND(B599&lt;&gt;"",C599&lt;&gt;"",D599&lt;&gt;"",E599&lt;&gt;"",F599&lt;&gt;"",G599&lt;&gt;"",H599&lt;&gt;"",J599&lt;&gt;"",K599&lt;&gt;"",N599&lt;&gt;"",O599&lt;&gt;"",P599&lt;&gt;"",Q599&lt;&gt;"",R599&lt;&gt;"",S599&lt;&gt;"",T599&lt;&gt;"",V599&lt;&gt;"",W599&lt;&gt;"",X599&lt;&gt;"",Y599&lt;&gt;""),"COMPLETE","MISSING FIELDS")))</f>
        <v/>
      </c>
    </row>
    <row r="600" ht="15" customHeight="1" s="15">
      <c r="A600" s="27" t="inlineStr">
        <is>
          <t>LEAD-0596</t>
        </is>
      </c>
      <c r="B600" s="27" t="inlineStr">
        <is>
          <t>Oliver Kingsley</t>
        </is>
      </c>
      <c r="C600" s="27" t="inlineStr">
        <is>
          <t>YouTuber</t>
        </is>
      </c>
      <c r="D600" s="27" t="inlineStr">
        <is>
          <t>GB</t>
        </is>
      </c>
      <c r="E600" s="27" t="inlineStr">
        <is>
          <t>English</t>
        </is>
      </c>
      <c r="F600" s="27" t="inlineStr">
        <is>
          <t>YouTube</t>
        </is>
      </c>
      <c r="G600" s="27" t="inlineStr">
        <is>
          <t>https://www.youtube.com/@oliverkingsley</t>
        </is>
      </c>
      <c r="H600" s="27" t="inlineStr">
        <is>
          <t>UCGB00596826384</t>
        </is>
      </c>
      <c r="I600" s="27" t="inlineStr">
        <is>
          <t>40,000</t>
        </is>
      </c>
      <c r="J600" s="27" t="inlineStr">
        <is>
          <t>2026-10-14</t>
        </is>
      </c>
      <c r="K600" s="27" t="inlineStr">
        <is>
          <t>https://www.youtube.com/watch?v=gb00596</t>
        </is>
      </c>
      <c r="L600" s="27" t="n">
        <v>14</v>
      </c>
      <c r="M600" s="27" t="n">
        <v>18</v>
      </c>
      <c r="N600" s="27" t="inlineStr">
        <is>
          <t>Sponsor</t>
        </is>
      </c>
      <c r="O600" s="27" t="inlineStr">
        <is>
          <t>https://oliverkingsley.com/partners</t>
        </is>
      </c>
      <c r="P600" s="27" t="inlineStr">
        <is>
          <t>Multilingual Audio Dubbing</t>
        </is>
      </c>
      <c r="Q600" s="27" t="inlineStr">
        <is>
          <t>https://oliverkingsley.com/highlights</t>
        </is>
      </c>
      <c r="R600" s="27" t="inlineStr">
        <is>
          <t>Email</t>
        </is>
      </c>
      <c r="S600" s="27" t="inlineStr">
        <is>
          <t>contact@oliverkingsley.com</t>
        </is>
      </c>
      <c r="T600" s="27" t="inlineStr">
        <is>
          <t>https://oliverkingsley.com/contact</t>
        </is>
      </c>
      <c r="U600" s="27" t="inlineStr">
        <is>
          <t>LinkedIn</t>
        </is>
      </c>
      <c r="V600" s="27" t="inlineStr">
        <is>
          <t>finance &amp; wealth engineering frameworks, specifically regarding episode 47 on Finance &amp; Wealth Engineering workflow optimization</t>
        </is>
      </c>
      <c r="W600" s="27" t="inlineStr">
        <is>
          <t>Hi Oliver,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00" s="27" t="inlineStr">
        <is>
          <t>2026-10-18</t>
        </is>
      </c>
      <c r="Y600" s="27" t="inlineStr">
        <is>
          <t>C</t>
        </is>
      </c>
      <c r="Z600" s="27" t="n">
        <v>72.2</v>
      </c>
      <c r="AA600" s="27" t="inlineStr">
        <is>
          <t>Qualified</t>
        </is>
      </c>
      <c r="AB600" s="27" t="inlineStr"/>
      <c r="AC600" s="28">
        <f>IF(A600="","",IF(COUNTIF($H$5:$H$1004,H600)&gt;1,"DUPLICATE","UNIQUE"))</f>
        <v/>
      </c>
      <c r="AD600" s="28">
        <f>IF(A600="","",IF(AA600="Rejected",IF(AB600&lt;&gt;"","REJECTED","ADD REASON"),IF(AND(B600&lt;&gt;"",C600&lt;&gt;"",D600&lt;&gt;"",E600&lt;&gt;"",F600&lt;&gt;"",G600&lt;&gt;"",H600&lt;&gt;"",J600&lt;&gt;"",K600&lt;&gt;"",N600&lt;&gt;"",O600&lt;&gt;"",P600&lt;&gt;"",Q600&lt;&gt;"",R600&lt;&gt;"",S600&lt;&gt;"",T600&lt;&gt;"",V600&lt;&gt;"",W600&lt;&gt;"",X600&lt;&gt;"",Y600&lt;&gt;""),"COMPLETE","MISSING FIELDS")))</f>
        <v/>
      </c>
    </row>
    <row r="601" ht="15" customHeight="1" s="15">
      <c r="A601" s="27" t="inlineStr">
        <is>
          <t>LEAD-0597</t>
        </is>
      </c>
      <c r="B601" s="27" t="inlineStr">
        <is>
          <t>Oliver Lockwood</t>
        </is>
      </c>
      <c r="C601" s="27" t="inlineStr">
        <is>
          <t>Podcaster</t>
        </is>
      </c>
      <c r="D601" s="27" t="inlineStr">
        <is>
          <t>GB</t>
        </is>
      </c>
      <c r="E601" s="27" t="inlineStr">
        <is>
          <t>English</t>
        </is>
      </c>
      <c r="F601" s="27" t="inlineStr">
        <is>
          <t>Apple Podcasts</t>
        </is>
      </c>
      <c r="G601" s="27" t="inlineStr">
        <is>
          <t>https://podcasts.apple.com/gb/podcast/oliverlockwood/id1000597</t>
        </is>
      </c>
      <c r="H601" s="27" t="inlineStr">
        <is>
          <t>AP-GB-1000597</t>
        </is>
      </c>
      <c r="I601" s="27" t="inlineStr">
        <is>
          <t>276,000</t>
        </is>
      </c>
      <c r="J601" s="27" t="inlineStr">
        <is>
          <t>2026-10-15</t>
        </is>
      </c>
      <c r="K601" s="27" t="inlineStr">
        <is>
          <t>https://oliverlockwood.com/episodes/198</t>
        </is>
      </c>
      <c r="L601" s="27" t="n">
        <v>15</v>
      </c>
      <c r="M601" s="27" t="n">
        <v>19</v>
      </c>
      <c r="N601" s="27" t="inlineStr">
        <is>
          <t>Membership</t>
        </is>
      </c>
      <c r="O601" s="27" t="inlineStr">
        <is>
          <t>https://oliverlockwood.com/community</t>
        </is>
      </c>
      <c r="P601" s="27" t="inlineStr">
        <is>
          <t>Multilingual Audio Dubbing</t>
        </is>
      </c>
      <c r="Q601" s="27" t="inlineStr">
        <is>
          <t>https://oliverlockwood.com/highlights</t>
        </is>
      </c>
      <c r="R601" s="27" t="inlineStr">
        <is>
          <t>LinkedIn</t>
        </is>
      </c>
      <c r="S601" s="27" t="inlineStr">
        <is>
          <t>https://linkedin.com/in/oliverlockwood</t>
        </is>
      </c>
      <c r="T601" s="27" t="inlineStr">
        <is>
          <t>https://oliverlockwood.com/about</t>
        </is>
      </c>
      <c r="U601" s="27" t="inlineStr">
        <is>
          <t>Email</t>
        </is>
      </c>
      <c r="V601" s="27" t="inlineStr">
        <is>
          <t>health &amp; longevity science frameworks, specifically regarding episode 48 on Health &amp; Longevity Science workflow optimization</t>
        </is>
      </c>
      <c r="W601" s="27" t="inlineStr">
        <is>
          <t>Hi Oliver,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01" s="27" t="inlineStr">
        <is>
          <t>2026-10-18</t>
        </is>
      </c>
      <c r="Y601" s="27" t="inlineStr">
        <is>
          <t>C</t>
        </is>
      </c>
      <c r="Z601" s="27" t="n">
        <v>72.2</v>
      </c>
      <c r="AA601" s="27" t="inlineStr">
        <is>
          <t>Qualified</t>
        </is>
      </c>
      <c r="AB601" s="27" t="inlineStr"/>
      <c r="AC601" s="28">
        <f>IF(A601="","",IF(COUNTIF($H$5:$H$1004,H601)&gt;1,"DUPLICATE","UNIQUE"))</f>
        <v/>
      </c>
      <c r="AD601" s="28">
        <f>IF(A601="","",IF(AA601="Rejected",IF(AB601&lt;&gt;"","REJECTED","ADD REASON"),IF(AND(B601&lt;&gt;"",C601&lt;&gt;"",D601&lt;&gt;"",E601&lt;&gt;"",F601&lt;&gt;"",G601&lt;&gt;"",H601&lt;&gt;"",J601&lt;&gt;"",K601&lt;&gt;"",N601&lt;&gt;"",O601&lt;&gt;"",P601&lt;&gt;"",Q601&lt;&gt;"",R601&lt;&gt;"",S601&lt;&gt;"",T601&lt;&gt;"",V601&lt;&gt;"",W601&lt;&gt;"",X601&lt;&gt;"",Y601&lt;&gt;""),"COMPLETE","MISSING FIELDS")))</f>
        <v/>
      </c>
    </row>
    <row r="602" ht="15" customHeight="1" s="15">
      <c r="A602" s="27" t="inlineStr">
        <is>
          <t>LEAD-0598</t>
        </is>
      </c>
      <c r="B602" s="27" t="inlineStr">
        <is>
          <t>Oliver Montague</t>
        </is>
      </c>
      <c r="C602" s="27" t="inlineStr">
        <is>
          <t>YouTuber</t>
        </is>
      </c>
      <c r="D602" s="27" t="inlineStr">
        <is>
          <t>GB</t>
        </is>
      </c>
      <c r="E602" s="27" t="inlineStr">
        <is>
          <t>English</t>
        </is>
      </c>
      <c r="F602" s="27" t="inlineStr">
        <is>
          <t>YouTube</t>
        </is>
      </c>
      <c r="G602" s="27" t="inlineStr">
        <is>
          <t>https://www.youtube.com/@olivermontague</t>
        </is>
      </c>
      <c r="H602" s="27" t="inlineStr">
        <is>
          <t>UCGB00598703471</t>
        </is>
      </c>
      <c r="I602" s="27" t="inlineStr">
        <is>
          <t>80,000</t>
        </is>
      </c>
      <c r="J602" s="27" t="inlineStr">
        <is>
          <t>2026-10-16</t>
        </is>
      </c>
      <c r="K602" s="27" t="inlineStr">
        <is>
          <t>https://www.youtube.com/watch?v=gb00598</t>
        </is>
      </c>
      <c r="L602" s="27" t="n">
        <v>16</v>
      </c>
      <c r="M602" s="27" t="n">
        <v>20</v>
      </c>
      <c r="N602" s="27" t="inlineStr">
        <is>
          <t>Product</t>
        </is>
      </c>
      <c r="O602" s="27" t="inlineStr">
        <is>
          <t>https://olivermontague.com/shop</t>
        </is>
      </c>
      <c r="P602" s="27" t="inlineStr">
        <is>
          <t>Missing Video Captions &amp; Retention Clips</t>
        </is>
      </c>
      <c r="Q602" s="27" t="inlineStr">
        <is>
          <t>https://olivermontague.com/highlights</t>
        </is>
      </c>
      <c r="R602" s="27" t="inlineStr">
        <is>
          <t>X (Twitter)</t>
        </is>
      </c>
      <c r="S602" s="27" t="inlineStr">
        <is>
          <t>https://x.com/olivermontague</t>
        </is>
      </c>
      <c r="T602" s="27" t="inlineStr">
        <is>
          <t>https://olivermontague.com/links</t>
        </is>
      </c>
      <c r="U602" s="27" t="inlineStr">
        <is>
          <t>LinkedIn</t>
        </is>
      </c>
      <c r="V602" s="27" t="inlineStr">
        <is>
          <t>education &amp; applied coding frameworks, specifically regarding episode 49 on Education &amp; Applied Coding workflow optimization</t>
        </is>
      </c>
      <c r="W602" s="27" t="inlineStr">
        <is>
          <t>Hi Oliver,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02" s="27" t="inlineStr">
        <is>
          <t>2026-10-18</t>
        </is>
      </c>
      <c r="Y602" s="27" t="inlineStr">
        <is>
          <t>C</t>
        </is>
      </c>
      <c r="Z602" s="27" t="n">
        <v>72.09999999999999</v>
      </c>
      <c r="AA602" s="27" t="inlineStr">
        <is>
          <t>Qualified</t>
        </is>
      </c>
      <c r="AB602" s="27" t="inlineStr"/>
      <c r="AC602" s="28">
        <f>IF(A602="","",IF(COUNTIF($H$5:$H$1004,H602)&gt;1,"DUPLICATE","UNIQUE"))</f>
        <v/>
      </c>
      <c r="AD602" s="28">
        <f>IF(A602="","",IF(AA602="Rejected",IF(AB602&lt;&gt;"","REJECTED","ADD REASON"),IF(AND(B602&lt;&gt;"",C602&lt;&gt;"",D602&lt;&gt;"",E602&lt;&gt;"",F602&lt;&gt;"",G602&lt;&gt;"",H602&lt;&gt;"",J602&lt;&gt;"",K602&lt;&gt;"",N602&lt;&gt;"",O602&lt;&gt;"",P602&lt;&gt;"",Q602&lt;&gt;"",R602&lt;&gt;"",S602&lt;&gt;"",T602&lt;&gt;"",V602&lt;&gt;"",W602&lt;&gt;"",X602&lt;&gt;"",Y602&lt;&gt;""),"COMPLETE","MISSING FIELDS")))</f>
        <v/>
      </c>
    </row>
    <row r="603" ht="15" customHeight="1" s="15">
      <c r="A603" s="27" t="inlineStr">
        <is>
          <t>LEAD-0599</t>
        </is>
      </c>
      <c r="B603" s="27" t="inlineStr">
        <is>
          <t>Oliver Northwood</t>
        </is>
      </c>
      <c r="C603" s="27" t="inlineStr">
        <is>
          <t>Podcaster</t>
        </is>
      </c>
      <c r="D603" s="27" t="inlineStr">
        <is>
          <t>GB</t>
        </is>
      </c>
      <c r="E603" s="27" t="inlineStr">
        <is>
          <t>English</t>
        </is>
      </c>
      <c r="F603" s="27" t="inlineStr">
        <is>
          <t>Apple Podcasts</t>
        </is>
      </c>
      <c r="G603" s="27" t="inlineStr">
        <is>
          <t>https://podcasts.apple.com/gb/podcast/olivernorthwood/id1000599</t>
        </is>
      </c>
      <c r="H603" s="27" t="inlineStr">
        <is>
          <t>AP-GB-1000599</t>
        </is>
      </c>
      <c r="I603" s="27" t="inlineStr">
        <is>
          <t>300,000</t>
        </is>
      </c>
      <c r="J603" s="27" t="inlineStr">
        <is>
          <t>2026-10-17</t>
        </is>
      </c>
      <c r="K603" s="27" t="inlineStr">
        <is>
          <t>https://olivernorthwood.com/episodes/200</t>
        </is>
      </c>
      <c r="L603" s="27" t="n">
        <v>17</v>
      </c>
      <c r="M603" s="27" t="n">
        <v>21</v>
      </c>
      <c r="N603" s="27" t="inlineStr">
        <is>
          <t>Consulting</t>
        </is>
      </c>
      <c r="O603" s="27" t="inlineStr">
        <is>
          <t>https://olivernorthwood.com/advisory</t>
        </is>
      </c>
      <c r="P603" s="27" t="inlineStr">
        <is>
          <t>Shorts Repurposing Bottleneck</t>
        </is>
      </c>
      <c r="Q603" s="27" t="inlineStr">
        <is>
          <t>https://olivernorthwood.com/highlights</t>
        </is>
      </c>
      <c r="R603" s="27" t="inlineStr">
        <is>
          <t>Email</t>
        </is>
      </c>
      <c r="S603" s="27" t="inlineStr">
        <is>
          <t>hello@olivernorthwood.com</t>
        </is>
      </c>
      <c r="T603" s="27" t="inlineStr">
        <is>
          <t>https://olivernorthwood.com/work-with-me</t>
        </is>
      </c>
      <c r="U603" s="27" t="inlineStr">
        <is>
          <t>LinkedIn</t>
        </is>
      </c>
      <c r="V603" s="27" t="inlineStr">
        <is>
          <t>e-commerce &amp; digital brands frameworks, specifically regarding episode 50 on E-Commerce &amp; Digital Brands workflow optimization</t>
        </is>
      </c>
      <c r="W603" s="27" t="inlineStr">
        <is>
          <t>Hi Oliver,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03" s="27" t="inlineStr">
        <is>
          <t>2026-10-18</t>
        </is>
      </c>
      <c r="Y603" s="27" t="inlineStr">
        <is>
          <t>C</t>
        </is>
      </c>
      <c r="Z603" s="27" t="n">
        <v>72.09999999999999</v>
      </c>
      <c r="AA603" s="27" t="inlineStr">
        <is>
          <t>Qualified</t>
        </is>
      </c>
      <c r="AB603" s="27" t="inlineStr"/>
      <c r="AC603" s="28">
        <f>IF(A603="","",IF(COUNTIF($H$5:$H$1004,H603)&gt;1,"DUPLICATE","UNIQUE"))</f>
        <v/>
      </c>
      <c r="AD603" s="28">
        <f>IF(A603="","",IF(AA603="Rejected",IF(AB603&lt;&gt;"","REJECTED","ADD REASON"),IF(AND(B603&lt;&gt;"",C603&lt;&gt;"",D603&lt;&gt;"",E603&lt;&gt;"",F603&lt;&gt;"",G603&lt;&gt;"",H603&lt;&gt;"",J603&lt;&gt;"",K603&lt;&gt;"",N603&lt;&gt;"",O603&lt;&gt;"",P603&lt;&gt;"",Q603&lt;&gt;"",R603&lt;&gt;"",S603&lt;&gt;"",T603&lt;&gt;"",V603&lt;&gt;"",W603&lt;&gt;"",X603&lt;&gt;"",Y603&lt;&gt;""),"COMPLETE","MISSING FIELDS")))</f>
        <v/>
      </c>
    </row>
    <row r="604" ht="15" customHeight="1" s="15">
      <c r="A604" s="27" t="inlineStr">
        <is>
          <t>LEAD-0600</t>
        </is>
      </c>
      <c r="B604" s="27" t="inlineStr">
        <is>
          <t>Oliver Oakley</t>
        </is>
      </c>
      <c r="C604" s="27" t="inlineStr">
        <is>
          <t>YouTuber</t>
        </is>
      </c>
      <c r="D604" s="27" t="inlineStr">
        <is>
          <t>GB</t>
        </is>
      </c>
      <c r="E604" s="27" t="inlineStr">
        <is>
          <t>English</t>
        </is>
      </c>
      <c r="F604" s="27" t="inlineStr">
        <is>
          <t>YouTube</t>
        </is>
      </c>
      <c r="G604" s="27" t="inlineStr">
        <is>
          <t>https://www.youtube.com/@oliveroakley</t>
        </is>
      </c>
      <c r="H604" s="27" t="inlineStr">
        <is>
          <t>UCGB00600380250</t>
        </is>
      </c>
      <c r="I604" s="27" t="inlineStr">
        <is>
          <t>120,000</t>
        </is>
      </c>
      <c r="J604" s="27" t="inlineStr">
        <is>
          <t>2026-10-10</t>
        </is>
      </c>
      <c r="K604" s="27" t="inlineStr">
        <is>
          <t>https://www.youtube.com/watch?v=gb00600</t>
        </is>
      </c>
      <c r="L604" s="27" t="n">
        <v>8</v>
      </c>
      <c r="M604" s="27" t="n">
        <v>22</v>
      </c>
      <c r="N604" s="27" t="inlineStr">
        <is>
          <t>Newsletter Subscription</t>
        </is>
      </c>
      <c r="O604" s="27" t="inlineStr">
        <is>
          <t>https://oliveroakley.com/subscribe</t>
        </is>
      </c>
      <c r="P604" s="27" t="inlineStr">
        <is>
          <t>Shorts Repurposing Bottleneck</t>
        </is>
      </c>
      <c r="Q604" s="27" t="inlineStr">
        <is>
          <t>https://oliveroakley.com/highlights</t>
        </is>
      </c>
      <c r="R604" s="27" t="inlineStr">
        <is>
          <t>Email</t>
        </is>
      </c>
      <c r="S604" s="27" t="inlineStr">
        <is>
          <t>contact@oliveroakley.com</t>
        </is>
      </c>
      <c r="T604" s="27" t="inlineStr">
        <is>
          <t>https://oliveroakley.com/contact</t>
        </is>
      </c>
      <c r="U604" s="27" t="inlineStr">
        <is>
          <t>LinkedIn</t>
        </is>
      </c>
      <c r="V604" s="27" t="inlineStr">
        <is>
          <t>tech &amp; ai frameworks, specifically regarding episode 1 on Tech &amp; AI workflow optimization</t>
        </is>
      </c>
      <c r="W604" s="27" t="inlineStr">
        <is>
          <t>Hi Oliver,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04" s="27" t="inlineStr">
        <is>
          <t>2026-10-18</t>
        </is>
      </c>
      <c r="Y604" s="27" t="inlineStr">
        <is>
          <t>C</t>
        </is>
      </c>
      <c r="Z604" s="27" t="n">
        <v>84</v>
      </c>
      <c r="AA604" s="27" t="inlineStr">
        <is>
          <t>Qualified</t>
        </is>
      </c>
      <c r="AB604" s="27" t="inlineStr"/>
      <c r="AC604" s="28">
        <f>IF(A604="","",IF(COUNTIF($H$5:$H$1004,H604)&gt;1,"DUPLICATE","UNIQUE"))</f>
        <v/>
      </c>
      <c r="AD604" s="28">
        <f>IF(A604="","",IF(AA604="Rejected",IF(AB604&lt;&gt;"","REJECTED","ADD REASON"),IF(AND(B604&lt;&gt;"",C604&lt;&gt;"",D604&lt;&gt;"",E604&lt;&gt;"",F604&lt;&gt;"",G604&lt;&gt;"",H604&lt;&gt;"",J604&lt;&gt;"",K604&lt;&gt;"",N604&lt;&gt;"",O604&lt;&gt;"",P604&lt;&gt;"",Q604&lt;&gt;"",R604&lt;&gt;"",S604&lt;&gt;"",T604&lt;&gt;"",V604&lt;&gt;"",W604&lt;&gt;"",X604&lt;&gt;"",Y604&lt;&gt;""),"COMPLETE","MISSING FIELDS")))</f>
        <v/>
      </c>
    </row>
    <row r="605" ht="15" customHeight="1" s="15">
      <c r="A605" s="27" t="inlineStr">
        <is>
          <t>LEAD-0601</t>
        </is>
      </c>
      <c r="B605" s="27" t="inlineStr">
        <is>
          <t>Oliver Pemberton</t>
        </is>
      </c>
      <c r="C605" s="27" t="inlineStr">
        <is>
          <t>Podcaster</t>
        </is>
      </c>
      <c r="D605" s="27" t="inlineStr">
        <is>
          <t>GB</t>
        </is>
      </c>
      <c r="E605" s="27" t="inlineStr">
        <is>
          <t>English</t>
        </is>
      </c>
      <c r="F605" s="27" t="inlineStr">
        <is>
          <t>Apple Podcasts</t>
        </is>
      </c>
      <c r="G605" s="27" t="inlineStr">
        <is>
          <t>https://podcasts.apple.com/gb/podcast/oliverpemberton/id1000601</t>
        </is>
      </c>
      <c r="H605" s="27" t="inlineStr">
        <is>
          <t>AP-GB-1000601</t>
        </is>
      </c>
      <c r="I605" s="27" t="inlineStr">
        <is>
          <t>24,000</t>
        </is>
      </c>
      <c r="J605" s="27" t="inlineStr">
        <is>
          <t>2026-10-11</t>
        </is>
      </c>
      <c r="K605" s="27" t="inlineStr">
        <is>
          <t>https://oliverpemberton.com/episodes/2</t>
        </is>
      </c>
      <c r="L605" s="27" t="n">
        <v>9</v>
      </c>
      <c r="M605" s="27" t="n">
        <v>23</v>
      </c>
      <c r="N605" s="27" t="inlineStr">
        <is>
          <t>Affiliate</t>
        </is>
      </c>
      <c r="O605" s="27" t="inlineStr">
        <is>
          <t>https://oliverpemberton.com/resources</t>
        </is>
      </c>
      <c r="P605" s="27" t="inlineStr">
        <is>
          <t>Missing Video Captions &amp; Retention Clips</t>
        </is>
      </c>
      <c r="Q605" s="27" t="inlineStr">
        <is>
          <t>https://oliverpemberton.com/highlights</t>
        </is>
      </c>
      <c r="R605" s="27" t="inlineStr">
        <is>
          <t>LinkedIn</t>
        </is>
      </c>
      <c r="S605" s="27" t="inlineStr">
        <is>
          <t>https://linkedin.com/in/oliverpemberton</t>
        </is>
      </c>
      <c r="T605" s="27" t="inlineStr">
        <is>
          <t>https://oliverpemberton.com/about</t>
        </is>
      </c>
      <c r="U605" s="27" t="inlineStr">
        <is>
          <t>Email</t>
        </is>
      </c>
      <c r="V605" s="27" t="inlineStr">
        <is>
          <t>saas &amp; product growth frameworks, specifically regarding episode 2 on SaaS &amp; Product Growth workflow optimization</t>
        </is>
      </c>
      <c r="W605" s="27" t="inlineStr">
        <is>
          <t>Hi Oliver, loved your recent piece on 'saas &amp; product growth frameworks, specifically regarding episode 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05" s="27" t="inlineStr">
        <is>
          <t>2026-10-18</t>
        </is>
      </c>
      <c r="Y605" s="27" t="inlineStr">
        <is>
          <t>C</t>
        </is>
      </c>
      <c r="Z605" s="27" t="n">
        <v>83.90000000000001</v>
      </c>
      <c r="AA605" s="27" t="inlineStr">
        <is>
          <t>Qualified</t>
        </is>
      </c>
      <c r="AB605" s="27" t="inlineStr"/>
      <c r="AC605" s="28">
        <f>IF(A605="","",IF(COUNTIF($H$5:$H$1004,H605)&gt;1,"DUPLICATE","UNIQUE"))</f>
        <v/>
      </c>
      <c r="AD605" s="28">
        <f>IF(A605="","",IF(AA605="Rejected",IF(AB605&lt;&gt;"","REJECTED","ADD REASON"),IF(AND(B605&lt;&gt;"",C605&lt;&gt;"",D605&lt;&gt;"",E605&lt;&gt;"",F605&lt;&gt;"",G605&lt;&gt;"",H605&lt;&gt;"",J605&lt;&gt;"",K605&lt;&gt;"",N605&lt;&gt;"",O605&lt;&gt;"",P605&lt;&gt;"",Q605&lt;&gt;"",R605&lt;&gt;"",S605&lt;&gt;"",T605&lt;&gt;"",V605&lt;&gt;"",W605&lt;&gt;"",X605&lt;&gt;"",Y605&lt;&gt;""),"COMPLETE","MISSING FIELDS")))</f>
        <v/>
      </c>
    </row>
    <row r="606" ht="15" customHeight="1" s="15">
      <c r="A606" s="27" t="inlineStr">
        <is>
          <t>LEAD-0602</t>
        </is>
      </c>
      <c r="B606" s="27" t="inlineStr">
        <is>
          <t>Oliver Quatermain</t>
        </is>
      </c>
      <c r="C606" s="27" t="inlineStr">
        <is>
          <t>Expert-Led Creator</t>
        </is>
      </c>
      <c r="D606" s="27" t="inlineStr">
        <is>
          <t>GB</t>
        </is>
      </c>
      <c r="E606" s="27" t="inlineStr">
        <is>
          <t>English</t>
        </is>
      </c>
      <c r="F606" s="27" t="inlineStr">
        <is>
          <t>YouTube</t>
        </is>
      </c>
      <c r="G606" s="27" t="inlineStr">
        <is>
          <t>https://www.youtube.com/@oliverquatermain</t>
        </is>
      </c>
      <c r="H606" s="27" t="inlineStr">
        <is>
          <t>UCGB00602430837</t>
        </is>
      </c>
      <c r="I606" s="27" t="inlineStr">
        <is>
          <t>160,000</t>
        </is>
      </c>
      <c r="J606" s="27" t="inlineStr">
        <is>
          <t>2026-10-12</t>
        </is>
      </c>
      <c r="K606" s="27" t="inlineStr">
        <is>
          <t>https://www.youtube.com/watch?v=gb00602</t>
        </is>
      </c>
      <c r="L606" s="27" t="n">
        <v>10</v>
      </c>
      <c r="M606" s="27" t="n">
        <v>24</v>
      </c>
      <c r="N606" s="27" t="inlineStr">
        <is>
          <t>Course</t>
        </is>
      </c>
      <c r="O606" s="27" t="inlineStr">
        <is>
          <t>https://oliverquatermain.com/academy</t>
        </is>
      </c>
      <c r="P606" s="27" t="inlineStr">
        <is>
          <t>Editing Backlog &amp; Team Workflow Overhead</t>
        </is>
      </c>
      <c r="Q606" s="27" t="inlineStr">
        <is>
          <t>https://oliverquatermain.com/highlights</t>
        </is>
      </c>
      <c r="R606" s="27" t="inlineStr">
        <is>
          <t>X (Twitter)</t>
        </is>
      </c>
      <c r="S606" s="27" t="inlineStr">
        <is>
          <t>https://x.com/oliverquatermain</t>
        </is>
      </c>
      <c r="T606" s="27" t="inlineStr">
        <is>
          <t>https://oliverquatermain.com/links</t>
        </is>
      </c>
      <c r="U606" s="27" t="inlineStr">
        <is>
          <t>LinkedIn</t>
        </is>
      </c>
      <c r="V606" s="27" t="inlineStr">
        <is>
          <t>creator business &amp; monetization frameworks, specifically regarding episode 3 on Creator Business &amp; Monetization workflow optimization</t>
        </is>
      </c>
      <c r="W606" s="27" t="inlineStr">
        <is>
          <t>Hi Oliver, loved your recent piece on 'creator business &amp; monetization frameworks, specifically regarding episode 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06" s="27" t="inlineStr">
        <is>
          <t>2026-10-18</t>
        </is>
      </c>
      <c r="Y606" s="27" t="inlineStr">
        <is>
          <t>C</t>
        </is>
      </c>
      <c r="Z606" s="27" t="n">
        <v>83.90000000000001</v>
      </c>
      <c r="AA606" s="27" t="inlineStr">
        <is>
          <t>Qualified</t>
        </is>
      </c>
      <c r="AB606" s="27" t="inlineStr"/>
      <c r="AC606" s="28">
        <f>IF(A606="","",IF(COUNTIF($H$5:$H$1004,H606)&gt;1,"DUPLICATE","UNIQUE"))</f>
        <v/>
      </c>
      <c r="AD606" s="28">
        <f>IF(A606="","",IF(AA606="Rejected",IF(AB606&lt;&gt;"","REJECTED","ADD REASON"),IF(AND(B606&lt;&gt;"",C606&lt;&gt;"",D606&lt;&gt;"",E606&lt;&gt;"",F606&lt;&gt;"",G606&lt;&gt;"",H606&lt;&gt;"",J606&lt;&gt;"",K606&lt;&gt;"",N606&lt;&gt;"",O606&lt;&gt;"",P606&lt;&gt;"",Q606&lt;&gt;"",R606&lt;&gt;"",S606&lt;&gt;"",T606&lt;&gt;"",V606&lt;&gt;"",W606&lt;&gt;"",X606&lt;&gt;"",Y606&lt;&gt;""),"COMPLETE","MISSING FIELDS")))</f>
        <v/>
      </c>
    </row>
    <row r="607" ht="15" customHeight="1" s="15">
      <c r="A607" s="27" t="inlineStr">
        <is>
          <t>LEAD-0603</t>
        </is>
      </c>
      <c r="B607" s="27" t="inlineStr">
        <is>
          <t>Oliver Radcliffe</t>
        </is>
      </c>
      <c r="C607" s="27" t="inlineStr">
        <is>
          <t>YouTuber</t>
        </is>
      </c>
      <c r="D607" s="27" t="inlineStr">
        <is>
          <t>GB</t>
        </is>
      </c>
      <c r="E607" s="27" t="inlineStr">
        <is>
          <t>English</t>
        </is>
      </c>
      <c r="F607" s="27" t="inlineStr">
        <is>
          <t>YouTube</t>
        </is>
      </c>
      <c r="G607" s="27" t="inlineStr">
        <is>
          <t>https://www.youtube.com/@oliverradcliffe</t>
        </is>
      </c>
      <c r="H607" s="27" t="inlineStr">
        <is>
          <t>UCGB00603811376</t>
        </is>
      </c>
      <c r="I607" s="27" t="inlineStr">
        <is>
          <t>180,000</t>
        </is>
      </c>
      <c r="J607" s="27" t="inlineStr">
        <is>
          <t>2026-10-13</t>
        </is>
      </c>
      <c r="K607" s="27" t="inlineStr">
        <is>
          <t>https://www.youtube.com/watch?v=gb00603</t>
        </is>
      </c>
      <c r="L607" s="27" t="n">
        <v>11</v>
      </c>
      <c r="M607" s="27" t="n">
        <v>25</v>
      </c>
      <c r="N607" s="27" t="inlineStr">
        <is>
          <t>Sponsor</t>
        </is>
      </c>
      <c r="O607" s="27" t="inlineStr">
        <is>
          <t>https://oliverradcliffe.com/partners</t>
        </is>
      </c>
      <c r="P607" s="27" t="inlineStr">
        <is>
          <t>Shorts Repurposing Bottleneck</t>
        </is>
      </c>
      <c r="Q607" s="27" t="inlineStr">
        <is>
          <t>https://oliverradcliffe.com/highlights</t>
        </is>
      </c>
      <c r="R607" s="27" t="inlineStr">
        <is>
          <t>Email</t>
        </is>
      </c>
      <c r="S607" s="27" t="inlineStr">
        <is>
          <t>hello@oliverradcliffe.com</t>
        </is>
      </c>
      <c r="T607" s="27" t="inlineStr">
        <is>
          <t>https://oliverradcliffe.com/work-with-me</t>
        </is>
      </c>
      <c r="U607" s="27" t="inlineStr">
        <is>
          <t>LinkedIn</t>
        </is>
      </c>
      <c r="V607" s="27" t="inlineStr">
        <is>
          <t>productivity &amp; personal systems frameworks, specifically regarding episode 4 on Productivity &amp; Personal Systems workflow optimization</t>
        </is>
      </c>
      <c r="W607" s="27" t="inlineStr">
        <is>
          <t>Hi Oliver, loved your recent piece on 'productivity &amp; personal systems frameworks, specifically regarding episode 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07" s="27" t="inlineStr">
        <is>
          <t>2026-10-18</t>
        </is>
      </c>
      <c r="Y607" s="27" t="inlineStr">
        <is>
          <t>C</t>
        </is>
      </c>
      <c r="Z607" s="27" t="n">
        <v>83.8</v>
      </c>
      <c r="AA607" s="27" t="inlineStr">
        <is>
          <t>Qualified</t>
        </is>
      </c>
      <c r="AB607" s="27" t="inlineStr"/>
      <c r="AC607" s="28">
        <f>IF(A607="","",IF(COUNTIF($H$5:$H$1004,H607)&gt;1,"DUPLICATE","UNIQUE"))</f>
        <v/>
      </c>
      <c r="AD607" s="28">
        <f>IF(A607="","",IF(AA607="Rejected",IF(AB607&lt;&gt;"","REJECTED","ADD REASON"),IF(AND(B607&lt;&gt;"",C607&lt;&gt;"",D607&lt;&gt;"",E607&lt;&gt;"",F607&lt;&gt;"",G607&lt;&gt;"",H607&lt;&gt;"",J607&lt;&gt;"",K607&lt;&gt;"",N607&lt;&gt;"",O607&lt;&gt;"",P607&lt;&gt;"",Q607&lt;&gt;"",R607&lt;&gt;"",S607&lt;&gt;"",T607&lt;&gt;"",V607&lt;&gt;"",W607&lt;&gt;"",X607&lt;&gt;"",Y607&lt;&gt;""),"COMPLETE","MISSING FIELDS")))</f>
        <v/>
      </c>
    </row>
    <row r="608" ht="15" customHeight="1" s="15">
      <c r="A608" s="27" t="inlineStr">
        <is>
          <t>LEAD-0604</t>
        </is>
      </c>
      <c r="B608" s="27" t="inlineStr">
        <is>
          <t>Oliver Stanhope</t>
        </is>
      </c>
      <c r="C608" s="27" t="inlineStr">
        <is>
          <t>Podcaster</t>
        </is>
      </c>
      <c r="D608" s="27" t="inlineStr">
        <is>
          <t>GB</t>
        </is>
      </c>
      <c r="E608" s="27" t="inlineStr">
        <is>
          <t>English</t>
        </is>
      </c>
      <c r="F608" s="27" t="inlineStr">
        <is>
          <t>Apple Podcasts</t>
        </is>
      </c>
      <c r="G608" s="27" t="inlineStr">
        <is>
          <t>https://podcasts.apple.com/gb/podcast/oliverstanhope/id1000604</t>
        </is>
      </c>
      <c r="H608" s="27" t="inlineStr">
        <is>
          <t>AP-GB-1000604</t>
        </is>
      </c>
      <c r="I608" s="27" t="inlineStr">
        <is>
          <t>60,000</t>
        </is>
      </c>
      <c r="J608" s="27" t="inlineStr">
        <is>
          <t>2026-10-14</t>
        </is>
      </c>
      <c r="K608" s="27" t="inlineStr">
        <is>
          <t>https://oliverstanhope.com/episodes/5</t>
        </is>
      </c>
      <c r="L608" s="27" t="n">
        <v>12</v>
      </c>
      <c r="M608" s="27" t="n">
        <v>26</v>
      </c>
      <c r="N608" s="27" t="inlineStr">
        <is>
          <t>Membership</t>
        </is>
      </c>
      <c r="O608" s="27" t="inlineStr">
        <is>
          <t>https://oliverstanhope.com/community</t>
        </is>
      </c>
      <c r="P608" s="27" t="inlineStr">
        <is>
          <t>Inconsistent Cross-Platform Publishing</t>
        </is>
      </c>
      <c r="Q608" s="27" t="inlineStr">
        <is>
          <t>https://oliverstanhope.com/highlights</t>
        </is>
      </c>
      <c r="R608" s="27" t="inlineStr">
        <is>
          <t>Email</t>
        </is>
      </c>
      <c r="S608" s="27" t="inlineStr">
        <is>
          <t>contact@oliverstanhope.com</t>
        </is>
      </c>
      <c r="T608" s="27" t="inlineStr">
        <is>
          <t>https://oliverstanhope.com/contact</t>
        </is>
      </c>
      <c r="U608" s="27" t="inlineStr">
        <is>
          <t>LinkedIn</t>
        </is>
      </c>
      <c r="V608" s="27" t="inlineStr">
        <is>
          <t>leadership &amp; team ops frameworks, specifically regarding episode 5 on Leadership &amp; Team Ops workflow optimization</t>
        </is>
      </c>
      <c r="W608" s="27" t="inlineStr">
        <is>
          <t>Hi Oliver, loved your recent piece on 'leadership &amp; team ops frameworks, specifically regarding episode 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08" s="27" t="inlineStr">
        <is>
          <t>2026-10-18</t>
        </is>
      </c>
      <c r="Y608" s="27" t="inlineStr">
        <is>
          <t>C</t>
        </is>
      </c>
      <c r="Z608" s="27" t="n">
        <v>83.8</v>
      </c>
      <c r="AA608" s="27" t="inlineStr">
        <is>
          <t>Qualified</t>
        </is>
      </c>
      <c r="AB608" s="27" t="inlineStr"/>
      <c r="AC608" s="28">
        <f>IF(A608="","",IF(COUNTIF($H$5:$H$1004,H608)&gt;1,"DUPLICATE","UNIQUE"))</f>
        <v/>
      </c>
      <c r="AD608" s="28">
        <f>IF(A608="","",IF(AA608="Rejected",IF(AB608&lt;&gt;"","REJECTED","ADD REASON"),IF(AND(B608&lt;&gt;"",C608&lt;&gt;"",D608&lt;&gt;"",E608&lt;&gt;"",F608&lt;&gt;"",G608&lt;&gt;"",H608&lt;&gt;"",J608&lt;&gt;"",K608&lt;&gt;"",N608&lt;&gt;"",O608&lt;&gt;"",P608&lt;&gt;"",Q608&lt;&gt;"",R608&lt;&gt;"",S608&lt;&gt;"",T608&lt;&gt;"",V608&lt;&gt;"",W608&lt;&gt;"",X608&lt;&gt;"",Y608&lt;&gt;""),"COMPLETE","MISSING FIELDS")))</f>
        <v/>
      </c>
    </row>
    <row r="609" ht="15" customHeight="1" s="15">
      <c r="A609" s="27" t="inlineStr">
        <is>
          <t>LEAD-0605</t>
        </is>
      </c>
      <c r="B609" s="27" t="inlineStr">
        <is>
          <t>Oliver Thackery</t>
        </is>
      </c>
      <c r="C609" s="27" t="inlineStr">
        <is>
          <t>Expert-Led Creator</t>
        </is>
      </c>
      <c r="D609" s="27" t="inlineStr">
        <is>
          <t>GB</t>
        </is>
      </c>
      <c r="E609" s="27" t="inlineStr">
        <is>
          <t>English</t>
        </is>
      </c>
      <c r="F609" s="27" t="inlineStr">
        <is>
          <t>LinkedIn</t>
        </is>
      </c>
      <c r="G609" s="27" t="inlineStr">
        <is>
          <t>https://www.linkedin.com/in/oliverthackery</t>
        </is>
      </c>
      <c r="H609" s="27" t="inlineStr">
        <is>
          <t>LI-oliverthackery-0605</t>
        </is>
      </c>
      <c r="I609" s="27" t="inlineStr">
        <is>
          <t>36,000</t>
        </is>
      </c>
      <c r="J609" s="27" t="inlineStr">
        <is>
          <t>2026-10-15</t>
        </is>
      </c>
      <c r="K609" s="27" t="inlineStr">
        <is>
          <t>https://oliverthackery.com/posts/6</t>
        </is>
      </c>
      <c r="L609" s="27" t="n">
        <v>13</v>
      </c>
      <c r="M609" s="27" t="n">
        <v>27</v>
      </c>
      <c r="N609" s="27" t="inlineStr">
        <is>
          <t>Product</t>
        </is>
      </c>
      <c r="O609" s="27" t="inlineStr">
        <is>
          <t>https://oliverthackery.com/shop</t>
        </is>
      </c>
      <c r="P609" s="27" t="inlineStr">
        <is>
          <t>Editing Backlog &amp; Team Workflow Overhead</t>
        </is>
      </c>
      <c r="Q609" s="27" t="inlineStr">
        <is>
          <t>https://oliverthackery.com/highlights</t>
        </is>
      </c>
      <c r="R609" s="27" t="inlineStr">
        <is>
          <t>LinkedIn</t>
        </is>
      </c>
      <c r="S609" s="27" t="inlineStr">
        <is>
          <t>https://linkedin.com/in/oliverthackery</t>
        </is>
      </c>
      <c r="T609" s="27" t="inlineStr">
        <is>
          <t>https://oliverthackery.com/about</t>
        </is>
      </c>
      <c r="U609" s="27" t="inlineStr">
        <is>
          <t>Email</t>
        </is>
      </c>
      <c r="V609" s="27" t="inlineStr">
        <is>
          <t>b2b marketing &amp; sales frameworks, specifically regarding episode 6 on B2B Marketing &amp; Sales workflow optimization</t>
        </is>
      </c>
      <c r="W609" s="27" t="inlineStr">
        <is>
          <t>Hi Oliver, loved your recent piece on 'b2b marketing &amp; sales frameworks, specifically regarding episode 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09" s="27" t="inlineStr">
        <is>
          <t>2026-10-18</t>
        </is>
      </c>
      <c r="Y609" s="27" t="inlineStr">
        <is>
          <t>C</t>
        </is>
      </c>
      <c r="Z609" s="27" t="n">
        <v>83.7</v>
      </c>
      <c r="AA609" s="27" t="inlineStr">
        <is>
          <t>Qualified</t>
        </is>
      </c>
      <c r="AB609" s="27" t="inlineStr"/>
      <c r="AC609" s="28">
        <f>IF(A609="","",IF(COUNTIF($H$5:$H$1004,H609)&gt;1,"DUPLICATE","UNIQUE"))</f>
        <v/>
      </c>
      <c r="AD609" s="28">
        <f>IF(A609="","",IF(AA609="Rejected",IF(AB609&lt;&gt;"","REJECTED","ADD REASON"),IF(AND(B609&lt;&gt;"",C609&lt;&gt;"",D609&lt;&gt;"",E609&lt;&gt;"",F609&lt;&gt;"",G609&lt;&gt;"",H609&lt;&gt;"",J609&lt;&gt;"",K609&lt;&gt;"",N609&lt;&gt;"",O609&lt;&gt;"",P609&lt;&gt;"",Q609&lt;&gt;"",R609&lt;&gt;"",S609&lt;&gt;"",T609&lt;&gt;"",V609&lt;&gt;"",W609&lt;&gt;"",X609&lt;&gt;"",Y609&lt;&gt;""),"COMPLETE","MISSING FIELDS")))</f>
        <v/>
      </c>
    </row>
    <row r="610" ht="15" customHeight="1" s="15">
      <c r="A610" s="27" t="inlineStr">
        <is>
          <t>LEAD-0606</t>
        </is>
      </c>
      <c r="B610" s="27" t="inlineStr">
        <is>
          <t>Oliver Underwood</t>
        </is>
      </c>
      <c r="C610" s="27" t="inlineStr">
        <is>
          <t>YouTuber</t>
        </is>
      </c>
      <c r="D610" s="27" t="inlineStr">
        <is>
          <t>GB</t>
        </is>
      </c>
      <c r="E610" s="27" t="inlineStr">
        <is>
          <t>English</t>
        </is>
      </c>
      <c r="F610" s="27" t="inlineStr">
        <is>
          <t>YouTube</t>
        </is>
      </c>
      <c r="G610" s="27" t="inlineStr">
        <is>
          <t>https://www.youtube.com/@oliverunderwood</t>
        </is>
      </c>
      <c r="H610" s="27" t="inlineStr">
        <is>
          <t>UCGB00606583444</t>
        </is>
      </c>
      <c r="I610" s="27" t="inlineStr">
        <is>
          <t>240,000</t>
        </is>
      </c>
      <c r="J610" s="27" t="inlineStr">
        <is>
          <t>2026-10-16</t>
        </is>
      </c>
      <c r="K610" s="27" t="inlineStr">
        <is>
          <t>https://www.youtube.com/watch?v=gb00606</t>
        </is>
      </c>
      <c r="L610" s="27" t="n">
        <v>14</v>
      </c>
      <c r="M610" s="27" t="n">
        <v>28</v>
      </c>
      <c r="N610" s="27" t="inlineStr">
        <is>
          <t>Consulting</t>
        </is>
      </c>
      <c r="O610" s="27" t="inlineStr">
        <is>
          <t>https://oliverunderwood.com/advisory</t>
        </is>
      </c>
      <c r="P610" s="27" t="inlineStr">
        <is>
          <t>Multilingual Audio Dubbing</t>
        </is>
      </c>
      <c r="Q610" s="27" t="inlineStr">
        <is>
          <t>https://oliverunderwood.com/highlights</t>
        </is>
      </c>
      <c r="R610" s="27" t="inlineStr">
        <is>
          <t>X (Twitter)</t>
        </is>
      </c>
      <c r="S610" s="27" t="inlineStr">
        <is>
          <t>https://x.com/oliverunderwood</t>
        </is>
      </c>
      <c r="T610" s="27" t="inlineStr">
        <is>
          <t>https://oliverunderwood.com/links</t>
        </is>
      </c>
      <c r="U610" s="27" t="inlineStr">
        <is>
          <t>LinkedIn</t>
        </is>
      </c>
      <c r="V610" s="27" t="inlineStr">
        <is>
          <t>finance &amp; wealth engineering frameworks, specifically regarding episode 7 on Finance &amp; Wealth Engineering workflow optimization</t>
        </is>
      </c>
      <c r="W610" s="27" t="inlineStr">
        <is>
          <t>Hi Oliver, loved your recent piece on 'finance &amp; wealth engineering frameworks, specifically regarding episode 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10" s="27" t="inlineStr">
        <is>
          <t>2026-10-18</t>
        </is>
      </c>
      <c r="Y610" s="27" t="inlineStr">
        <is>
          <t>C</t>
        </is>
      </c>
      <c r="Z610" s="27" t="n">
        <v>83.59999999999999</v>
      </c>
      <c r="AA610" s="27" t="inlineStr">
        <is>
          <t>Qualified</t>
        </is>
      </c>
      <c r="AB610" s="27" t="inlineStr"/>
      <c r="AC610" s="28">
        <f>IF(A610="","",IF(COUNTIF($H$5:$H$1004,H610)&gt;1,"DUPLICATE","UNIQUE"))</f>
        <v/>
      </c>
      <c r="AD610" s="28">
        <f>IF(A610="","",IF(AA610="Rejected",IF(AB610&lt;&gt;"","REJECTED","ADD REASON"),IF(AND(B610&lt;&gt;"",C610&lt;&gt;"",D610&lt;&gt;"",E610&lt;&gt;"",F610&lt;&gt;"",G610&lt;&gt;"",H610&lt;&gt;"",J610&lt;&gt;"",K610&lt;&gt;"",N610&lt;&gt;"",O610&lt;&gt;"",P610&lt;&gt;"",Q610&lt;&gt;"",R610&lt;&gt;"",S610&lt;&gt;"",T610&lt;&gt;"",V610&lt;&gt;"",W610&lt;&gt;"",X610&lt;&gt;"",Y610&lt;&gt;""),"COMPLETE","MISSING FIELDS")))</f>
        <v/>
      </c>
    </row>
    <row r="611" ht="15" customHeight="1" s="15">
      <c r="A611" s="27" t="inlineStr">
        <is>
          <t>LEAD-0607</t>
        </is>
      </c>
      <c r="B611" s="27" t="inlineStr">
        <is>
          <t>Oliver Vanguard</t>
        </is>
      </c>
      <c r="C611" s="27" t="inlineStr">
        <is>
          <t>Podcaster</t>
        </is>
      </c>
      <c r="D611" s="27" t="inlineStr">
        <is>
          <t>GB</t>
        </is>
      </c>
      <c r="E611" s="27" t="inlineStr">
        <is>
          <t>English</t>
        </is>
      </c>
      <c r="F611" s="27" t="inlineStr">
        <is>
          <t>Apple Podcasts</t>
        </is>
      </c>
      <c r="G611" s="27" t="inlineStr">
        <is>
          <t>https://podcasts.apple.com/gb/podcast/olivervanguard/id1000607</t>
        </is>
      </c>
      <c r="H611" s="27" t="inlineStr">
        <is>
          <t>AP-GB-1000607</t>
        </is>
      </c>
      <c r="I611" s="27" t="inlineStr">
        <is>
          <t>96,000</t>
        </is>
      </c>
      <c r="J611" s="27" t="inlineStr">
        <is>
          <t>2026-10-17</t>
        </is>
      </c>
      <c r="K611" s="27" t="inlineStr">
        <is>
          <t>https://olivervanguard.com/episodes/8</t>
        </is>
      </c>
      <c r="L611" s="27" t="n">
        <v>15</v>
      </c>
      <c r="M611" s="27" t="n">
        <v>29</v>
      </c>
      <c r="N611" s="27" t="inlineStr">
        <is>
          <t>Newsletter Subscription</t>
        </is>
      </c>
      <c r="O611" s="27" t="inlineStr">
        <is>
          <t>https://olivervanguard.com/subscribe</t>
        </is>
      </c>
      <c r="P611" s="27" t="inlineStr">
        <is>
          <t>Multilingual Audio Dubbing</t>
        </is>
      </c>
      <c r="Q611" s="27" t="inlineStr">
        <is>
          <t>https://olivervanguard.com/highlights</t>
        </is>
      </c>
      <c r="R611" s="27" t="inlineStr">
        <is>
          <t>Email</t>
        </is>
      </c>
      <c r="S611" s="27" t="inlineStr">
        <is>
          <t>hello@olivervanguard.com</t>
        </is>
      </c>
      <c r="T611" s="27" t="inlineStr">
        <is>
          <t>https://olivervanguard.com/work-with-me</t>
        </is>
      </c>
      <c r="U611" s="27" t="inlineStr">
        <is>
          <t>LinkedIn</t>
        </is>
      </c>
      <c r="V611" s="27" t="inlineStr">
        <is>
          <t>health &amp; longevity science frameworks, specifically regarding episode 8 on Health &amp; Longevity Science workflow optimization</t>
        </is>
      </c>
      <c r="W611" s="27" t="inlineStr">
        <is>
          <t>Hi Oliver, loved your recent piece on 'health &amp; longevity science frameworks, specifically regarding episode 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11" s="27" t="inlineStr">
        <is>
          <t>2026-10-18</t>
        </is>
      </c>
      <c r="Y611" s="27" t="inlineStr">
        <is>
          <t>C</t>
        </is>
      </c>
      <c r="Z611" s="27" t="n">
        <v>83.59999999999999</v>
      </c>
      <c r="AA611" s="27" t="inlineStr">
        <is>
          <t>Qualified</t>
        </is>
      </c>
      <c r="AB611" s="27" t="inlineStr"/>
      <c r="AC611" s="28">
        <f>IF(A611="","",IF(COUNTIF($H$5:$H$1004,H611)&gt;1,"DUPLICATE","UNIQUE"))</f>
        <v/>
      </c>
      <c r="AD611" s="28">
        <f>IF(A611="","",IF(AA611="Rejected",IF(AB611&lt;&gt;"","REJECTED","ADD REASON"),IF(AND(B611&lt;&gt;"",C611&lt;&gt;"",D611&lt;&gt;"",E611&lt;&gt;"",F611&lt;&gt;"",G611&lt;&gt;"",H611&lt;&gt;"",J611&lt;&gt;"",K611&lt;&gt;"",N611&lt;&gt;"",O611&lt;&gt;"",P611&lt;&gt;"",Q611&lt;&gt;"",R611&lt;&gt;"",S611&lt;&gt;"",T611&lt;&gt;"",V611&lt;&gt;"",W611&lt;&gt;"",X611&lt;&gt;"",Y611&lt;&gt;""),"COMPLETE","MISSING FIELDS")))</f>
        <v/>
      </c>
    </row>
    <row r="612" ht="15" customHeight="1" s="15">
      <c r="A612" s="27" t="inlineStr">
        <is>
          <t>LEAD-0608</t>
        </is>
      </c>
      <c r="B612" s="27" t="inlineStr">
        <is>
          <t>Oliver Waverly</t>
        </is>
      </c>
      <c r="C612" s="27" t="inlineStr">
        <is>
          <t>YouTuber</t>
        </is>
      </c>
      <c r="D612" s="27" t="inlineStr">
        <is>
          <t>GB</t>
        </is>
      </c>
      <c r="E612" s="27" t="inlineStr">
        <is>
          <t>English</t>
        </is>
      </c>
      <c r="F612" s="27" t="inlineStr">
        <is>
          <t>YouTube</t>
        </is>
      </c>
      <c r="G612" s="27" t="inlineStr">
        <is>
          <t>https://www.youtube.com/@oliverwaverly</t>
        </is>
      </c>
      <c r="H612" s="27" t="inlineStr">
        <is>
          <t>UCGB00608774852</t>
        </is>
      </c>
      <c r="I612" s="27" t="inlineStr">
        <is>
          <t>280,000</t>
        </is>
      </c>
      <c r="J612" s="27" t="inlineStr">
        <is>
          <t>2026-10-10</t>
        </is>
      </c>
      <c r="K612" s="27" t="inlineStr">
        <is>
          <t>https://www.youtube.com/watch?v=gb00608</t>
        </is>
      </c>
      <c r="L612" s="27" t="n">
        <v>16</v>
      </c>
      <c r="M612" s="27" t="n">
        <v>30</v>
      </c>
      <c r="N612" s="27" t="inlineStr">
        <is>
          <t>Affiliate</t>
        </is>
      </c>
      <c r="O612" s="27" t="inlineStr">
        <is>
          <t>https://oliverwaverly.com/resources</t>
        </is>
      </c>
      <c r="P612" s="27" t="inlineStr">
        <is>
          <t>Missing Video Captions &amp; Retention Clips</t>
        </is>
      </c>
      <c r="Q612" s="27" t="inlineStr">
        <is>
          <t>https://oliverwaverly.com/highlights</t>
        </is>
      </c>
      <c r="R612" s="27" t="inlineStr">
        <is>
          <t>Email</t>
        </is>
      </c>
      <c r="S612" s="27" t="inlineStr">
        <is>
          <t>contact@oliverwaverly.com</t>
        </is>
      </c>
      <c r="T612" s="27" t="inlineStr">
        <is>
          <t>https://oliverwaverly.com/contact</t>
        </is>
      </c>
      <c r="U612" s="27" t="inlineStr">
        <is>
          <t>LinkedIn</t>
        </is>
      </c>
      <c r="V612" s="27" t="inlineStr">
        <is>
          <t>education &amp; applied coding frameworks, specifically regarding episode 9 on Education &amp; Applied Coding workflow optimization</t>
        </is>
      </c>
      <c r="W612" s="27" t="inlineStr">
        <is>
          <t>Hi Oliver, loved your recent piece on 'education &amp; applied coding frameworks, specifically regarding episode 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12" s="27" t="inlineStr">
        <is>
          <t>2026-10-18</t>
        </is>
      </c>
      <c r="Y612" s="27" t="inlineStr">
        <is>
          <t>C</t>
        </is>
      </c>
      <c r="Z612" s="27" t="n">
        <v>83.5</v>
      </c>
      <c r="AA612" s="27" t="inlineStr">
        <is>
          <t>Qualified</t>
        </is>
      </c>
      <c r="AB612" s="27" t="inlineStr"/>
      <c r="AC612" s="28">
        <f>IF(A612="","",IF(COUNTIF($H$5:$H$1004,H612)&gt;1,"DUPLICATE","UNIQUE"))</f>
        <v/>
      </c>
      <c r="AD612" s="28">
        <f>IF(A612="","",IF(AA612="Rejected",IF(AB612&lt;&gt;"","REJECTED","ADD REASON"),IF(AND(B612&lt;&gt;"",C612&lt;&gt;"",D612&lt;&gt;"",E612&lt;&gt;"",F612&lt;&gt;"",G612&lt;&gt;"",H612&lt;&gt;"",J612&lt;&gt;"",K612&lt;&gt;"",N612&lt;&gt;"",O612&lt;&gt;"",P612&lt;&gt;"",Q612&lt;&gt;"",R612&lt;&gt;"",S612&lt;&gt;"",T612&lt;&gt;"",V612&lt;&gt;"",W612&lt;&gt;"",X612&lt;&gt;"",Y612&lt;&gt;""),"COMPLETE","MISSING FIELDS")))</f>
        <v/>
      </c>
    </row>
    <row r="613" ht="15" customHeight="1" s="15">
      <c r="A613" s="27" t="inlineStr">
        <is>
          <t>LEAD-0609</t>
        </is>
      </c>
      <c r="B613" s="27" t="inlineStr">
        <is>
          <t>Oliver Yardley</t>
        </is>
      </c>
      <c r="C613" s="27" t="inlineStr">
        <is>
          <t>Podcaster</t>
        </is>
      </c>
      <c r="D613" s="27" t="inlineStr">
        <is>
          <t>GB</t>
        </is>
      </c>
      <c r="E613" s="27" t="inlineStr">
        <is>
          <t>English</t>
        </is>
      </c>
      <c r="F613" s="27" t="inlineStr">
        <is>
          <t>Apple Podcasts</t>
        </is>
      </c>
      <c r="G613" s="27" t="inlineStr">
        <is>
          <t>https://podcasts.apple.com/gb/podcast/oliveryardley/id1000609</t>
        </is>
      </c>
      <c r="H613" s="27" t="inlineStr">
        <is>
          <t>AP-GB-1000609</t>
        </is>
      </c>
      <c r="I613" s="27" t="inlineStr">
        <is>
          <t>120,000</t>
        </is>
      </c>
      <c r="J613" s="27" t="inlineStr">
        <is>
          <t>2026-10-11</t>
        </is>
      </c>
      <c r="K613" s="27" t="inlineStr">
        <is>
          <t>https://oliveryardley.com/episodes/10</t>
        </is>
      </c>
      <c r="L613" s="27" t="n">
        <v>17</v>
      </c>
      <c r="M613" s="27" t="n">
        <v>31</v>
      </c>
      <c r="N613" s="27" t="inlineStr">
        <is>
          <t>Course</t>
        </is>
      </c>
      <c r="O613" s="27" t="inlineStr">
        <is>
          <t>https://oliveryardley.com/academy</t>
        </is>
      </c>
      <c r="P613" s="27" t="inlineStr">
        <is>
          <t>Shorts Repurposing Bottleneck</t>
        </is>
      </c>
      <c r="Q613" s="27" t="inlineStr">
        <is>
          <t>https://oliveryardley.com/highlights</t>
        </is>
      </c>
      <c r="R613" s="27" t="inlineStr">
        <is>
          <t>LinkedIn</t>
        </is>
      </c>
      <c r="S613" s="27" t="inlineStr">
        <is>
          <t>https://linkedin.com/in/oliveryardley</t>
        </is>
      </c>
      <c r="T613" s="27" t="inlineStr">
        <is>
          <t>https://oliveryardley.com/about</t>
        </is>
      </c>
      <c r="U613" s="27" t="inlineStr">
        <is>
          <t>Email</t>
        </is>
      </c>
      <c r="V613" s="27" t="inlineStr">
        <is>
          <t>e-commerce &amp; digital brands frameworks, specifically regarding episode 10 on E-Commerce &amp; Digital Brands workflow optimization</t>
        </is>
      </c>
      <c r="W613" s="27" t="inlineStr">
        <is>
          <t>Hi Oliver, loved your recent piece on 'e-commerce &amp; digital brands frameworks, specifically regarding episode 10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13" s="27" t="inlineStr">
        <is>
          <t>2026-10-18</t>
        </is>
      </c>
      <c r="Y613" s="27" t="inlineStr">
        <is>
          <t>C</t>
        </is>
      </c>
      <c r="Z613" s="27" t="n">
        <v>83.5</v>
      </c>
      <c r="AA613" s="27" t="inlineStr">
        <is>
          <t>Qualified</t>
        </is>
      </c>
      <c r="AB613" s="27" t="inlineStr"/>
      <c r="AC613" s="28">
        <f>IF(A613="","",IF(COUNTIF($H$5:$H$1004,H613)&gt;1,"DUPLICATE","UNIQUE"))</f>
        <v/>
      </c>
      <c r="AD613" s="28">
        <f>IF(A613="","",IF(AA613="Rejected",IF(AB613&lt;&gt;"","REJECTED","ADD REASON"),IF(AND(B613&lt;&gt;"",C613&lt;&gt;"",D613&lt;&gt;"",E613&lt;&gt;"",F613&lt;&gt;"",G613&lt;&gt;"",H613&lt;&gt;"",J613&lt;&gt;"",K613&lt;&gt;"",N613&lt;&gt;"",O613&lt;&gt;"",P613&lt;&gt;"",Q613&lt;&gt;"",R613&lt;&gt;"",S613&lt;&gt;"",T613&lt;&gt;"",V613&lt;&gt;"",W613&lt;&gt;"",X613&lt;&gt;"",Y613&lt;&gt;""),"COMPLETE","MISSING FIELDS")))</f>
        <v/>
      </c>
    </row>
    <row r="614" ht="15" customHeight="1" s="15">
      <c r="A614" s="27" t="inlineStr">
        <is>
          <t>LEAD-0610</t>
        </is>
      </c>
      <c r="B614" s="27" t="inlineStr">
        <is>
          <t>Oliver Zimmerman</t>
        </is>
      </c>
      <c r="C614" s="27" t="inlineStr">
        <is>
          <t>YouTuber</t>
        </is>
      </c>
      <c r="D614" s="27" t="inlineStr">
        <is>
          <t>GB</t>
        </is>
      </c>
      <c r="E614" s="27" t="inlineStr">
        <is>
          <t>English</t>
        </is>
      </c>
      <c r="F614" s="27" t="inlineStr">
        <is>
          <t>YouTube</t>
        </is>
      </c>
      <c r="G614" s="27" t="inlineStr">
        <is>
          <t>https://www.youtube.com/@oliverzimmerman</t>
        </is>
      </c>
      <c r="H614" s="27" t="inlineStr">
        <is>
          <t>UCGB00610870743</t>
        </is>
      </c>
      <c r="I614" s="27" t="inlineStr">
        <is>
          <t>320,000</t>
        </is>
      </c>
      <c r="J614" s="27" t="inlineStr">
        <is>
          <t>2026-10-12</t>
        </is>
      </c>
      <c r="K614" s="27" t="inlineStr">
        <is>
          <t>https://www.youtube.com/watch?v=gb00610</t>
        </is>
      </c>
      <c r="L614" s="27" t="n">
        <v>8</v>
      </c>
      <c r="M614" s="27" t="n">
        <v>32</v>
      </c>
      <c r="N614" s="27" t="inlineStr">
        <is>
          <t>Sponsor</t>
        </is>
      </c>
      <c r="O614" s="27" t="inlineStr">
        <is>
          <t>https://oliverzimmerman.com/partners</t>
        </is>
      </c>
      <c r="P614" s="27" t="inlineStr">
        <is>
          <t>Shorts Repurposing Bottleneck</t>
        </is>
      </c>
      <c r="Q614" s="27" t="inlineStr">
        <is>
          <t>https://oliverzimmerman.com/highlights</t>
        </is>
      </c>
      <c r="R614" s="27" t="inlineStr">
        <is>
          <t>X (Twitter)</t>
        </is>
      </c>
      <c r="S614" s="27" t="inlineStr">
        <is>
          <t>https://x.com/oliverzimmerman</t>
        </is>
      </c>
      <c r="T614" s="27" t="inlineStr">
        <is>
          <t>https://oliverzimmerman.com/links</t>
        </is>
      </c>
      <c r="U614" s="27" t="inlineStr">
        <is>
          <t>LinkedIn</t>
        </is>
      </c>
      <c r="V614" s="27" t="inlineStr">
        <is>
          <t>tech &amp; ai frameworks, specifically regarding episode 11 on Tech &amp; AI workflow optimization</t>
        </is>
      </c>
      <c r="W614" s="27" t="inlineStr">
        <is>
          <t>Hi Oliver, loved your recent piece on 'tech &amp; ai frameworks, specifically regarding episode 11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14" s="27" t="inlineStr">
        <is>
          <t>2026-10-18</t>
        </is>
      </c>
      <c r="Y614" s="27" t="inlineStr">
        <is>
          <t>C</t>
        </is>
      </c>
      <c r="Z614" s="27" t="n">
        <v>83.40000000000001</v>
      </c>
      <c r="AA614" s="27" t="inlineStr">
        <is>
          <t>Qualified</t>
        </is>
      </c>
      <c r="AB614" s="27" t="inlineStr"/>
      <c r="AC614" s="28">
        <f>IF(A614="","",IF(COUNTIF($H$5:$H$1004,H614)&gt;1,"DUPLICATE","UNIQUE"))</f>
        <v/>
      </c>
      <c r="AD614" s="28">
        <f>IF(A614="","",IF(AA614="Rejected",IF(AB614&lt;&gt;"","REJECTED","ADD REASON"),IF(AND(B614&lt;&gt;"",C614&lt;&gt;"",D614&lt;&gt;"",E614&lt;&gt;"",F614&lt;&gt;"",G614&lt;&gt;"",H614&lt;&gt;"",J614&lt;&gt;"",K614&lt;&gt;"",N614&lt;&gt;"",O614&lt;&gt;"",P614&lt;&gt;"",Q614&lt;&gt;"",R614&lt;&gt;"",S614&lt;&gt;"",T614&lt;&gt;"",V614&lt;&gt;"",W614&lt;&gt;"",X614&lt;&gt;"",Y614&lt;&gt;""),"COMPLETE","MISSING FIELDS")))</f>
        <v/>
      </c>
    </row>
    <row r="615" ht="15" customHeight="1" s="15">
      <c r="A615" s="27" t="inlineStr">
        <is>
          <t>LEAD-0611</t>
        </is>
      </c>
      <c r="B615" s="27" t="inlineStr">
        <is>
          <t>Oliver Sterling</t>
        </is>
      </c>
      <c r="C615" s="27" t="inlineStr">
        <is>
          <t>Podcaster</t>
        </is>
      </c>
      <c r="D615" s="27" t="inlineStr">
        <is>
          <t>GB</t>
        </is>
      </c>
      <c r="E615" s="27" t="inlineStr">
        <is>
          <t>English</t>
        </is>
      </c>
      <c r="F615" s="27" t="inlineStr">
        <is>
          <t>Apple Podcasts</t>
        </is>
      </c>
      <c r="G615" s="27" t="inlineStr">
        <is>
          <t>https://podcasts.apple.com/gb/podcast/oliversterling/id1000611</t>
        </is>
      </c>
      <c r="H615" s="27" t="inlineStr">
        <is>
          <t>AP-GB-1000611</t>
        </is>
      </c>
      <c r="I615" s="27" t="inlineStr">
        <is>
          <t>144,000</t>
        </is>
      </c>
      <c r="J615" s="27" t="inlineStr">
        <is>
          <t>2026-10-13</t>
        </is>
      </c>
      <c r="K615" s="27" t="inlineStr">
        <is>
          <t>https://oliversterling.com/episodes/12</t>
        </is>
      </c>
      <c r="L615" s="27" t="n">
        <v>9</v>
      </c>
      <c r="M615" s="27" t="n">
        <v>33</v>
      </c>
      <c r="N615" s="27" t="inlineStr">
        <is>
          <t>Membership</t>
        </is>
      </c>
      <c r="O615" s="27" t="inlineStr">
        <is>
          <t>https://oliversterling.com/community</t>
        </is>
      </c>
      <c r="P615" s="27" t="inlineStr">
        <is>
          <t>Missing Video Captions &amp; Retention Clips</t>
        </is>
      </c>
      <c r="Q615" s="27" t="inlineStr">
        <is>
          <t>https://oliversterling.com/highlights</t>
        </is>
      </c>
      <c r="R615" s="27" t="inlineStr">
        <is>
          <t>Email</t>
        </is>
      </c>
      <c r="S615" s="27" t="inlineStr">
        <is>
          <t>hello@oliversterling.com</t>
        </is>
      </c>
      <c r="T615" s="27" t="inlineStr">
        <is>
          <t>https://oliversterling.com/work-with-me</t>
        </is>
      </c>
      <c r="U615" s="27" t="inlineStr">
        <is>
          <t>LinkedIn</t>
        </is>
      </c>
      <c r="V615" s="27" t="inlineStr">
        <is>
          <t>saas &amp; product growth frameworks, specifically regarding episode 12 on SaaS &amp; Product Growth workflow optimization</t>
        </is>
      </c>
      <c r="W615" s="27" t="inlineStr">
        <is>
          <t>Hi Oliver, loved your recent piece on 'saas &amp; product growth frameworks, specifically regarding episode 12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15" s="27" t="inlineStr">
        <is>
          <t>2026-10-18</t>
        </is>
      </c>
      <c r="Y615" s="27" t="inlineStr">
        <is>
          <t>C</t>
        </is>
      </c>
      <c r="Z615" s="27" t="n">
        <v>83.3</v>
      </c>
      <c r="AA615" s="27" t="inlineStr">
        <is>
          <t>Qualified</t>
        </is>
      </c>
      <c r="AB615" s="27" t="inlineStr"/>
      <c r="AC615" s="28">
        <f>IF(A615="","",IF(COUNTIF($H$5:$H$1004,H615)&gt;1,"DUPLICATE","UNIQUE"))</f>
        <v/>
      </c>
      <c r="AD615" s="28">
        <f>IF(A615="","",IF(AA615="Rejected",IF(AB615&lt;&gt;"","REJECTED","ADD REASON"),IF(AND(B615&lt;&gt;"",C615&lt;&gt;"",D615&lt;&gt;"",E615&lt;&gt;"",F615&lt;&gt;"",G615&lt;&gt;"",H615&lt;&gt;"",J615&lt;&gt;"",K615&lt;&gt;"",N615&lt;&gt;"",O615&lt;&gt;"",P615&lt;&gt;"",Q615&lt;&gt;"",R615&lt;&gt;"",S615&lt;&gt;"",T615&lt;&gt;"",V615&lt;&gt;"",W615&lt;&gt;"",X615&lt;&gt;"",Y615&lt;&gt;""),"COMPLETE","MISSING FIELDS")))</f>
        <v/>
      </c>
    </row>
    <row r="616" ht="15" customHeight="1" s="15">
      <c r="A616" s="27" t="inlineStr">
        <is>
          <t>LEAD-0612</t>
        </is>
      </c>
      <c r="B616" s="27" t="inlineStr">
        <is>
          <t>Oliver Cross</t>
        </is>
      </c>
      <c r="C616" s="27" t="inlineStr">
        <is>
          <t>Expert-Led Creator</t>
        </is>
      </c>
      <c r="D616" s="27" t="inlineStr">
        <is>
          <t>GB</t>
        </is>
      </c>
      <c r="E616" s="27" t="inlineStr">
        <is>
          <t>English</t>
        </is>
      </c>
      <c r="F616" s="27" t="inlineStr">
        <is>
          <t>YouTube</t>
        </is>
      </c>
      <c r="G616" s="27" t="inlineStr">
        <is>
          <t>https://www.youtube.com/@olivercross</t>
        </is>
      </c>
      <c r="H616" s="27" t="inlineStr">
        <is>
          <t>UCGB00612237853</t>
        </is>
      </c>
      <c r="I616" s="27" t="inlineStr">
        <is>
          <t>360,000</t>
        </is>
      </c>
      <c r="J616" s="27" t="inlineStr">
        <is>
          <t>2026-10-14</t>
        </is>
      </c>
      <c r="K616" s="27" t="inlineStr">
        <is>
          <t>https://www.youtube.com/watch?v=gb00612</t>
        </is>
      </c>
      <c r="L616" s="27" t="n">
        <v>10</v>
      </c>
      <c r="M616" s="27" t="n">
        <v>16</v>
      </c>
      <c r="N616" s="27" t="inlineStr">
        <is>
          <t>Product</t>
        </is>
      </c>
      <c r="O616" s="27" t="inlineStr">
        <is>
          <t>https://olivercross.com/shop</t>
        </is>
      </c>
      <c r="P616" s="27" t="inlineStr">
        <is>
          <t>Editing Backlog &amp; Team Workflow Overhead</t>
        </is>
      </c>
      <c r="Q616" s="27" t="inlineStr">
        <is>
          <t>https://olivercross.com/highlights</t>
        </is>
      </c>
      <c r="R616" s="27" t="inlineStr">
        <is>
          <t>Email</t>
        </is>
      </c>
      <c r="S616" s="27" t="inlineStr">
        <is>
          <t>contact@olivercross.com</t>
        </is>
      </c>
      <c r="T616" s="27" t="inlineStr">
        <is>
          <t>https://olivercross.com/contact</t>
        </is>
      </c>
      <c r="U616" s="27" t="inlineStr">
        <is>
          <t>LinkedIn</t>
        </is>
      </c>
      <c r="V616" s="27" t="inlineStr">
        <is>
          <t>creator business &amp; monetization frameworks, specifically regarding episode 13 on Creator Business &amp; Monetization workflow optimization</t>
        </is>
      </c>
      <c r="W616" s="27" t="inlineStr">
        <is>
          <t>Hi Oliver, loved your recent piece on 'creator business &amp; monetization frameworks, specifically regarding episode 13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16" s="27" t="inlineStr">
        <is>
          <t>2026-10-18</t>
        </is>
      </c>
      <c r="Y616" s="27" t="inlineStr">
        <is>
          <t>C</t>
        </is>
      </c>
      <c r="Z616" s="27" t="n">
        <v>83.3</v>
      </c>
      <c r="AA616" s="27" t="inlineStr">
        <is>
          <t>Qualified</t>
        </is>
      </c>
      <c r="AB616" s="27" t="inlineStr"/>
      <c r="AC616" s="28">
        <f>IF(A616="","",IF(COUNTIF($H$5:$H$1004,H616)&gt;1,"DUPLICATE","UNIQUE"))</f>
        <v/>
      </c>
      <c r="AD616" s="28">
        <f>IF(A616="","",IF(AA616="Rejected",IF(AB616&lt;&gt;"","REJECTED","ADD REASON"),IF(AND(B616&lt;&gt;"",C616&lt;&gt;"",D616&lt;&gt;"",E616&lt;&gt;"",F616&lt;&gt;"",G616&lt;&gt;"",H616&lt;&gt;"",J616&lt;&gt;"",K616&lt;&gt;"",N616&lt;&gt;"",O616&lt;&gt;"",P616&lt;&gt;"",Q616&lt;&gt;"",R616&lt;&gt;"",S616&lt;&gt;"",T616&lt;&gt;"",V616&lt;&gt;"",W616&lt;&gt;"",X616&lt;&gt;"",Y616&lt;&gt;""),"COMPLETE","MISSING FIELDS")))</f>
        <v/>
      </c>
    </row>
    <row r="617" ht="15" customHeight="1" s="15">
      <c r="A617" s="27" t="inlineStr">
        <is>
          <t>LEAD-0613</t>
        </is>
      </c>
      <c r="B617" s="27" t="inlineStr">
        <is>
          <t>Oliver Vance</t>
        </is>
      </c>
      <c r="C617" s="27" t="inlineStr">
        <is>
          <t>YouTuber</t>
        </is>
      </c>
      <c r="D617" s="27" t="inlineStr">
        <is>
          <t>GB</t>
        </is>
      </c>
      <c r="E617" s="27" t="inlineStr">
        <is>
          <t>English</t>
        </is>
      </c>
      <c r="F617" s="27" t="inlineStr">
        <is>
          <t>YouTube</t>
        </is>
      </c>
      <c r="G617" s="27" t="inlineStr">
        <is>
          <t>https://www.youtube.com/@olivervance</t>
        </is>
      </c>
      <c r="H617" s="27" t="inlineStr">
        <is>
          <t>UCGB00613591816</t>
        </is>
      </c>
      <c r="I617" s="27" t="inlineStr">
        <is>
          <t>380,000</t>
        </is>
      </c>
      <c r="J617" s="27" t="inlineStr">
        <is>
          <t>2026-10-15</t>
        </is>
      </c>
      <c r="K617" s="27" t="inlineStr">
        <is>
          <t>https://www.youtube.com/watch?v=gb00613</t>
        </is>
      </c>
      <c r="L617" s="27" t="n">
        <v>11</v>
      </c>
      <c r="M617" s="27" t="n">
        <v>17</v>
      </c>
      <c r="N617" s="27" t="inlineStr">
        <is>
          <t>Consulting</t>
        </is>
      </c>
      <c r="O617" s="27" t="inlineStr">
        <is>
          <t>https://olivervance.com/advisory</t>
        </is>
      </c>
      <c r="P617" s="27" t="inlineStr">
        <is>
          <t>Shorts Repurposing Bottleneck</t>
        </is>
      </c>
      <c r="Q617" s="27" t="inlineStr">
        <is>
          <t>https://olivervance.com/highlights</t>
        </is>
      </c>
      <c r="R617" s="27" t="inlineStr">
        <is>
          <t>LinkedIn</t>
        </is>
      </c>
      <c r="S617" s="27" t="inlineStr">
        <is>
          <t>https://linkedin.com/in/olivervance</t>
        </is>
      </c>
      <c r="T617" s="27" t="inlineStr">
        <is>
          <t>https://olivervance.com/about</t>
        </is>
      </c>
      <c r="U617" s="27" t="inlineStr">
        <is>
          <t>Email</t>
        </is>
      </c>
      <c r="V617" s="27" t="inlineStr">
        <is>
          <t>productivity &amp; personal systems frameworks, specifically regarding episode 14 on Productivity &amp; Personal Systems workflow optimization</t>
        </is>
      </c>
      <c r="W617" s="27" t="inlineStr">
        <is>
          <t>Hi Oliver, loved your recent piece on 'productivity &amp; personal systems frameworks, specifically regarding episode 14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17" s="27" t="inlineStr">
        <is>
          <t>2026-10-18</t>
        </is>
      </c>
      <c r="Y617" s="27" t="inlineStr">
        <is>
          <t>C</t>
        </is>
      </c>
      <c r="Z617" s="27" t="n">
        <v>83.2</v>
      </c>
      <c r="AA617" s="27" t="inlineStr">
        <is>
          <t>Qualified</t>
        </is>
      </c>
      <c r="AB617" s="27" t="inlineStr"/>
      <c r="AC617" s="28">
        <f>IF(A617="","",IF(COUNTIF($H$5:$H$1004,H617)&gt;1,"DUPLICATE","UNIQUE"))</f>
        <v/>
      </c>
      <c r="AD617" s="28">
        <f>IF(A617="","",IF(AA617="Rejected",IF(AB617&lt;&gt;"","REJECTED","ADD REASON"),IF(AND(B617&lt;&gt;"",C617&lt;&gt;"",D617&lt;&gt;"",E617&lt;&gt;"",F617&lt;&gt;"",G617&lt;&gt;"",H617&lt;&gt;"",J617&lt;&gt;"",K617&lt;&gt;"",N617&lt;&gt;"",O617&lt;&gt;"",P617&lt;&gt;"",Q617&lt;&gt;"",R617&lt;&gt;"",S617&lt;&gt;"",T617&lt;&gt;"",V617&lt;&gt;"",W617&lt;&gt;"",X617&lt;&gt;"",Y617&lt;&gt;""),"COMPLETE","MISSING FIELDS")))</f>
        <v/>
      </c>
    </row>
    <row r="618" ht="15" customHeight="1" s="15">
      <c r="A618" s="27" t="inlineStr">
        <is>
          <t>LEAD-0614</t>
        </is>
      </c>
      <c r="B618" s="27" t="inlineStr">
        <is>
          <t>Oliver Mercer</t>
        </is>
      </c>
      <c r="C618" s="27" t="inlineStr">
        <is>
          <t>Podcaster</t>
        </is>
      </c>
      <c r="D618" s="27" t="inlineStr">
        <is>
          <t>GB</t>
        </is>
      </c>
      <c r="E618" s="27" t="inlineStr">
        <is>
          <t>English</t>
        </is>
      </c>
      <c r="F618" s="27" t="inlineStr">
        <is>
          <t>Apple Podcasts</t>
        </is>
      </c>
      <c r="G618" s="27" t="inlineStr">
        <is>
          <t>https://podcasts.apple.com/gb/podcast/olivermercer/id1000614</t>
        </is>
      </c>
      <c r="H618" s="27" t="inlineStr">
        <is>
          <t>AP-GB-1000614</t>
        </is>
      </c>
      <c r="I618" s="27" t="inlineStr">
        <is>
          <t>180,000</t>
        </is>
      </c>
      <c r="J618" s="27" t="inlineStr">
        <is>
          <t>2026-10-16</t>
        </is>
      </c>
      <c r="K618" s="27" t="inlineStr">
        <is>
          <t>https://olivermercer.com/episodes/15</t>
        </is>
      </c>
      <c r="L618" s="27" t="n">
        <v>12</v>
      </c>
      <c r="M618" s="27" t="n">
        <v>18</v>
      </c>
      <c r="N618" s="27" t="inlineStr">
        <is>
          <t>Newsletter Subscription</t>
        </is>
      </c>
      <c r="O618" s="27" t="inlineStr">
        <is>
          <t>https://olivermercer.com/subscribe</t>
        </is>
      </c>
      <c r="P618" s="27" t="inlineStr">
        <is>
          <t>Inconsistent Cross-Platform Publishing</t>
        </is>
      </c>
      <c r="Q618" s="27" t="inlineStr">
        <is>
          <t>https://olivermercer.com/highlights</t>
        </is>
      </c>
      <c r="R618" s="27" t="inlineStr">
        <is>
          <t>X (Twitter)</t>
        </is>
      </c>
      <c r="S618" s="27" t="inlineStr">
        <is>
          <t>https://x.com/olivermercer</t>
        </is>
      </c>
      <c r="T618" s="27" t="inlineStr">
        <is>
          <t>https://olivermercer.com/links</t>
        </is>
      </c>
      <c r="U618" s="27" t="inlineStr">
        <is>
          <t>LinkedIn</t>
        </is>
      </c>
      <c r="V618" s="27" t="inlineStr">
        <is>
          <t>leadership &amp; team ops frameworks, specifically regarding episode 15 on Leadership &amp; Team Ops workflow optimization</t>
        </is>
      </c>
      <c r="W618" s="27" t="inlineStr">
        <is>
          <t>Hi Oliver, loved your recent piece on 'leadership &amp; team ops frameworks, specifically regarding episode 15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18" s="27" t="inlineStr">
        <is>
          <t>2026-10-18</t>
        </is>
      </c>
      <c r="Y618" s="27" t="inlineStr">
        <is>
          <t>C</t>
        </is>
      </c>
      <c r="Z618" s="27" t="n">
        <v>83.2</v>
      </c>
      <c r="AA618" s="27" t="inlineStr">
        <is>
          <t>Qualified</t>
        </is>
      </c>
      <c r="AB618" s="27" t="inlineStr"/>
      <c r="AC618" s="28">
        <f>IF(A618="","",IF(COUNTIF($H$5:$H$1004,H618)&gt;1,"DUPLICATE","UNIQUE"))</f>
        <v/>
      </c>
      <c r="AD618" s="28">
        <f>IF(A618="","",IF(AA618="Rejected",IF(AB618&lt;&gt;"","REJECTED","ADD REASON"),IF(AND(B618&lt;&gt;"",C618&lt;&gt;"",D618&lt;&gt;"",E618&lt;&gt;"",F618&lt;&gt;"",G618&lt;&gt;"",H618&lt;&gt;"",J618&lt;&gt;"",K618&lt;&gt;"",N618&lt;&gt;"",O618&lt;&gt;"",P618&lt;&gt;"",Q618&lt;&gt;"",R618&lt;&gt;"",S618&lt;&gt;"",T618&lt;&gt;"",V618&lt;&gt;"",W618&lt;&gt;"",X618&lt;&gt;"",Y618&lt;&gt;""),"COMPLETE","MISSING FIELDS")))</f>
        <v/>
      </c>
    </row>
    <row r="619" ht="15" customHeight="1" s="15">
      <c r="A619" s="27" t="inlineStr">
        <is>
          <t>LEAD-0615</t>
        </is>
      </c>
      <c r="B619" s="27" t="inlineStr">
        <is>
          <t>Oliver Sinclair</t>
        </is>
      </c>
      <c r="C619" s="27" t="inlineStr">
        <is>
          <t>Expert-Led Creator</t>
        </is>
      </c>
      <c r="D619" s="27" t="inlineStr">
        <is>
          <t>GB</t>
        </is>
      </c>
      <c r="E619" s="27" t="inlineStr">
        <is>
          <t>English</t>
        </is>
      </c>
      <c r="F619" s="27" t="inlineStr">
        <is>
          <t>LinkedIn</t>
        </is>
      </c>
      <c r="G619" s="27" t="inlineStr">
        <is>
          <t>https://www.linkedin.com/in/oliversinclair</t>
        </is>
      </c>
      <c r="H619" s="27" t="inlineStr">
        <is>
          <t>LI-oliversinclair-0615</t>
        </is>
      </c>
      <c r="I619" s="27" t="inlineStr">
        <is>
          <t>96,000</t>
        </is>
      </c>
      <c r="J619" s="27" t="inlineStr">
        <is>
          <t>2026-10-17</t>
        </is>
      </c>
      <c r="K619" s="27" t="inlineStr">
        <is>
          <t>https://oliversinclair.com/posts/16</t>
        </is>
      </c>
      <c r="L619" s="27" t="n">
        <v>13</v>
      </c>
      <c r="M619" s="27" t="n">
        <v>19</v>
      </c>
      <c r="N619" s="27" t="inlineStr">
        <is>
          <t>Affiliate</t>
        </is>
      </c>
      <c r="O619" s="27" t="inlineStr">
        <is>
          <t>https://oliversinclair.com/resources</t>
        </is>
      </c>
      <c r="P619" s="27" t="inlineStr">
        <is>
          <t>Editing Backlog &amp; Team Workflow Overhead</t>
        </is>
      </c>
      <c r="Q619" s="27" t="inlineStr">
        <is>
          <t>https://oliversinclair.com/highlights</t>
        </is>
      </c>
      <c r="R619" s="27" t="inlineStr">
        <is>
          <t>Email</t>
        </is>
      </c>
      <c r="S619" s="27" t="inlineStr">
        <is>
          <t>hello@oliversinclair.com</t>
        </is>
      </c>
      <c r="T619" s="27" t="inlineStr">
        <is>
          <t>https://oliversinclair.com/work-with-me</t>
        </is>
      </c>
      <c r="U619" s="27" t="inlineStr">
        <is>
          <t>LinkedIn</t>
        </is>
      </c>
      <c r="V619" s="27" t="inlineStr">
        <is>
          <t>b2b marketing &amp; sales frameworks, specifically regarding episode 16 on B2B Marketing &amp; Sales workflow optimization</t>
        </is>
      </c>
      <c r="W619" s="27" t="inlineStr">
        <is>
          <t>Hi Oliver, loved your recent piece on 'b2b marketing &amp; sales frameworks, specifically regarding episode 16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19" s="27" t="inlineStr">
        <is>
          <t>2026-10-18</t>
        </is>
      </c>
      <c r="Y619" s="27" t="inlineStr">
        <is>
          <t>C</t>
        </is>
      </c>
      <c r="Z619" s="27" t="n">
        <v>83.09999999999999</v>
      </c>
      <c r="AA619" s="27" t="inlineStr">
        <is>
          <t>Qualified</t>
        </is>
      </c>
      <c r="AB619" s="27" t="inlineStr"/>
      <c r="AC619" s="28">
        <f>IF(A619="","",IF(COUNTIF($H$5:$H$1004,H619)&gt;1,"DUPLICATE","UNIQUE"))</f>
        <v/>
      </c>
      <c r="AD619" s="28">
        <f>IF(A619="","",IF(AA619="Rejected",IF(AB619&lt;&gt;"","REJECTED","ADD REASON"),IF(AND(B619&lt;&gt;"",C619&lt;&gt;"",D619&lt;&gt;"",E619&lt;&gt;"",F619&lt;&gt;"",G619&lt;&gt;"",H619&lt;&gt;"",J619&lt;&gt;"",K619&lt;&gt;"",N619&lt;&gt;"",O619&lt;&gt;"",P619&lt;&gt;"",Q619&lt;&gt;"",R619&lt;&gt;"",S619&lt;&gt;"",T619&lt;&gt;"",V619&lt;&gt;"",W619&lt;&gt;"",X619&lt;&gt;"",Y619&lt;&gt;""),"COMPLETE","MISSING FIELDS")))</f>
        <v/>
      </c>
    </row>
    <row r="620" ht="15" customHeight="1" s="15">
      <c r="A620" s="27" t="inlineStr">
        <is>
          <t>LEAD-0616</t>
        </is>
      </c>
      <c r="B620" s="27" t="inlineStr">
        <is>
          <t>Oliver Carrington</t>
        </is>
      </c>
      <c r="C620" s="27" t="inlineStr">
        <is>
          <t>YouTuber</t>
        </is>
      </c>
      <c r="D620" s="27" t="inlineStr">
        <is>
          <t>GB</t>
        </is>
      </c>
      <c r="E620" s="27" t="inlineStr">
        <is>
          <t>English</t>
        </is>
      </c>
      <c r="F620" s="27" t="inlineStr">
        <is>
          <t>YouTube</t>
        </is>
      </c>
      <c r="G620" s="27" t="inlineStr">
        <is>
          <t>https://www.youtube.com/@olivercarrington</t>
        </is>
      </c>
      <c r="H620" s="27" t="inlineStr">
        <is>
          <t>UCGB00616693599</t>
        </is>
      </c>
      <c r="I620" s="27" t="inlineStr">
        <is>
          <t>440,000</t>
        </is>
      </c>
      <c r="J620" s="27" t="inlineStr">
        <is>
          <t>2026-10-10</t>
        </is>
      </c>
      <c r="K620" s="27" t="inlineStr">
        <is>
          <t>https://www.youtube.com/watch?v=gb00616</t>
        </is>
      </c>
      <c r="L620" s="27" t="n">
        <v>14</v>
      </c>
      <c r="M620" s="27" t="n">
        <v>20</v>
      </c>
      <c r="N620" s="27" t="inlineStr">
        <is>
          <t>Course</t>
        </is>
      </c>
      <c r="O620" s="27" t="inlineStr">
        <is>
          <t>https://olivercarrington.com/academy</t>
        </is>
      </c>
      <c r="P620" s="27" t="inlineStr">
        <is>
          <t>Multilingual Audio Dubbing</t>
        </is>
      </c>
      <c r="Q620" s="27" t="inlineStr">
        <is>
          <t>https://olivercarrington.com/highlights</t>
        </is>
      </c>
      <c r="R620" s="27" t="inlineStr">
        <is>
          <t>Email</t>
        </is>
      </c>
      <c r="S620" s="27" t="inlineStr">
        <is>
          <t>contact@olivercarrington.com</t>
        </is>
      </c>
      <c r="T620" s="27" t="inlineStr">
        <is>
          <t>https://olivercarrington.com/contact</t>
        </is>
      </c>
      <c r="U620" s="27" t="inlineStr">
        <is>
          <t>LinkedIn</t>
        </is>
      </c>
      <c r="V620" s="27" t="inlineStr">
        <is>
          <t>finance &amp; wealth engineering frameworks, specifically regarding episode 17 on Finance &amp; Wealth Engineering workflow optimization</t>
        </is>
      </c>
      <c r="W620" s="27" t="inlineStr">
        <is>
          <t>Hi Oliver, loved your recent piece on 'finance &amp; wealth engineering frameworks, specifically regarding episode 17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20" s="27" t="inlineStr">
        <is>
          <t>2026-10-18</t>
        </is>
      </c>
      <c r="Y620" s="27" t="inlineStr">
        <is>
          <t>C</t>
        </is>
      </c>
      <c r="Z620" s="27" t="n">
        <v>83</v>
      </c>
      <c r="AA620" s="27" t="inlineStr">
        <is>
          <t>Qualified</t>
        </is>
      </c>
      <c r="AB620" s="27" t="inlineStr"/>
      <c r="AC620" s="28">
        <f>IF(A620="","",IF(COUNTIF($H$5:$H$1004,H620)&gt;1,"DUPLICATE","UNIQUE"))</f>
        <v/>
      </c>
      <c r="AD620" s="28">
        <f>IF(A620="","",IF(AA620="Rejected",IF(AB620&lt;&gt;"","REJECTED","ADD REASON"),IF(AND(B620&lt;&gt;"",C620&lt;&gt;"",D620&lt;&gt;"",E620&lt;&gt;"",F620&lt;&gt;"",G620&lt;&gt;"",H620&lt;&gt;"",J620&lt;&gt;"",K620&lt;&gt;"",N620&lt;&gt;"",O620&lt;&gt;"",P620&lt;&gt;"",Q620&lt;&gt;"",R620&lt;&gt;"",S620&lt;&gt;"",T620&lt;&gt;"",V620&lt;&gt;"",W620&lt;&gt;"",X620&lt;&gt;"",Y620&lt;&gt;""),"COMPLETE","MISSING FIELDS")))</f>
        <v/>
      </c>
    </row>
    <row r="621" ht="15" customHeight="1" s="15">
      <c r="A621" s="27" t="inlineStr">
        <is>
          <t>LEAD-0617</t>
        </is>
      </c>
      <c r="B621" s="27" t="inlineStr">
        <is>
          <t>Oliver Prescott</t>
        </is>
      </c>
      <c r="C621" s="27" t="inlineStr">
        <is>
          <t>Podcaster</t>
        </is>
      </c>
      <c r="D621" s="27" t="inlineStr">
        <is>
          <t>GB</t>
        </is>
      </c>
      <c r="E621" s="27" t="inlineStr">
        <is>
          <t>English</t>
        </is>
      </c>
      <c r="F621" s="27" t="inlineStr">
        <is>
          <t>Apple Podcasts</t>
        </is>
      </c>
      <c r="G621" s="27" t="inlineStr">
        <is>
          <t>https://podcasts.apple.com/gb/podcast/oliverprescott/id1000617</t>
        </is>
      </c>
      <c r="H621" s="27" t="inlineStr">
        <is>
          <t>AP-GB-1000617</t>
        </is>
      </c>
      <c r="I621" s="27" t="inlineStr">
        <is>
          <t>216,000</t>
        </is>
      </c>
      <c r="J621" s="27" t="inlineStr">
        <is>
          <t>2026-10-11</t>
        </is>
      </c>
      <c r="K621" s="27" t="inlineStr">
        <is>
          <t>https://oliverprescott.com/episodes/18</t>
        </is>
      </c>
      <c r="L621" s="27" t="n">
        <v>15</v>
      </c>
      <c r="M621" s="27" t="n">
        <v>21</v>
      </c>
      <c r="N621" s="27" t="inlineStr">
        <is>
          <t>Sponsor</t>
        </is>
      </c>
      <c r="O621" s="27" t="inlineStr">
        <is>
          <t>https://oliverprescott.com/partners</t>
        </is>
      </c>
      <c r="P621" s="27" t="inlineStr">
        <is>
          <t>Multilingual Audio Dubbing</t>
        </is>
      </c>
      <c r="Q621" s="27" t="inlineStr">
        <is>
          <t>https://oliverprescott.com/highlights</t>
        </is>
      </c>
      <c r="R621" s="27" t="inlineStr">
        <is>
          <t>LinkedIn</t>
        </is>
      </c>
      <c r="S621" s="27" t="inlineStr">
        <is>
          <t>https://linkedin.com/in/oliverprescott</t>
        </is>
      </c>
      <c r="T621" s="27" t="inlineStr">
        <is>
          <t>https://oliverprescott.com/about</t>
        </is>
      </c>
      <c r="U621" s="27" t="inlineStr">
        <is>
          <t>Email</t>
        </is>
      </c>
      <c r="V621" s="27" t="inlineStr">
        <is>
          <t>health &amp; longevity science frameworks, specifically regarding episode 18 on Health &amp; Longevity Science workflow optimization</t>
        </is>
      </c>
      <c r="W621" s="27" t="inlineStr">
        <is>
          <t>Hi Oliver, loved your recent piece on 'health &amp; longevity science frameworks, specifically regarding episode 18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21" s="27" t="inlineStr">
        <is>
          <t>2026-10-18</t>
        </is>
      </c>
      <c r="Y621" s="27" t="inlineStr">
        <is>
          <t>C</t>
        </is>
      </c>
      <c r="Z621" s="27" t="n">
        <v>83</v>
      </c>
      <c r="AA621" s="27" t="inlineStr">
        <is>
          <t>Qualified</t>
        </is>
      </c>
      <c r="AB621" s="27" t="inlineStr"/>
      <c r="AC621" s="28">
        <f>IF(A621="","",IF(COUNTIF($H$5:$H$1004,H621)&gt;1,"DUPLICATE","UNIQUE"))</f>
        <v/>
      </c>
      <c r="AD621" s="28">
        <f>IF(A621="","",IF(AA621="Rejected",IF(AB621&lt;&gt;"","REJECTED","ADD REASON"),IF(AND(B621&lt;&gt;"",C621&lt;&gt;"",D621&lt;&gt;"",E621&lt;&gt;"",F621&lt;&gt;"",G621&lt;&gt;"",H621&lt;&gt;"",J621&lt;&gt;"",K621&lt;&gt;"",N621&lt;&gt;"",O621&lt;&gt;"",P621&lt;&gt;"",Q621&lt;&gt;"",R621&lt;&gt;"",S621&lt;&gt;"",T621&lt;&gt;"",V621&lt;&gt;"",W621&lt;&gt;"",X621&lt;&gt;"",Y621&lt;&gt;""),"COMPLETE","MISSING FIELDS")))</f>
        <v/>
      </c>
    </row>
    <row r="622" ht="15" customHeight="1" s="15">
      <c r="A622" s="27" t="inlineStr">
        <is>
          <t>LEAD-0618</t>
        </is>
      </c>
      <c r="B622" s="27" t="inlineStr">
        <is>
          <t>Oliver Winslow</t>
        </is>
      </c>
      <c r="C622" s="27" t="inlineStr">
        <is>
          <t>YouTuber</t>
        </is>
      </c>
      <c r="D622" s="27" t="inlineStr">
        <is>
          <t>GB</t>
        </is>
      </c>
      <c r="E622" s="27" t="inlineStr">
        <is>
          <t>English</t>
        </is>
      </c>
      <c r="F622" s="27" t="inlineStr">
        <is>
          <t>YouTube</t>
        </is>
      </c>
      <c r="G622" s="27" t="inlineStr">
        <is>
          <t>https://www.youtube.com/@oliverwinslow</t>
        </is>
      </c>
      <c r="H622" s="27" t="inlineStr">
        <is>
          <t>UCGB00618349529</t>
        </is>
      </c>
      <c r="I622" s="27" t="inlineStr">
        <is>
          <t>480,000</t>
        </is>
      </c>
      <c r="J622" s="27" t="inlineStr">
        <is>
          <t>2026-10-12</t>
        </is>
      </c>
      <c r="K622" s="27" t="inlineStr">
        <is>
          <t>https://www.youtube.com/watch?v=gb00618</t>
        </is>
      </c>
      <c r="L622" s="27" t="n">
        <v>16</v>
      </c>
      <c r="M622" s="27" t="n">
        <v>22</v>
      </c>
      <c r="N622" s="27" t="inlineStr">
        <is>
          <t>Membership</t>
        </is>
      </c>
      <c r="O622" s="27" t="inlineStr">
        <is>
          <t>https://oliverwinslow.com/community</t>
        </is>
      </c>
      <c r="P622" s="27" t="inlineStr">
        <is>
          <t>Missing Video Captions &amp; Retention Clips</t>
        </is>
      </c>
      <c r="Q622" s="27" t="inlineStr">
        <is>
          <t>https://oliverwinslow.com/highlights</t>
        </is>
      </c>
      <c r="R622" s="27" t="inlineStr">
        <is>
          <t>X (Twitter)</t>
        </is>
      </c>
      <c r="S622" s="27" t="inlineStr">
        <is>
          <t>https://x.com/oliverwinslow</t>
        </is>
      </c>
      <c r="T622" s="27" t="inlineStr">
        <is>
          <t>https://oliverwinslow.com/links</t>
        </is>
      </c>
      <c r="U622" s="27" t="inlineStr">
        <is>
          <t>LinkedIn</t>
        </is>
      </c>
      <c r="V622" s="27" t="inlineStr">
        <is>
          <t>education &amp; applied coding frameworks, specifically regarding episode 19 on Education &amp; Applied Coding workflow optimization</t>
        </is>
      </c>
      <c r="W622" s="27" t="inlineStr">
        <is>
          <t>Hi Oliver, loved your recent piece on 'education &amp; applied coding frameworks, specifically regarding episode 19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22" s="27" t="inlineStr">
        <is>
          <t>2026-10-18</t>
        </is>
      </c>
      <c r="Y622" s="27" t="inlineStr">
        <is>
          <t>C</t>
        </is>
      </c>
      <c r="Z622" s="27" t="n">
        <v>82.90000000000001</v>
      </c>
      <c r="AA622" s="27" t="inlineStr">
        <is>
          <t>Qualified</t>
        </is>
      </c>
      <c r="AB622" s="27" t="inlineStr"/>
      <c r="AC622" s="28">
        <f>IF(A622="","",IF(COUNTIF($H$5:$H$1004,H622)&gt;1,"DUPLICATE","UNIQUE"))</f>
        <v/>
      </c>
      <c r="AD622" s="28">
        <f>IF(A622="","",IF(AA622="Rejected",IF(AB622&lt;&gt;"","REJECTED","ADD REASON"),IF(AND(B622&lt;&gt;"",C622&lt;&gt;"",D622&lt;&gt;"",E622&lt;&gt;"",F622&lt;&gt;"",G622&lt;&gt;"",H622&lt;&gt;"",J622&lt;&gt;"",K622&lt;&gt;"",N622&lt;&gt;"",O622&lt;&gt;"",P622&lt;&gt;"",Q622&lt;&gt;"",R622&lt;&gt;"",S622&lt;&gt;"",T622&lt;&gt;"",V622&lt;&gt;"",W622&lt;&gt;"",X622&lt;&gt;"",Y622&lt;&gt;""),"COMPLETE","MISSING FIELDS")))</f>
        <v/>
      </c>
    </row>
    <row r="623" ht="15" customHeight="1" s="15">
      <c r="A623" s="27" t="inlineStr">
        <is>
          <t>LEAD-0619</t>
        </is>
      </c>
      <c r="B623" s="27" t="inlineStr">
        <is>
          <t>Oliver Bradford</t>
        </is>
      </c>
      <c r="C623" s="27" t="inlineStr">
        <is>
          <t>Podcaster</t>
        </is>
      </c>
      <c r="D623" s="27" t="inlineStr">
        <is>
          <t>GB</t>
        </is>
      </c>
      <c r="E623" s="27" t="inlineStr">
        <is>
          <t>English</t>
        </is>
      </c>
      <c r="F623" s="27" t="inlineStr">
        <is>
          <t>Apple Podcasts</t>
        </is>
      </c>
      <c r="G623" s="27" t="inlineStr">
        <is>
          <t>https://podcasts.apple.com/gb/podcast/oliverbradford/id1000619</t>
        </is>
      </c>
      <c r="H623" s="27" t="inlineStr">
        <is>
          <t>AP-GB-1000619</t>
        </is>
      </c>
      <c r="I623" s="27" t="inlineStr">
        <is>
          <t>240,000</t>
        </is>
      </c>
      <c r="J623" s="27" t="inlineStr">
        <is>
          <t>2026-10-13</t>
        </is>
      </c>
      <c r="K623" s="27" t="inlineStr">
        <is>
          <t>https://oliverbradford.com/episodes/20</t>
        </is>
      </c>
      <c r="L623" s="27" t="n">
        <v>17</v>
      </c>
      <c r="M623" s="27" t="n">
        <v>23</v>
      </c>
      <c r="N623" s="27" t="inlineStr">
        <is>
          <t>Product</t>
        </is>
      </c>
      <c r="O623" s="27" t="inlineStr">
        <is>
          <t>https://oliverbradford.com/shop</t>
        </is>
      </c>
      <c r="P623" s="27" t="inlineStr">
        <is>
          <t>Shorts Repurposing Bottleneck</t>
        </is>
      </c>
      <c r="Q623" s="27" t="inlineStr">
        <is>
          <t>https://oliverbradford.com/highlights</t>
        </is>
      </c>
      <c r="R623" s="27" t="inlineStr">
        <is>
          <t>Email</t>
        </is>
      </c>
      <c r="S623" s="27" t="inlineStr">
        <is>
          <t>hello@oliverbradford.com</t>
        </is>
      </c>
      <c r="T623" s="27" t="inlineStr">
        <is>
          <t>https://oliverbradford.com/work-with-me</t>
        </is>
      </c>
      <c r="U623" s="27" t="inlineStr">
        <is>
          <t>LinkedIn</t>
        </is>
      </c>
      <c r="V623" s="27" t="inlineStr">
        <is>
          <t>e-commerce &amp; digital brands frameworks, specifically regarding episode 20 on E-Commerce &amp; Digital Brands workflow optimization</t>
        </is>
      </c>
      <c r="W623" s="27" t="inlineStr">
        <is>
          <t>Hi Oliver, loved your recent piece on 'e-commerce &amp; digital brands frameworks, specifically regarding episode 20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23" s="27" t="inlineStr">
        <is>
          <t>2026-10-18</t>
        </is>
      </c>
      <c r="Y623" s="27" t="inlineStr">
        <is>
          <t>C</t>
        </is>
      </c>
      <c r="Z623" s="27" t="n">
        <v>82.90000000000001</v>
      </c>
      <c r="AA623" s="27" t="inlineStr">
        <is>
          <t>Qualified</t>
        </is>
      </c>
      <c r="AB623" s="27" t="inlineStr"/>
      <c r="AC623" s="28">
        <f>IF(A623="","",IF(COUNTIF($H$5:$H$1004,H623)&gt;1,"DUPLICATE","UNIQUE"))</f>
        <v/>
      </c>
      <c r="AD623" s="28">
        <f>IF(A623="","",IF(AA623="Rejected",IF(AB623&lt;&gt;"","REJECTED","ADD REASON"),IF(AND(B623&lt;&gt;"",C623&lt;&gt;"",D623&lt;&gt;"",E623&lt;&gt;"",F623&lt;&gt;"",G623&lt;&gt;"",H623&lt;&gt;"",J623&lt;&gt;"",K623&lt;&gt;"",N623&lt;&gt;"",O623&lt;&gt;"",P623&lt;&gt;"",Q623&lt;&gt;"",R623&lt;&gt;"",S623&lt;&gt;"",T623&lt;&gt;"",V623&lt;&gt;"",W623&lt;&gt;"",X623&lt;&gt;"",Y623&lt;&gt;""),"COMPLETE","MISSING FIELDS")))</f>
        <v/>
      </c>
    </row>
    <row r="624" ht="15" customHeight="1" s="15">
      <c r="A624" s="27" t="inlineStr">
        <is>
          <t>LEAD-0620</t>
        </is>
      </c>
      <c r="B624" s="27" t="inlineStr">
        <is>
          <t>Oliver Kensington</t>
        </is>
      </c>
      <c r="C624" s="27" t="inlineStr">
        <is>
          <t>YouTuber</t>
        </is>
      </c>
      <c r="D624" s="27" t="inlineStr">
        <is>
          <t>GB</t>
        </is>
      </c>
      <c r="E624" s="27" t="inlineStr">
        <is>
          <t>English</t>
        </is>
      </c>
      <c r="F624" s="27" t="inlineStr">
        <is>
          <t>YouTube</t>
        </is>
      </c>
      <c r="G624" s="27" t="inlineStr">
        <is>
          <t>https://www.youtube.com/@oliverkensington</t>
        </is>
      </c>
      <c r="H624" s="27" t="inlineStr">
        <is>
          <t>UCGB00620531706</t>
        </is>
      </c>
      <c r="I624" s="27" t="inlineStr">
        <is>
          <t>520,000</t>
        </is>
      </c>
      <c r="J624" s="27" t="inlineStr">
        <is>
          <t>2026-10-14</t>
        </is>
      </c>
      <c r="K624" s="27" t="inlineStr">
        <is>
          <t>https://www.youtube.com/watch?v=gb00620</t>
        </is>
      </c>
      <c r="L624" s="27" t="n">
        <v>8</v>
      </c>
      <c r="M624" s="27" t="n">
        <v>24</v>
      </c>
      <c r="N624" s="27" t="inlineStr">
        <is>
          <t>Consulting</t>
        </is>
      </c>
      <c r="O624" s="27" t="inlineStr">
        <is>
          <t>https://oliverkensington.com/advisory</t>
        </is>
      </c>
      <c r="P624" s="27" t="inlineStr">
        <is>
          <t>Shorts Repurposing Bottleneck</t>
        </is>
      </c>
      <c r="Q624" s="27" t="inlineStr">
        <is>
          <t>https://oliverkensington.com/highlights</t>
        </is>
      </c>
      <c r="R624" s="27" t="inlineStr">
        <is>
          <t>Email</t>
        </is>
      </c>
      <c r="S624" s="27" t="inlineStr">
        <is>
          <t>contact@oliverkensington.com</t>
        </is>
      </c>
      <c r="T624" s="27" t="inlineStr">
        <is>
          <t>https://oliverkensington.com/contact</t>
        </is>
      </c>
      <c r="U624" s="27" t="inlineStr">
        <is>
          <t>LinkedIn</t>
        </is>
      </c>
      <c r="V624" s="27" t="inlineStr">
        <is>
          <t>tech &amp; ai frameworks, specifically regarding episode 21 on Tech &amp; AI workflow optimization</t>
        </is>
      </c>
      <c r="W624" s="27" t="inlineStr">
        <is>
          <t>Hi Oliver, loved your recent piece on 'tech &amp; ai frameworks, specifically regarding episode 21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24" s="27" t="inlineStr">
        <is>
          <t>2026-10-18</t>
        </is>
      </c>
      <c r="Y624" s="27" t="inlineStr">
        <is>
          <t>C</t>
        </is>
      </c>
      <c r="Z624" s="27" t="n">
        <v>82.8</v>
      </c>
      <c r="AA624" s="27" t="inlineStr">
        <is>
          <t>Qualified</t>
        </is>
      </c>
      <c r="AB624" s="27" t="inlineStr"/>
      <c r="AC624" s="28">
        <f>IF(A624="","",IF(COUNTIF($H$5:$H$1004,H624)&gt;1,"DUPLICATE","UNIQUE"))</f>
        <v/>
      </c>
      <c r="AD624" s="28">
        <f>IF(A624="","",IF(AA624="Rejected",IF(AB624&lt;&gt;"","REJECTED","ADD REASON"),IF(AND(B624&lt;&gt;"",C624&lt;&gt;"",D624&lt;&gt;"",E624&lt;&gt;"",F624&lt;&gt;"",G624&lt;&gt;"",H624&lt;&gt;"",J624&lt;&gt;"",K624&lt;&gt;"",N624&lt;&gt;"",O624&lt;&gt;"",P624&lt;&gt;"",Q624&lt;&gt;"",R624&lt;&gt;"",S624&lt;&gt;"",T624&lt;&gt;"",V624&lt;&gt;"",W624&lt;&gt;"",X624&lt;&gt;"",Y624&lt;&gt;""),"COMPLETE","MISSING FIELDS")))</f>
        <v/>
      </c>
    </row>
    <row r="625" ht="15" customHeight="1" s="15">
      <c r="A625" s="27" t="inlineStr">
        <is>
          <t>LEAD-0621</t>
        </is>
      </c>
      <c r="B625" s="27" t="inlineStr">
        <is>
          <t>Oliver Lancaster</t>
        </is>
      </c>
      <c r="C625" s="27" t="inlineStr">
        <is>
          <t>Podcaster</t>
        </is>
      </c>
      <c r="D625" s="27" t="inlineStr">
        <is>
          <t>GB</t>
        </is>
      </c>
      <c r="E625" s="27" t="inlineStr">
        <is>
          <t>English</t>
        </is>
      </c>
      <c r="F625" s="27" t="inlineStr">
        <is>
          <t>Apple Podcasts</t>
        </is>
      </c>
      <c r="G625" s="27" t="inlineStr">
        <is>
          <t>https://podcasts.apple.com/gb/podcast/oliverlancaster/id1000621</t>
        </is>
      </c>
      <c r="H625" s="27" t="inlineStr">
        <is>
          <t>AP-GB-1000621</t>
        </is>
      </c>
      <c r="I625" s="27" t="inlineStr">
        <is>
          <t>264,000</t>
        </is>
      </c>
      <c r="J625" s="27" t="inlineStr">
        <is>
          <t>2026-10-15</t>
        </is>
      </c>
      <c r="K625" s="27" t="inlineStr">
        <is>
          <t>https://oliverlancaster.com/episodes/22</t>
        </is>
      </c>
      <c r="L625" s="27" t="n">
        <v>9</v>
      </c>
      <c r="M625" s="27" t="n">
        <v>25</v>
      </c>
      <c r="N625" s="27" t="inlineStr">
        <is>
          <t>Newsletter Subscription</t>
        </is>
      </c>
      <c r="O625" s="27" t="inlineStr">
        <is>
          <t>https://oliverlancaster.com/subscribe</t>
        </is>
      </c>
      <c r="P625" s="27" t="inlineStr">
        <is>
          <t>Missing Video Captions &amp; Retention Clips</t>
        </is>
      </c>
      <c r="Q625" s="27" t="inlineStr">
        <is>
          <t>https://oliverlancaster.com/highlights</t>
        </is>
      </c>
      <c r="R625" s="27" t="inlineStr">
        <is>
          <t>LinkedIn</t>
        </is>
      </c>
      <c r="S625" s="27" t="inlineStr">
        <is>
          <t>https://linkedin.com/in/oliverlancaster</t>
        </is>
      </c>
      <c r="T625" s="27" t="inlineStr">
        <is>
          <t>https://oliverlancaster.com/about</t>
        </is>
      </c>
      <c r="U625" s="27" t="inlineStr">
        <is>
          <t>Email</t>
        </is>
      </c>
      <c r="V625" s="27" t="inlineStr">
        <is>
          <t>saas &amp; product growth frameworks, specifically regarding episode 22 on SaaS &amp; Product Growth workflow optimization</t>
        </is>
      </c>
      <c r="W625" s="27" t="inlineStr">
        <is>
          <t>Hi Oliver, loved your recent piece on 'saas &amp; product growth frameworks, specifically regarding episode 22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25" s="27" t="inlineStr">
        <is>
          <t>2026-10-18</t>
        </is>
      </c>
      <c r="Y625" s="27" t="inlineStr">
        <is>
          <t>C</t>
        </is>
      </c>
      <c r="Z625" s="27" t="n">
        <v>82.7</v>
      </c>
      <c r="AA625" s="27" t="inlineStr">
        <is>
          <t>Qualified</t>
        </is>
      </c>
      <c r="AB625" s="27" t="inlineStr"/>
      <c r="AC625" s="28">
        <f>IF(A625="","",IF(COUNTIF($H$5:$H$1004,H625)&gt;1,"DUPLICATE","UNIQUE"))</f>
        <v/>
      </c>
      <c r="AD625" s="28">
        <f>IF(A625="","",IF(AA625="Rejected",IF(AB625&lt;&gt;"","REJECTED","ADD REASON"),IF(AND(B625&lt;&gt;"",C625&lt;&gt;"",D625&lt;&gt;"",E625&lt;&gt;"",F625&lt;&gt;"",G625&lt;&gt;"",H625&lt;&gt;"",J625&lt;&gt;"",K625&lt;&gt;"",N625&lt;&gt;"",O625&lt;&gt;"",P625&lt;&gt;"",Q625&lt;&gt;"",R625&lt;&gt;"",S625&lt;&gt;"",T625&lt;&gt;"",V625&lt;&gt;"",W625&lt;&gt;"",X625&lt;&gt;"",Y625&lt;&gt;""),"COMPLETE","MISSING FIELDS")))</f>
        <v/>
      </c>
    </row>
    <row r="626" ht="15" customHeight="1" s="15">
      <c r="A626" s="27" t="inlineStr">
        <is>
          <t>LEAD-0622</t>
        </is>
      </c>
      <c r="B626" s="27" t="inlineStr">
        <is>
          <t>Oliver Montgomery</t>
        </is>
      </c>
      <c r="C626" s="27" t="inlineStr">
        <is>
          <t>Expert-Led Creator</t>
        </is>
      </c>
      <c r="D626" s="27" t="inlineStr">
        <is>
          <t>GB</t>
        </is>
      </c>
      <c r="E626" s="27" t="inlineStr">
        <is>
          <t>English</t>
        </is>
      </c>
      <c r="F626" s="27" t="inlineStr">
        <is>
          <t>YouTube</t>
        </is>
      </c>
      <c r="G626" s="27" t="inlineStr">
        <is>
          <t>https://www.youtube.com/@olivermontgomery</t>
        </is>
      </c>
      <c r="H626" s="27" t="inlineStr">
        <is>
          <t>UCGB00622807077</t>
        </is>
      </c>
      <c r="I626" s="27" t="inlineStr">
        <is>
          <t>560,000</t>
        </is>
      </c>
      <c r="J626" s="27" t="inlineStr">
        <is>
          <t>2026-10-16</t>
        </is>
      </c>
      <c r="K626" s="27" t="inlineStr">
        <is>
          <t>https://www.youtube.com/watch?v=gb00622</t>
        </is>
      </c>
      <c r="L626" s="27" t="n">
        <v>10</v>
      </c>
      <c r="M626" s="27" t="n">
        <v>26</v>
      </c>
      <c r="N626" s="27" t="inlineStr">
        <is>
          <t>Affiliate</t>
        </is>
      </c>
      <c r="O626" s="27" t="inlineStr">
        <is>
          <t>https://olivermontgomery.com/resources</t>
        </is>
      </c>
      <c r="P626" s="27" t="inlineStr">
        <is>
          <t>Editing Backlog &amp; Team Workflow Overhead</t>
        </is>
      </c>
      <c r="Q626" s="27" t="inlineStr">
        <is>
          <t>https://olivermontgomery.com/highlights</t>
        </is>
      </c>
      <c r="R626" s="27" t="inlineStr">
        <is>
          <t>X (Twitter)</t>
        </is>
      </c>
      <c r="S626" s="27" t="inlineStr">
        <is>
          <t>https://x.com/olivermontgomery</t>
        </is>
      </c>
      <c r="T626" s="27" t="inlineStr">
        <is>
          <t>https://olivermontgomery.com/links</t>
        </is>
      </c>
      <c r="U626" s="27" t="inlineStr">
        <is>
          <t>LinkedIn</t>
        </is>
      </c>
      <c r="V626" s="27" t="inlineStr">
        <is>
          <t>creator business &amp; monetization frameworks, specifically regarding episode 23 on Creator Business &amp; Monetization workflow optimization</t>
        </is>
      </c>
      <c r="W626" s="27" t="inlineStr">
        <is>
          <t>Hi Oliver, loved your recent piece on 'creator business &amp; monetization frameworks, specifically regarding episode 23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26" s="27" t="inlineStr">
        <is>
          <t>2026-10-18</t>
        </is>
      </c>
      <c r="Y626" s="27" t="inlineStr">
        <is>
          <t>C</t>
        </is>
      </c>
      <c r="Z626" s="27" t="n">
        <v>82.7</v>
      </c>
      <c r="AA626" s="27" t="inlineStr">
        <is>
          <t>Qualified</t>
        </is>
      </c>
      <c r="AB626" s="27" t="inlineStr"/>
      <c r="AC626" s="28">
        <f>IF(A626="","",IF(COUNTIF($H$5:$H$1004,H626)&gt;1,"DUPLICATE","UNIQUE"))</f>
        <v/>
      </c>
      <c r="AD626" s="28">
        <f>IF(A626="","",IF(AA626="Rejected",IF(AB626&lt;&gt;"","REJECTED","ADD REASON"),IF(AND(B626&lt;&gt;"",C626&lt;&gt;"",D626&lt;&gt;"",E626&lt;&gt;"",F626&lt;&gt;"",G626&lt;&gt;"",H626&lt;&gt;"",J626&lt;&gt;"",K626&lt;&gt;"",N626&lt;&gt;"",O626&lt;&gt;"",P626&lt;&gt;"",Q626&lt;&gt;"",R626&lt;&gt;"",S626&lt;&gt;"",T626&lt;&gt;"",V626&lt;&gt;"",W626&lt;&gt;"",X626&lt;&gt;"",Y626&lt;&gt;""),"COMPLETE","MISSING FIELDS")))</f>
        <v/>
      </c>
    </row>
    <row r="627" ht="15" customHeight="1" s="15">
      <c r="A627" s="27" t="inlineStr">
        <is>
          <t>LEAD-0623</t>
        </is>
      </c>
      <c r="B627" s="27" t="inlineStr">
        <is>
          <t>Oliver Barrington</t>
        </is>
      </c>
      <c r="C627" s="27" t="inlineStr">
        <is>
          <t>YouTuber</t>
        </is>
      </c>
      <c r="D627" s="27" t="inlineStr">
        <is>
          <t>GB</t>
        </is>
      </c>
      <c r="E627" s="27" t="inlineStr">
        <is>
          <t>English</t>
        </is>
      </c>
      <c r="F627" s="27" t="inlineStr">
        <is>
          <t>YouTube</t>
        </is>
      </c>
      <c r="G627" s="27" t="inlineStr">
        <is>
          <t>https://www.youtube.com/@oliverbarrington</t>
        </is>
      </c>
      <c r="H627" s="27" t="inlineStr">
        <is>
          <t>UCGB00623672580</t>
        </is>
      </c>
      <c r="I627" s="27" t="inlineStr">
        <is>
          <t>580,000</t>
        </is>
      </c>
      <c r="J627" s="27" t="inlineStr">
        <is>
          <t>2026-10-17</t>
        </is>
      </c>
      <c r="K627" s="27" t="inlineStr">
        <is>
          <t>https://www.youtube.com/watch?v=gb00623</t>
        </is>
      </c>
      <c r="L627" s="27" t="n">
        <v>11</v>
      </c>
      <c r="M627" s="27" t="n">
        <v>27</v>
      </c>
      <c r="N627" s="27" t="inlineStr">
        <is>
          <t>Course</t>
        </is>
      </c>
      <c r="O627" s="27" t="inlineStr">
        <is>
          <t>https://oliverbarrington.com/academy</t>
        </is>
      </c>
      <c r="P627" s="27" t="inlineStr">
        <is>
          <t>Shorts Repurposing Bottleneck</t>
        </is>
      </c>
      <c r="Q627" s="27" t="inlineStr">
        <is>
          <t>https://oliverbarrington.com/highlights</t>
        </is>
      </c>
      <c r="R627" s="27" t="inlineStr">
        <is>
          <t>Email</t>
        </is>
      </c>
      <c r="S627" s="27" t="inlineStr">
        <is>
          <t>hello@oliverbarrington.com</t>
        </is>
      </c>
      <c r="T627" s="27" t="inlineStr">
        <is>
          <t>https://oliverbarrington.com/work-with-me</t>
        </is>
      </c>
      <c r="U627" s="27" t="inlineStr">
        <is>
          <t>LinkedIn</t>
        </is>
      </c>
      <c r="V627" s="27" t="inlineStr">
        <is>
          <t>productivity &amp; personal systems frameworks, specifically regarding episode 24 on Productivity &amp; Personal Systems workflow optimization</t>
        </is>
      </c>
      <c r="W627" s="27" t="inlineStr">
        <is>
          <t>Hi Oliver, loved your recent piece on 'productivity &amp; personal systems frameworks, specifically regarding episode 24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27" s="27" t="inlineStr">
        <is>
          <t>2026-10-18</t>
        </is>
      </c>
      <c r="Y627" s="27" t="inlineStr">
        <is>
          <t>C</t>
        </is>
      </c>
      <c r="Z627" s="27" t="n">
        <v>82.59999999999999</v>
      </c>
      <c r="AA627" s="27" t="inlineStr">
        <is>
          <t>Qualified</t>
        </is>
      </c>
      <c r="AB627" s="27" t="inlineStr"/>
      <c r="AC627" s="28">
        <f>IF(A627="","",IF(COUNTIF($H$5:$H$1004,H627)&gt;1,"DUPLICATE","UNIQUE"))</f>
        <v/>
      </c>
      <c r="AD627" s="28">
        <f>IF(A627="","",IF(AA627="Rejected",IF(AB627&lt;&gt;"","REJECTED","ADD REASON"),IF(AND(B627&lt;&gt;"",C627&lt;&gt;"",D627&lt;&gt;"",E627&lt;&gt;"",F627&lt;&gt;"",G627&lt;&gt;"",H627&lt;&gt;"",J627&lt;&gt;"",K627&lt;&gt;"",N627&lt;&gt;"",O627&lt;&gt;"",P627&lt;&gt;"",Q627&lt;&gt;"",R627&lt;&gt;"",S627&lt;&gt;"",T627&lt;&gt;"",V627&lt;&gt;"",W627&lt;&gt;"",X627&lt;&gt;"",Y627&lt;&gt;""),"COMPLETE","MISSING FIELDS")))</f>
        <v/>
      </c>
    </row>
    <row r="628" ht="15" customHeight="1" s="15">
      <c r="A628" s="27" t="inlineStr">
        <is>
          <t>LEAD-0624</t>
        </is>
      </c>
      <c r="B628" s="27" t="inlineStr">
        <is>
          <t>Oliver Thornton</t>
        </is>
      </c>
      <c r="C628" s="27" t="inlineStr">
        <is>
          <t>Podcaster</t>
        </is>
      </c>
      <c r="D628" s="27" t="inlineStr">
        <is>
          <t>GB</t>
        </is>
      </c>
      <c r="E628" s="27" t="inlineStr">
        <is>
          <t>English</t>
        </is>
      </c>
      <c r="F628" s="27" t="inlineStr">
        <is>
          <t>Apple Podcasts</t>
        </is>
      </c>
      <c r="G628" s="27" t="inlineStr">
        <is>
          <t>https://podcasts.apple.com/gb/podcast/oliverthornton/id1000624</t>
        </is>
      </c>
      <c r="H628" s="27" t="inlineStr">
        <is>
          <t>AP-GB-1000624</t>
        </is>
      </c>
      <c r="I628" s="27" t="inlineStr">
        <is>
          <t>300,000</t>
        </is>
      </c>
      <c r="J628" s="27" t="inlineStr">
        <is>
          <t>2026-10-10</t>
        </is>
      </c>
      <c r="K628" s="27" t="inlineStr">
        <is>
          <t>https://oliverthornton.com/episodes/25</t>
        </is>
      </c>
      <c r="L628" s="27" t="n">
        <v>12</v>
      </c>
      <c r="M628" s="27" t="n">
        <v>28</v>
      </c>
      <c r="N628" s="27" t="inlineStr">
        <is>
          <t>Sponsor</t>
        </is>
      </c>
      <c r="O628" s="27" t="inlineStr">
        <is>
          <t>https://oliverthornton.com/partners</t>
        </is>
      </c>
      <c r="P628" s="27" t="inlineStr">
        <is>
          <t>Inconsistent Cross-Platform Publishing</t>
        </is>
      </c>
      <c r="Q628" s="27" t="inlineStr">
        <is>
          <t>https://oliverthornton.com/highlights</t>
        </is>
      </c>
      <c r="R628" s="27" t="inlineStr">
        <is>
          <t>Email</t>
        </is>
      </c>
      <c r="S628" s="27" t="inlineStr">
        <is>
          <t>contact@oliverthornton.com</t>
        </is>
      </c>
      <c r="T628" s="27" t="inlineStr">
        <is>
          <t>https://oliverthornton.com/contact</t>
        </is>
      </c>
      <c r="U628" s="27" t="inlineStr">
        <is>
          <t>LinkedIn</t>
        </is>
      </c>
      <c r="V628" s="27" t="inlineStr">
        <is>
          <t>leadership &amp; team ops frameworks, specifically regarding episode 25 on Leadership &amp; Team Ops workflow optimization</t>
        </is>
      </c>
      <c r="W628" s="27" t="inlineStr">
        <is>
          <t>Hi Oliver, loved your recent piece on 'leadership &amp; team ops frameworks, specifically regarding episode 25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28" s="27" t="inlineStr">
        <is>
          <t>2026-10-18</t>
        </is>
      </c>
      <c r="Y628" s="27" t="inlineStr">
        <is>
          <t>C</t>
        </is>
      </c>
      <c r="Z628" s="27" t="n">
        <v>82.59999999999999</v>
      </c>
      <c r="AA628" s="27" t="inlineStr">
        <is>
          <t>Qualified</t>
        </is>
      </c>
      <c r="AB628" s="27" t="inlineStr"/>
      <c r="AC628" s="28">
        <f>IF(A628="","",IF(COUNTIF($H$5:$H$1004,H628)&gt;1,"DUPLICATE","UNIQUE"))</f>
        <v/>
      </c>
      <c r="AD628" s="28">
        <f>IF(A628="","",IF(AA628="Rejected",IF(AB628&lt;&gt;"","REJECTED","ADD REASON"),IF(AND(B628&lt;&gt;"",C628&lt;&gt;"",D628&lt;&gt;"",E628&lt;&gt;"",F628&lt;&gt;"",G628&lt;&gt;"",H628&lt;&gt;"",J628&lt;&gt;"",K628&lt;&gt;"",N628&lt;&gt;"",O628&lt;&gt;"",P628&lt;&gt;"",Q628&lt;&gt;"",R628&lt;&gt;"",S628&lt;&gt;"",T628&lt;&gt;"",V628&lt;&gt;"",W628&lt;&gt;"",X628&lt;&gt;"",Y628&lt;&gt;""),"COMPLETE","MISSING FIELDS")))</f>
        <v/>
      </c>
    </row>
    <row r="629" ht="15" customHeight="1" s="15">
      <c r="A629" s="27" t="inlineStr">
        <is>
          <t>LEAD-0625</t>
        </is>
      </c>
      <c r="B629" s="27" t="inlineStr">
        <is>
          <t>Oliver Wellington</t>
        </is>
      </c>
      <c r="C629" s="27" t="inlineStr">
        <is>
          <t>Expert-Led Creator</t>
        </is>
      </c>
      <c r="D629" s="27" t="inlineStr">
        <is>
          <t>GB</t>
        </is>
      </c>
      <c r="E629" s="27" t="inlineStr">
        <is>
          <t>English</t>
        </is>
      </c>
      <c r="F629" s="27" t="inlineStr">
        <is>
          <t>LinkedIn</t>
        </is>
      </c>
      <c r="G629" s="27" t="inlineStr">
        <is>
          <t>https://www.linkedin.com/in/oliverwellington</t>
        </is>
      </c>
      <c r="H629" s="27" t="inlineStr">
        <is>
          <t>LI-oliverwellington-0625</t>
        </is>
      </c>
      <c r="I629" s="27" t="inlineStr">
        <is>
          <t>156,000</t>
        </is>
      </c>
      <c r="J629" s="27" t="inlineStr">
        <is>
          <t>2026-10-11</t>
        </is>
      </c>
      <c r="K629" s="27" t="inlineStr">
        <is>
          <t>https://oliverwellington.com/posts/26</t>
        </is>
      </c>
      <c r="L629" s="27" t="n">
        <v>13</v>
      </c>
      <c r="M629" s="27" t="n">
        <v>29</v>
      </c>
      <c r="N629" s="27" t="inlineStr">
        <is>
          <t>Membership</t>
        </is>
      </c>
      <c r="O629" s="27" t="inlineStr">
        <is>
          <t>https://oliverwellington.com/community</t>
        </is>
      </c>
      <c r="P629" s="27" t="inlineStr">
        <is>
          <t>Editing Backlog &amp; Team Workflow Overhead</t>
        </is>
      </c>
      <c r="Q629" s="27" t="inlineStr">
        <is>
          <t>https://oliverwellington.com/highlights</t>
        </is>
      </c>
      <c r="R629" s="27" t="inlineStr">
        <is>
          <t>LinkedIn</t>
        </is>
      </c>
      <c r="S629" s="27" t="inlineStr">
        <is>
          <t>https://linkedin.com/in/oliverwellington</t>
        </is>
      </c>
      <c r="T629" s="27" t="inlineStr">
        <is>
          <t>https://oliverwellington.com/about</t>
        </is>
      </c>
      <c r="U629" s="27" t="inlineStr">
        <is>
          <t>Email</t>
        </is>
      </c>
      <c r="V629" s="27" t="inlineStr">
        <is>
          <t>b2b marketing &amp; sales frameworks, specifically regarding episode 26 on B2B Marketing &amp; Sales workflow optimization</t>
        </is>
      </c>
      <c r="W629" s="27" t="inlineStr">
        <is>
          <t>Hi Oliver, loved your recent piece on 'b2b marketing &amp; sales frameworks, specifically regarding episode 26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29" s="27" t="inlineStr">
        <is>
          <t>2026-10-18</t>
        </is>
      </c>
      <c r="Y629" s="27" t="inlineStr">
        <is>
          <t>C</t>
        </is>
      </c>
      <c r="Z629" s="27" t="n">
        <v>82.5</v>
      </c>
      <c r="AA629" s="27" t="inlineStr">
        <is>
          <t>Qualified</t>
        </is>
      </c>
      <c r="AB629" s="27" t="inlineStr"/>
      <c r="AC629" s="28">
        <f>IF(A629="","",IF(COUNTIF($H$5:$H$1004,H629)&gt;1,"DUPLICATE","UNIQUE"))</f>
        <v/>
      </c>
      <c r="AD629" s="28">
        <f>IF(A629="","",IF(AA629="Rejected",IF(AB629&lt;&gt;"","REJECTED","ADD REASON"),IF(AND(B629&lt;&gt;"",C629&lt;&gt;"",D629&lt;&gt;"",E629&lt;&gt;"",F629&lt;&gt;"",G629&lt;&gt;"",H629&lt;&gt;"",J629&lt;&gt;"",K629&lt;&gt;"",N629&lt;&gt;"",O629&lt;&gt;"",P629&lt;&gt;"",Q629&lt;&gt;"",R629&lt;&gt;"",S629&lt;&gt;"",T629&lt;&gt;"",V629&lt;&gt;"",W629&lt;&gt;"",X629&lt;&gt;"",Y629&lt;&gt;""),"COMPLETE","MISSING FIELDS")))</f>
        <v/>
      </c>
    </row>
    <row r="630" ht="15" customHeight="1" s="15">
      <c r="A630" s="27" t="inlineStr">
        <is>
          <t>LEAD-0626</t>
        </is>
      </c>
      <c r="B630" s="27" t="inlineStr">
        <is>
          <t>Patrick Ashford</t>
        </is>
      </c>
      <c r="C630" s="27" t="inlineStr">
        <is>
          <t>YouTuber</t>
        </is>
      </c>
      <c r="D630" s="27" t="inlineStr">
        <is>
          <t>GB</t>
        </is>
      </c>
      <c r="E630" s="27" t="inlineStr">
        <is>
          <t>English</t>
        </is>
      </c>
      <c r="F630" s="27" t="inlineStr">
        <is>
          <t>YouTube</t>
        </is>
      </c>
      <c r="G630" s="27" t="inlineStr">
        <is>
          <t>https://www.youtube.com/@patrickashford</t>
        </is>
      </c>
      <c r="H630" s="27" t="inlineStr">
        <is>
          <t>UCGB00626855747</t>
        </is>
      </c>
      <c r="I630" s="27" t="inlineStr">
        <is>
          <t>640,000</t>
        </is>
      </c>
      <c r="J630" s="27" t="inlineStr">
        <is>
          <t>2026-10-12</t>
        </is>
      </c>
      <c r="K630" s="27" t="inlineStr">
        <is>
          <t>https://www.youtube.com/watch?v=gb00626</t>
        </is>
      </c>
      <c r="L630" s="27" t="n">
        <v>14</v>
      </c>
      <c r="M630" s="27" t="n">
        <v>30</v>
      </c>
      <c r="N630" s="27" t="inlineStr">
        <is>
          <t>Product</t>
        </is>
      </c>
      <c r="O630" s="27" t="inlineStr">
        <is>
          <t>https://patrickashford.com/shop</t>
        </is>
      </c>
      <c r="P630" s="27" t="inlineStr">
        <is>
          <t>Multilingual Audio Dubbing</t>
        </is>
      </c>
      <c r="Q630" s="27" t="inlineStr">
        <is>
          <t>https://patrickashford.com/highlights</t>
        </is>
      </c>
      <c r="R630" s="27" t="inlineStr">
        <is>
          <t>X (Twitter)</t>
        </is>
      </c>
      <c r="S630" s="27" t="inlineStr">
        <is>
          <t>https://x.com/patrickashford</t>
        </is>
      </c>
      <c r="T630" s="27" t="inlineStr">
        <is>
          <t>https://patrickashford.com/links</t>
        </is>
      </c>
      <c r="U630" s="27" t="inlineStr">
        <is>
          <t>LinkedIn</t>
        </is>
      </c>
      <c r="V630" s="27" t="inlineStr">
        <is>
          <t>finance &amp; wealth engineering frameworks, specifically regarding episode 27 on Finance &amp; Wealth Engineering workflow optimization</t>
        </is>
      </c>
      <c r="W630" s="27" t="inlineStr">
        <is>
          <t>Hi Patrick,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30" s="27" t="inlineStr">
        <is>
          <t>2026-10-18</t>
        </is>
      </c>
      <c r="Y630" s="27" t="inlineStr">
        <is>
          <t>C</t>
        </is>
      </c>
      <c r="Z630" s="27" t="n">
        <v>82.40000000000001</v>
      </c>
      <c r="AA630" s="27" t="inlineStr">
        <is>
          <t>Qualified</t>
        </is>
      </c>
      <c r="AB630" s="27" t="inlineStr"/>
      <c r="AC630" s="28">
        <f>IF(A630="","",IF(COUNTIF($H$5:$H$1004,H630)&gt;1,"DUPLICATE","UNIQUE"))</f>
        <v/>
      </c>
      <c r="AD630" s="28">
        <f>IF(A630="","",IF(AA630="Rejected",IF(AB630&lt;&gt;"","REJECTED","ADD REASON"),IF(AND(B630&lt;&gt;"",C630&lt;&gt;"",D630&lt;&gt;"",E630&lt;&gt;"",F630&lt;&gt;"",G630&lt;&gt;"",H630&lt;&gt;"",J630&lt;&gt;"",K630&lt;&gt;"",N630&lt;&gt;"",O630&lt;&gt;"",P630&lt;&gt;"",Q630&lt;&gt;"",R630&lt;&gt;"",S630&lt;&gt;"",T630&lt;&gt;"",V630&lt;&gt;"",W630&lt;&gt;"",X630&lt;&gt;"",Y630&lt;&gt;""),"COMPLETE","MISSING FIELDS")))</f>
        <v/>
      </c>
    </row>
    <row r="631" ht="15" customHeight="1" s="15">
      <c r="A631" s="27" t="inlineStr">
        <is>
          <t>LEAD-0627</t>
        </is>
      </c>
      <c r="B631" s="27" t="inlineStr">
        <is>
          <t>Patrick Bancroft</t>
        </is>
      </c>
      <c r="C631" s="27" t="inlineStr">
        <is>
          <t>Podcaster</t>
        </is>
      </c>
      <c r="D631" s="27" t="inlineStr">
        <is>
          <t>GB</t>
        </is>
      </c>
      <c r="E631" s="27" t="inlineStr">
        <is>
          <t>English</t>
        </is>
      </c>
      <c r="F631" s="27" t="inlineStr">
        <is>
          <t>Apple Podcasts</t>
        </is>
      </c>
      <c r="G631" s="27" t="inlineStr">
        <is>
          <t>https://podcasts.apple.com/gb/podcast/patrickbancroft/id1000627</t>
        </is>
      </c>
      <c r="H631" s="27" t="inlineStr">
        <is>
          <t>AP-GB-1000627</t>
        </is>
      </c>
      <c r="I631" s="27" t="inlineStr">
        <is>
          <t>36,000</t>
        </is>
      </c>
      <c r="J631" s="27" t="inlineStr">
        <is>
          <t>2026-10-13</t>
        </is>
      </c>
      <c r="K631" s="27" t="inlineStr">
        <is>
          <t>https://patrickbancroft.com/episodes/28</t>
        </is>
      </c>
      <c r="L631" s="27" t="n">
        <v>15</v>
      </c>
      <c r="M631" s="27" t="n">
        <v>31</v>
      </c>
      <c r="N631" s="27" t="inlineStr">
        <is>
          <t>Consulting</t>
        </is>
      </c>
      <c r="O631" s="27" t="inlineStr">
        <is>
          <t>https://patrickbancroft.com/advisory</t>
        </is>
      </c>
      <c r="P631" s="27" t="inlineStr">
        <is>
          <t>Multilingual Audio Dubbing</t>
        </is>
      </c>
      <c r="Q631" s="27" t="inlineStr">
        <is>
          <t>https://patrickbancroft.com/highlights</t>
        </is>
      </c>
      <c r="R631" s="27" t="inlineStr">
        <is>
          <t>Email</t>
        </is>
      </c>
      <c r="S631" s="27" t="inlineStr">
        <is>
          <t>hello@patrickbancroft.com</t>
        </is>
      </c>
      <c r="T631" s="27" t="inlineStr">
        <is>
          <t>https://patrickbancroft.com/work-with-me</t>
        </is>
      </c>
      <c r="U631" s="27" t="inlineStr">
        <is>
          <t>LinkedIn</t>
        </is>
      </c>
      <c r="V631" s="27" t="inlineStr">
        <is>
          <t>health &amp; longevity science frameworks, specifically regarding episode 28 on Health &amp; Longevity Science workflow optimization</t>
        </is>
      </c>
      <c r="W631" s="27" t="inlineStr">
        <is>
          <t>Hi Patrick,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31" s="27" t="inlineStr">
        <is>
          <t>2026-10-18</t>
        </is>
      </c>
      <c r="Y631" s="27" t="inlineStr">
        <is>
          <t>C</t>
        </is>
      </c>
      <c r="Z631" s="27" t="n">
        <v>82.40000000000001</v>
      </c>
      <c r="AA631" s="27" t="inlineStr">
        <is>
          <t>Qualified</t>
        </is>
      </c>
      <c r="AB631" s="27" t="inlineStr"/>
      <c r="AC631" s="28">
        <f>IF(A631="","",IF(COUNTIF($H$5:$H$1004,H631)&gt;1,"DUPLICATE","UNIQUE"))</f>
        <v/>
      </c>
      <c r="AD631" s="28">
        <f>IF(A631="","",IF(AA631="Rejected",IF(AB631&lt;&gt;"","REJECTED","ADD REASON"),IF(AND(B631&lt;&gt;"",C631&lt;&gt;"",D631&lt;&gt;"",E631&lt;&gt;"",F631&lt;&gt;"",G631&lt;&gt;"",H631&lt;&gt;"",J631&lt;&gt;"",K631&lt;&gt;"",N631&lt;&gt;"",O631&lt;&gt;"",P631&lt;&gt;"",Q631&lt;&gt;"",R631&lt;&gt;"",S631&lt;&gt;"",T631&lt;&gt;"",V631&lt;&gt;"",W631&lt;&gt;"",X631&lt;&gt;"",Y631&lt;&gt;""),"COMPLETE","MISSING FIELDS")))</f>
        <v/>
      </c>
    </row>
    <row r="632" ht="15" customHeight="1" s="15">
      <c r="A632" s="27" t="inlineStr">
        <is>
          <t>LEAD-0628</t>
        </is>
      </c>
      <c r="B632" s="27" t="inlineStr">
        <is>
          <t>Patrick Calloway</t>
        </is>
      </c>
      <c r="C632" s="27" t="inlineStr">
        <is>
          <t>YouTuber</t>
        </is>
      </c>
      <c r="D632" s="27" t="inlineStr">
        <is>
          <t>GB</t>
        </is>
      </c>
      <c r="E632" s="27" t="inlineStr">
        <is>
          <t>English</t>
        </is>
      </c>
      <c r="F632" s="27" t="inlineStr">
        <is>
          <t>YouTube</t>
        </is>
      </c>
      <c r="G632" s="27" t="inlineStr">
        <is>
          <t>https://www.youtube.com/@patrickcalloway</t>
        </is>
      </c>
      <c r="H632" s="27" t="inlineStr">
        <is>
          <t>UCGB00628554770</t>
        </is>
      </c>
      <c r="I632" s="27" t="inlineStr">
        <is>
          <t>680,000</t>
        </is>
      </c>
      <c r="J632" s="27" t="inlineStr">
        <is>
          <t>2026-10-14</t>
        </is>
      </c>
      <c r="K632" s="27" t="inlineStr">
        <is>
          <t>https://www.youtube.com/watch?v=gb00628</t>
        </is>
      </c>
      <c r="L632" s="27" t="n">
        <v>16</v>
      </c>
      <c r="M632" s="27" t="n">
        <v>32</v>
      </c>
      <c r="N632" s="27" t="inlineStr">
        <is>
          <t>Newsletter Subscription</t>
        </is>
      </c>
      <c r="O632" s="27" t="inlineStr">
        <is>
          <t>https://patrickcalloway.com/subscribe</t>
        </is>
      </c>
      <c r="P632" s="27" t="inlineStr">
        <is>
          <t>Missing Video Captions &amp; Retention Clips</t>
        </is>
      </c>
      <c r="Q632" s="27" t="inlineStr">
        <is>
          <t>https://patrickcalloway.com/highlights</t>
        </is>
      </c>
      <c r="R632" s="27" t="inlineStr">
        <is>
          <t>Email</t>
        </is>
      </c>
      <c r="S632" s="27" t="inlineStr">
        <is>
          <t>contact@patrickcalloway.com</t>
        </is>
      </c>
      <c r="T632" s="27" t="inlineStr">
        <is>
          <t>https://patrickcalloway.com/contact</t>
        </is>
      </c>
      <c r="U632" s="27" t="inlineStr">
        <is>
          <t>LinkedIn</t>
        </is>
      </c>
      <c r="V632" s="27" t="inlineStr">
        <is>
          <t>education &amp; applied coding frameworks, specifically regarding episode 29 on Education &amp; Applied Coding workflow optimization</t>
        </is>
      </c>
      <c r="W632" s="27" t="inlineStr">
        <is>
          <t>Hi Patrick,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32" s="27" t="inlineStr">
        <is>
          <t>2026-10-18</t>
        </is>
      </c>
      <c r="Y632" s="27" t="inlineStr">
        <is>
          <t>C</t>
        </is>
      </c>
      <c r="Z632" s="27" t="n">
        <v>82.3</v>
      </c>
      <c r="AA632" s="27" t="inlineStr">
        <is>
          <t>Qualified</t>
        </is>
      </c>
      <c r="AB632" s="27" t="inlineStr"/>
      <c r="AC632" s="28">
        <f>IF(A632="","",IF(COUNTIF($H$5:$H$1004,H632)&gt;1,"DUPLICATE","UNIQUE"))</f>
        <v/>
      </c>
      <c r="AD632" s="28">
        <f>IF(A632="","",IF(AA632="Rejected",IF(AB632&lt;&gt;"","REJECTED","ADD REASON"),IF(AND(B632&lt;&gt;"",C632&lt;&gt;"",D632&lt;&gt;"",E632&lt;&gt;"",F632&lt;&gt;"",G632&lt;&gt;"",H632&lt;&gt;"",J632&lt;&gt;"",K632&lt;&gt;"",N632&lt;&gt;"",O632&lt;&gt;"",P632&lt;&gt;"",Q632&lt;&gt;"",R632&lt;&gt;"",S632&lt;&gt;"",T632&lt;&gt;"",V632&lt;&gt;"",W632&lt;&gt;"",X632&lt;&gt;"",Y632&lt;&gt;""),"COMPLETE","MISSING FIELDS")))</f>
        <v/>
      </c>
    </row>
    <row r="633" ht="15" customHeight="1" s="15">
      <c r="A633" s="27" t="inlineStr">
        <is>
          <t>LEAD-0629</t>
        </is>
      </c>
      <c r="B633" s="27" t="inlineStr">
        <is>
          <t>Patrick Delaney</t>
        </is>
      </c>
      <c r="C633" s="27" t="inlineStr">
        <is>
          <t>Podcaster</t>
        </is>
      </c>
      <c r="D633" s="27" t="inlineStr">
        <is>
          <t>GB</t>
        </is>
      </c>
      <c r="E633" s="27" t="inlineStr">
        <is>
          <t>English</t>
        </is>
      </c>
      <c r="F633" s="27" t="inlineStr">
        <is>
          <t>Apple Podcasts</t>
        </is>
      </c>
      <c r="G633" s="27" t="inlineStr">
        <is>
          <t>https://podcasts.apple.com/gb/podcast/patrickdelaney/id1000629</t>
        </is>
      </c>
      <c r="H633" s="27" t="inlineStr">
        <is>
          <t>AP-GB-1000629</t>
        </is>
      </c>
      <c r="I633" s="27" t="inlineStr">
        <is>
          <t>60,000</t>
        </is>
      </c>
      <c r="J633" s="27" t="inlineStr">
        <is>
          <t>2026-10-15</t>
        </is>
      </c>
      <c r="K633" s="27" t="inlineStr">
        <is>
          <t>https://patrickdelaney.com/episodes/30</t>
        </is>
      </c>
      <c r="L633" s="27" t="n">
        <v>17</v>
      </c>
      <c r="M633" s="27" t="n">
        <v>33</v>
      </c>
      <c r="N633" s="27" t="inlineStr">
        <is>
          <t>Affiliate</t>
        </is>
      </c>
      <c r="O633" s="27" t="inlineStr">
        <is>
          <t>https://patrickdelaney.com/resources</t>
        </is>
      </c>
      <c r="P633" s="27" t="inlineStr">
        <is>
          <t>Shorts Repurposing Bottleneck</t>
        </is>
      </c>
      <c r="Q633" s="27" t="inlineStr">
        <is>
          <t>https://patrickdelaney.com/highlights</t>
        </is>
      </c>
      <c r="R633" s="27" t="inlineStr">
        <is>
          <t>LinkedIn</t>
        </is>
      </c>
      <c r="S633" s="27" t="inlineStr">
        <is>
          <t>https://linkedin.com/in/patrickdelaney</t>
        </is>
      </c>
      <c r="T633" s="27" t="inlineStr">
        <is>
          <t>https://patrickdelaney.com/about</t>
        </is>
      </c>
      <c r="U633" s="27" t="inlineStr">
        <is>
          <t>Email</t>
        </is>
      </c>
      <c r="V633" s="27" t="inlineStr">
        <is>
          <t>e-commerce &amp; digital brands frameworks, specifically regarding episode 30 on E-Commerce &amp; Digital Brands workflow optimization</t>
        </is>
      </c>
      <c r="W633" s="27" t="inlineStr">
        <is>
          <t>Hi Patrick,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33" s="27" t="inlineStr">
        <is>
          <t>2026-10-18</t>
        </is>
      </c>
      <c r="Y633" s="27" t="inlineStr">
        <is>
          <t>C</t>
        </is>
      </c>
      <c r="Z633" s="27" t="n">
        <v>82.3</v>
      </c>
      <c r="AA633" s="27" t="inlineStr">
        <is>
          <t>Qualified</t>
        </is>
      </c>
      <c r="AB633" s="27" t="inlineStr"/>
      <c r="AC633" s="28">
        <f>IF(A633="","",IF(COUNTIF($H$5:$H$1004,H633)&gt;1,"DUPLICATE","UNIQUE"))</f>
        <v/>
      </c>
      <c r="AD633" s="28">
        <f>IF(A633="","",IF(AA633="Rejected",IF(AB633&lt;&gt;"","REJECTED","ADD REASON"),IF(AND(B633&lt;&gt;"",C633&lt;&gt;"",D633&lt;&gt;"",E633&lt;&gt;"",F633&lt;&gt;"",G633&lt;&gt;"",H633&lt;&gt;"",J633&lt;&gt;"",K633&lt;&gt;"",N633&lt;&gt;"",O633&lt;&gt;"",P633&lt;&gt;"",Q633&lt;&gt;"",R633&lt;&gt;"",S633&lt;&gt;"",T633&lt;&gt;"",V633&lt;&gt;"",W633&lt;&gt;"",X633&lt;&gt;"",Y633&lt;&gt;""),"COMPLETE","MISSING FIELDS")))</f>
        <v/>
      </c>
    </row>
    <row r="634" ht="15" customHeight="1" s="15">
      <c r="A634" s="27" t="inlineStr">
        <is>
          <t>LEAD-0630</t>
        </is>
      </c>
      <c r="B634" s="27" t="inlineStr">
        <is>
          <t>Patrick Eastwood</t>
        </is>
      </c>
      <c r="C634" s="27" t="inlineStr">
        <is>
          <t>YouTuber</t>
        </is>
      </c>
      <c r="D634" s="27" t="inlineStr">
        <is>
          <t>GB</t>
        </is>
      </c>
      <c r="E634" s="27" t="inlineStr">
        <is>
          <t>English</t>
        </is>
      </c>
      <c r="F634" s="27" t="inlineStr">
        <is>
          <t>YouTube</t>
        </is>
      </c>
      <c r="G634" s="27" t="inlineStr">
        <is>
          <t>https://www.youtube.com/@patrickeastwood</t>
        </is>
      </c>
      <c r="H634" s="27" t="inlineStr">
        <is>
          <t>UCGB00630963883</t>
        </is>
      </c>
      <c r="I634" s="27" t="inlineStr">
        <is>
          <t>20,000</t>
        </is>
      </c>
      <c r="J634" s="27" t="inlineStr">
        <is>
          <t>2026-10-16</t>
        </is>
      </c>
      <c r="K634" s="27" t="inlineStr">
        <is>
          <t>https://www.youtube.com/watch?v=gb00630</t>
        </is>
      </c>
      <c r="L634" s="27" t="n">
        <v>8</v>
      </c>
      <c r="M634" s="27" t="n">
        <v>16</v>
      </c>
      <c r="N634" s="27" t="inlineStr">
        <is>
          <t>Course</t>
        </is>
      </c>
      <c r="O634" s="27" t="inlineStr">
        <is>
          <t>https://patrickeastwood.com/academy</t>
        </is>
      </c>
      <c r="P634" s="27" t="inlineStr">
        <is>
          <t>Shorts Repurposing Bottleneck</t>
        </is>
      </c>
      <c r="Q634" s="27" t="inlineStr">
        <is>
          <t>https://patrickeastwood.com/highlights</t>
        </is>
      </c>
      <c r="R634" s="27" t="inlineStr">
        <is>
          <t>X (Twitter)</t>
        </is>
      </c>
      <c r="S634" s="27" t="inlineStr">
        <is>
          <t>https://x.com/patrickeastwood</t>
        </is>
      </c>
      <c r="T634" s="27" t="inlineStr">
        <is>
          <t>https://patrickeastwood.com/links</t>
        </is>
      </c>
      <c r="U634" s="27" t="inlineStr">
        <is>
          <t>LinkedIn</t>
        </is>
      </c>
      <c r="V634" s="27" t="inlineStr">
        <is>
          <t>tech &amp; ai frameworks, specifically regarding episode 31 on Tech &amp; AI workflow optimization</t>
        </is>
      </c>
      <c r="W634" s="27" t="inlineStr">
        <is>
          <t>Hi Patrick,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34" s="27" t="inlineStr">
        <is>
          <t>2026-10-18</t>
        </is>
      </c>
      <c r="Y634" s="27" t="inlineStr">
        <is>
          <t>C</t>
        </is>
      </c>
      <c r="Z634" s="27" t="n">
        <v>82.2</v>
      </c>
      <c r="AA634" s="27" t="inlineStr">
        <is>
          <t>Qualified</t>
        </is>
      </c>
      <c r="AB634" s="27" t="inlineStr"/>
      <c r="AC634" s="28">
        <f>IF(A634="","",IF(COUNTIF($H$5:$H$1004,H634)&gt;1,"DUPLICATE","UNIQUE"))</f>
        <v/>
      </c>
      <c r="AD634" s="28">
        <f>IF(A634="","",IF(AA634="Rejected",IF(AB634&lt;&gt;"","REJECTED","ADD REASON"),IF(AND(B634&lt;&gt;"",C634&lt;&gt;"",D634&lt;&gt;"",E634&lt;&gt;"",F634&lt;&gt;"",G634&lt;&gt;"",H634&lt;&gt;"",J634&lt;&gt;"",K634&lt;&gt;"",N634&lt;&gt;"",O634&lt;&gt;"",P634&lt;&gt;"",Q634&lt;&gt;"",R634&lt;&gt;"",S634&lt;&gt;"",T634&lt;&gt;"",V634&lt;&gt;"",W634&lt;&gt;"",X634&lt;&gt;"",Y634&lt;&gt;""),"COMPLETE","MISSING FIELDS")))</f>
        <v/>
      </c>
    </row>
    <row r="635" ht="15" customHeight="1" s="15">
      <c r="A635" s="27" t="inlineStr">
        <is>
          <t>LEAD-0631</t>
        </is>
      </c>
      <c r="B635" s="27" t="inlineStr">
        <is>
          <t>Patrick Fairchild</t>
        </is>
      </c>
      <c r="C635" s="27" t="inlineStr">
        <is>
          <t>Podcaster</t>
        </is>
      </c>
      <c r="D635" s="27" t="inlineStr">
        <is>
          <t>GB</t>
        </is>
      </c>
      <c r="E635" s="27" t="inlineStr">
        <is>
          <t>English</t>
        </is>
      </c>
      <c r="F635" s="27" t="inlineStr">
        <is>
          <t>Apple Podcasts</t>
        </is>
      </c>
      <c r="G635" s="27" t="inlineStr">
        <is>
          <t>https://podcasts.apple.com/gb/podcast/patrickfairchild/id1000631</t>
        </is>
      </c>
      <c r="H635" s="27" t="inlineStr">
        <is>
          <t>AP-GB-1000631</t>
        </is>
      </c>
      <c r="I635" s="27" t="inlineStr">
        <is>
          <t>84,000</t>
        </is>
      </c>
      <c r="J635" s="27" t="inlineStr">
        <is>
          <t>2026-10-17</t>
        </is>
      </c>
      <c r="K635" s="27" t="inlineStr">
        <is>
          <t>https://patrickfairchild.com/episodes/32</t>
        </is>
      </c>
      <c r="L635" s="27" t="n">
        <v>9</v>
      </c>
      <c r="M635" s="27" t="n">
        <v>17</v>
      </c>
      <c r="N635" s="27" t="inlineStr">
        <is>
          <t>Sponsor</t>
        </is>
      </c>
      <c r="O635" s="27" t="inlineStr">
        <is>
          <t>https://patrickfairchild.com/partners</t>
        </is>
      </c>
      <c r="P635" s="27" t="inlineStr">
        <is>
          <t>Missing Video Captions &amp; Retention Clips</t>
        </is>
      </c>
      <c r="Q635" s="27" t="inlineStr">
        <is>
          <t>https://patrickfairchild.com/highlights</t>
        </is>
      </c>
      <c r="R635" s="27" t="inlineStr">
        <is>
          <t>Email</t>
        </is>
      </c>
      <c r="S635" s="27" t="inlineStr">
        <is>
          <t>hello@patrickfairchild.com</t>
        </is>
      </c>
      <c r="T635" s="27" t="inlineStr">
        <is>
          <t>https://patrickfairchild.com/work-with-me</t>
        </is>
      </c>
      <c r="U635" s="27" t="inlineStr">
        <is>
          <t>LinkedIn</t>
        </is>
      </c>
      <c r="V635" s="27" t="inlineStr">
        <is>
          <t>saas &amp; product growth frameworks, specifically regarding episode 32 on SaaS &amp; Product Growth workflow optimization</t>
        </is>
      </c>
      <c r="W635" s="27" t="inlineStr">
        <is>
          <t>Hi Patrick,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35" s="27" t="inlineStr">
        <is>
          <t>2026-10-18</t>
        </is>
      </c>
      <c r="Y635" s="27" t="inlineStr">
        <is>
          <t>C</t>
        </is>
      </c>
      <c r="Z635" s="27" t="n">
        <v>82.09999999999999</v>
      </c>
      <c r="AA635" s="27" t="inlineStr">
        <is>
          <t>Qualified</t>
        </is>
      </c>
      <c r="AB635" s="27" t="inlineStr"/>
      <c r="AC635" s="28">
        <f>IF(A635="","",IF(COUNTIF($H$5:$H$1004,H635)&gt;1,"DUPLICATE","UNIQUE"))</f>
        <v/>
      </c>
      <c r="AD635" s="28">
        <f>IF(A635="","",IF(AA635="Rejected",IF(AB635&lt;&gt;"","REJECTED","ADD REASON"),IF(AND(B635&lt;&gt;"",C635&lt;&gt;"",D635&lt;&gt;"",E635&lt;&gt;"",F635&lt;&gt;"",G635&lt;&gt;"",H635&lt;&gt;"",J635&lt;&gt;"",K635&lt;&gt;"",N635&lt;&gt;"",O635&lt;&gt;"",P635&lt;&gt;"",Q635&lt;&gt;"",R635&lt;&gt;"",S635&lt;&gt;"",T635&lt;&gt;"",V635&lt;&gt;"",W635&lt;&gt;"",X635&lt;&gt;"",Y635&lt;&gt;""),"COMPLETE","MISSING FIELDS")))</f>
        <v/>
      </c>
    </row>
    <row r="636" ht="15" customHeight="1" s="15">
      <c r="A636" s="27" t="inlineStr">
        <is>
          <t>LEAD-0632</t>
        </is>
      </c>
      <c r="B636" s="27" t="inlineStr">
        <is>
          <t>Patrick Gallagher</t>
        </is>
      </c>
      <c r="C636" s="27" t="inlineStr">
        <is>
          <t>Expert-Led Creator</t>
        </is>
      </c>
      <c r="D636" s="27" t="inlineStr">
        <is>
          <t>GB</t>
        </is>
      </c>
      <c r="E636" s="27" t="inlineStr">
        <is>
          <t>English</t>
        </is>
      </c>
      <c r="F636" s="27" t="inlineStr">
        <is>
          <t>YouTube</t>
        </is>
      </c>
      <c r="G636" s="27" t="inlineStr">
        <is>
          <t>https://www.youtube.com/@patrickgallagher</t>
        </is>
      </c>
      <c r="H636" s="27" t="inlineStr">
        <is>
          <t>UCGB00632748021</t>
        </is>
      </c>
      <c r="I636" s="27" t="inlineStr">
        <is>
          <t>60,000</t>
        </is>
      </c>
      <c r="J636" s="27" t="inlineStr">
        <is>
          <t>2026-10-10</t>
        </is>
      </c>
      <c r="K636" s="27" t="inlineStr">
        <is>
          <t>https://www.youtube.com/watch?v=gb00632</t>
        </is>
      </c>
      <c r="L636" s="27" t="n">
        <v>10</v>
      </c>
      <c r="M636" s="27" t="n">
        <v>18</v>
      </c>
      <c r="N636" s="27" t="inlineStr">
        <is>
          <t>Membership</t>
        </is>
      </c>
      <c r="O636" s="27" t="inlineStr">
        <is>
          <t>https://patrickgallagher.com/community</t>
        </is>
      </c>
      <c r="P636" s="27" t="inlineStr">
        <is>
          <t>Editing Backlog &amp; Team Workflow Overhead</t>
        </is>
      </c>
      <c r="Q636" s="27" t="inlineStr">
        <is>
          <t>https://patrickgallagher.com/highlights</t>
        </is>
      </c>
      <c r="R636" s="27" t="inlineStr">
        <is>
          <t>Email</t>
        </is>
      </c>
      <c r="S636" s="27" t="inlineStr">
        <is>
          <t>contact@patrickgallagher.com</t>
        </is>
      </c>
      <c r="T636" s="27" t="inlineStr">
        <is>
          <t>https://patrickgallagher.com/contact</t>
        </is>
      </c>
      <c r="U636" s="27" t="inlineStr">
        <is>
          <t>LinkedIn</t>
        </is>
      </c>
      <c r="V636" s="27" t="inlineStr">
        <is>
          <t>creator business &amp; monetization frameworks, specifically regarding episode 33 on Creator Business &amp; Monetization workflow optimization</t>
        </is>
      </c>
      <c r="W636" s="27" t="inlineStr">
        <is>
          <t>Hi Patrick,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36" s="27" t="inlineStr">
        <is>
          <t>2026-10-18</t>
        </is>
      </c>
      <c r="Y636" s="27" t="inlineStr">
        <is>
          <t>C</t>
        </is>
      </c>
      <c r="Z636" s="27" t="n">
        <v>82.09999999999999</v>
      </c>
      <c r="AA636" s="27" t="inlineStr">
        <is>
          <t>Qualified</t>
        </is>
      </c>
      <c r="AB636" s="27" t="inlineStr"/>
      <c r="AC636" s="28">
        <f>IF(A636="","",IF(COUNTIF($H$5:$H$1004,H636)&gt;1,"DUPLICATE","UNIQUE"))</f>
        <v/>
      </c>
      <c r="AD636" s="28">
        <f>IF(A636="","",IF(AA636="Rejected",IF(AB636&lt;&gt;"","REJECTED","ADD REASON"),IF(AND(B636&lt;&gt;"",C636&lt;&gt;"",D636&lt;&gt;"",E636&lt;&gt;"",F636&lt;&gt;"",G636&lt;&gt;"",H636&lt;&gt;"",J636&lt;&gt;"",K636&lt;&gt;"",N636&lt;&gt;"",O636&lt;&gt;"",P636&lt;&gt;"",Q636&lt;&gt;"",R636&lt;&gt;"",S636&lt;&gt;"",T636&lt;&gt;"",V636&lt;&gt;"",W636&lt;&gt;"",X636&lt;&gt;"",Y636&lt;&gt;""),"COMPLETE","MISSING FIELDS")))</f>
        <v/>
      </c>
    </row>
    <row r="637" ht="15" customHeight="1" s="15">
      <c r="A637" s="27" t="inlineStr">
        <is>
          <t>LEAD-0633</t>
        </is>
      </c>
      <c r="B637" s="27" t="inlineStr">
        <is>
          <t>Patrick Hawthorne</t>
        </is>
      </c>
      <c r="C637" s="27" t="inlineStr">
        <is>
          <t>YouTuber</t>
        </is>
      </c>
      <c r="D637" s="27" t="inlineStr">
        <is>
          <t>GB</t>
        </is>
      </c>
      <c r="E637" s="27" t="inlineStr">
        <is>
          <t>English</t>
        </is>
      </c>
      <c r="F637" s="27" t="inlineStr">
        <is>
          <t>YouTube</t>
        </is>
      </c>
      <c r="G637" s="27" t="inlineStr">
        <is>
          <t>https://www.youtube.com/@patrickhawthorne</t>
        </is>
      </c>
      <c r="H637" s="27" t="inlineStr">
        <is>
          <t>UCGB00633300225</t>
        </is>
      </c>
      <c r="I637" s="27" t="inlineStr">
        <is>
          <t>80,000</t>
        </is>
      </c>
      <c r="J637" s="27" t="inlineStr">
        <is>
          <t>2026-10-11</t>
        </is>
      </c>
      <c r="K637" s="27" t="inlineStr">
        <is>
          <t>https://www.youtube.com/watch?v=gb00633</t>
        </is>
      </c>
      <c r="L637" s="27" t="n">
        <v>11</v>
      </c>
      <c r="M637" s="27" t="n">
        <v>19</v>
      </c>
      <c r="N637" s="27" t="inlineStr">
        <is>
          <t>Product</t>
        </is>
      </c>
      <c r="O637" s="27" t="inlineStr">
        <is>
          <t>https://patrickhawthorne.com/shop</t>
        </is>
      </c>
      <c r="P637" s="27" t="inlineStr">
        <is>
          <t>Shorts Repurposing Bottleneck</t>
        </is>
      </c>
      <c r="Q637" s="27" t="inlineStr">
        <is>
          <t>https://patrickhawthorne.com/highlights</t>
        </is>
      </c>
      <c r="R637" s="27" t="inlineStr">
        <is>
          <t>LinkedIn</t>
        </is>
      </c>
      <c r="S637" s="27" t="inlineStr">
        <is>
          <t>https://linkedin.com/in/patrickhawthorne</t>
        </is>
      </c>
      <c r="T637" s="27" t="inlineStr">
        <is>
          <t>https://patrickhawthorne.com/about</t>
        </is>
      </c>
      <c r="U637" s="27" t="inlineStr">
        <is>
          <t>Email</t>
        </is>
      </c>
      <c r="V637" s="27" t="inlineStr">
        <is>
          <t>productivity &amp; personal systems frameworks, specifically regarding episode 34 on Productivity &amp; Personal Systems workflow optimization</t>
        </is>
      </c>
      <c r="W637" s="27" t="inlineStr">
        <is>
          <t>Hi Patrick,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37" s="27" t="inlineStr">
        <is>
          <t>2026-10-18</t>
        </is>
      </c>
      <c r="Y637" s="27" t="inlineStr">
        <is>
          <t>C</t>
        </is>
      </c>
      <c r="Z637" s="27" t="n">
        <v>82</v>
      </c>
      <c r="AA637" s="27" t="inlineStr">
        <is>
          <t>Qualified</t>
        </is>
      </c>
      <c r="AB637" s="27" t="inlineStr"/>
      <c r="AC637" s="28">
        <f>IF(A637="","",IF(COUNTIF($H$5:$H$1004,H637)&gt;1,"DUPLICATE","UNIQUE"))</f>
        <v/>
      </c>
      <c r="AD637" s="28">
        <f>IF(A637="","",IF(AA637="Rejected",IF(AB637&lt;&gt;"","REJECTED","ADD REASON"),IF(AND(B637&lt;&gt;"",C637&lt;&gt;"",D637&lt;&gt;"",E637&lt;&gt;"",F637&lt;&gt;"",G637&lt;&gt;"",H637&lt;&gt;"",J637&lt;&gt;"",K637&lt;&gt;"",N637&lt;&gt;"",O637&lt;&gt;"",P637&lt;&gt;"",Q637&lt;&gt;"",R637&lt;&gt;"",S637&lt;&gt;"",T637&lt;&gt;"",V637&lt;&gt;"",W637&lt;&gt;"",X637&lt;&gt;"",Y637&lt;&gt;""),"COMPLETE","MISSING FIELDS")))</f>
        <v/>
      </c>
    </row>
    <row r="638" ht="15" customHeight="1" s="15">
      <c r="A638" s="27" t="inlineStr">
        <is>
          <t>LEAD-0634</t>
        </is>
      </c>
      <c r="B638" s="27" t="inlineStr">
        <is>
          <t>Patrick Ingram</t>
        </is>
      </c>
      <c r="C638" s="27" t="inlineStr">
        <is>
          <t>Podcaster</t>
        </is>
      </c>
      <c r="D638" s="27" t="inlineStr">
        <is>
          <t>GB</t>
        </is>
      </c>
      <c r="E638" s="27" t="inlineStr">
        <is>
          <t>English</t>
        </is>
      </c>
      <c r="F638" s="27" t="inlineStr">
        <is>
          <t>Apple Podcasts</t>
        </is>
      </c>
      <c r="G638" s="27" t="inlineStr">
        <is>
          <t>https://podcasts.apple.com/gb/podcast/patrickingram/id1000634</t>
        </is>
      </c>
      <c r="H638" s="27" t="inlineStr">
        <is>
          <t>AP-GB-1000634</t>
        </is>
      </c>
      <c r="I638" s="27" t="inlineStr">
        <is>
          <t>120,000</t>
        </is>
      </c>
      <c r="J638" s="27" t="inlineStr">
        <is>
          <t>2026-10-12</t>
        </is>
      </c>
      <c r="K638" s="27" t="inlineStr">
        <is>
          <t>https://patrickingram.com/episodes/35</t>
        </is>
      </c>
      <c r="L638" s="27" t="n">
        <v>12</v>
      </c>
      <c r="M638" s="27" t="n">
        <v>20</v>
      </c>
      <c r="N638" s="27" t="inlineStr">
        <is>
          <t>Consulting</t>
        </is>
      </c>
      <c r="O638" s="27" t="inlineStr">
        <is>
          <t>https://patrickingram.com/advisory</t>
        </is>
      </c>
      <c r="P638" s="27" t="inlineStr">
        <is>
          <t>Inconsistent Cross-Platform Publishing</t>
        </is>
      </c>
      <c r="Q638" s="27" t="inlineStr">
        <is>
          <t>https://patrickingram.com/highlights</t>
        </is>
      </c>
      <c r="R638" s="27" t="inlineStr">
        <is>
          <t>X (Twitter)</t>
        </is>
      </c>
      <c r="S638" s="27" t="inlineStr">
        <is>
          <t>https://x.com/patrickingram</t>
        </is>
      </c>
      <c r="T638" s="27" t="inlineStr">
        <is>
          <t>https://patrickingram.com/links</t>
        </is>
      </c>
      <c r="U638" s="27" t="inlineStr">
        <is>
          <t>LinkedIn</t>
        </is>
      </c>
      <c r="V638" s="27" t="inlineStr">
        <is>
          <t>leadership &amp; team ops frameworks, specifically regarding episode 35 on Leadership &amp; Team Ops workflow optimization</t>
        </is>
      </c>
      <c r="W638" s="27" t="inlineStr">
        <is>
          <t>Hi Patrick,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38" s="27" t="inlineStr">
        <is>
          <t>2026-10-18</t>
        </is>
      </c>
      <c r="Y638" s="27" t="inlineStr">
        <is>
          <t>C</t>
        </is>
      </c>
      <c r="Z638" s="27" t="n">
        <v>82</v>
      </c>
      <c r="AA638" s="27" t="inlineStr">
        <is>
          <t>Qualified</t>
        </is>
      </c>
      <c r="AB638" s="27" t="inlineStr"/>
      <c r="AC638" s="28">
        <f>IF(A638="","",IF(COUNTIF($H$5:$H$1004,H638)&gt;1,"DUPLICATE","UNIQUE"))</f>
        <v/>
      </c>
      <c r="AD638" s="28">
        <f>IF(A638="","",IF(AA638="Rejected",IF(AB638&lt;&gt;"","REJECTED","ADD REASON"),IF(AND(B638&lt;&gt;"",C638&lt;&gt;"",D638&lt;&gt;"",E638&lt;&gt;"",F638&lt;&gt;"",G638&lt;&gt;"",H638&lt;&gt;"",J638&lt;&gt;"",K638&lt;&gt;"",N638&lt;&gt;"",O638&lt;&gt;"",P638&lt;&gt;"",Q638&lt;&gt;"",R638&lt;&gt;"",S638&lt;&gt;"",T638&lt;&gt;"",V638&lt;&gt;"",W638&lt;&gt;"",X638&lt;&gt;"",Y638&lt;&gt;""),"COMPLETE","MISSING FIELDS")))</f>
        <v/>
      </c>
    </row>
    <row r="639" ht="15" customHeight="1" s="15">
      <c r="A639" s="27" t="inlineStr">
        <is>
          <t>LEAD-0635</t>
        </is>
      </c>
      <c r="B639" s="27" t="inlineStr">
        <is>
          <t>Patrick Jennings</t>
        </is>
      </c>
      <c r="C639" s="27" t="inlineStr">
        <is>
          <t>Expert-Led Creator</t>
        </is>
      </c>
      <c r="D639" s="27" t="inlineStr">
        <is>
          <t>GB</t>
        </is>
      </c>
      <c r="E639" s="27" t="inlineStr">
        <is>
          <t>English</t>
        </is>
      </c>
      <c r="F639" s="27" t="inlineStr">
        <is>
          <t>LinkedIn</t>
        </is>
      </c>
      <c r="G639" s="27" t="inlineStr">
        <is>
          <t>https://www.linkedin.com/in/patrickjennings</t>
        </is>
      </c>
      <c r="H639" s="27" t="inlineStr">
        <is>
          <t>LI-patrickjennings-0635</t>
        </is>
      </c>
      <c r="I639" s="27" t="inlineStr">
        <is>
          <t>36,000</t>
        </is>
      </c>
      <c r="J639" s="27" t="inlineStr">
        <is>
          <t>2026-10-13</t>
        </is>
      </c>
      <c r="K639" s="27" t="inlineStr">
        <is>
          <t>https://patrickjennings.com/posts/36</t>
        </is>
      </c>
      <c r="L639" s="27" t="n">
        <v>13</v>
      </c>
      <c r="M639" s="27" t="n">
        <v>21</v>
      </c>
      <c r="N639" s="27" t="inlineStr">
        <is>
          <t>Newsletter Subscription</t>
        </is>
      </c>
      <c r="O639" s="27" t="inlineStr">
        <is>
          <t>https://patrickjennings.com/subscribe</t>
        </is>
      </c>
      <c r="P639" s="27" t="inlineStr">
        <is>
          <t>Editing Backlog &amp; Team Workflow Overhead</t>
        </is>
      </c>
      <c r="Q639" s="27" t="inlineStr">
        <is>
          <t>https://patrickjennings.com/highlights</t>
        </is>
      </c>
      <c r="R639" s="27" t="inlineStr">
        <is>
          <t>Email</t>
        </is>
      </c>
      <c r="S639" s="27" t="inlineStr">
        <is>
          <t>hello@patrickjennings.com</t>
        </is>
      </c>
      <c r="T639" s="27" t="inlineStr">
        <is>
          <t>https://patrickjennings.com/work-with-me</t>
        </is>
      </c>
      <c r="U639" s="27" t="inlineStr">
        <is>
          <t>LinkedIn</t>
        </is>
      </c>
      <c r="V639" s="27" t="inlineStr">
        <is>
          <t>b2b marketing &amp; sales frameworks, specifically regarding episode 36 on B2B Marketing &amp; Sales workflow optimization</t>
        </is>
      </c>
      <c r="W639" s="27" t="inlineStr">
        <is>
          <t>Hi Patrick,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39" s="27" t="inlineStr">
        <is>
          <t>2026-10-18</t>
        </is>
      </c>
      <c r="Y639" s="27" t="inlineStr">
        <is>
          <t>C</t>
        </is>
      </c>
      <c r="Z639" s="27" t="n">
        <v>81.90000000000001</v>
      </c>
      <c r="AA639" s="27" t="inlineStr">
        <is>
          <t>Qualified</t>
        </is>
      </c>
      <c r="AB639" s="27" t="inlineStr"/>
      <c r="AC639" s="28">
        <f>IF(A639="","",IF(COUNTIF($H$5:$H$1004,H639)&gt;1,"DUPLICATE","UNIQUE"))</f>
        <v/>
      </c>
      <c r="AD639" s="28">
        <f>IF(A639="","",IF(AA639="Rejected",IF(AB639&lt;&gt;"","REJECTED","ADD REASON"),IF(AND(B639&lt;&gt;"",C639&lt;&gt;"",D639&lt;&gt;"",E639&lt;&gt;"",F639&lt;&gt;"",G639&lt;&gt;"",H639&lt;&gt;"",J639&lt;&gt;"",K639&lt;&gt;"",N639&lt;&gt;"",O639&lt;&gt;"",P639&lt;&gt;"",Q639&lt;&gt;"",R639&lt;&gt;"",S639&lt;&gt;"",T639&lt;&gt;"",V639&lt;&gt;"",W639&lt;&gt;"",X639&lt;&gt;"",Y639&lt;&gt;""),"COMPLETE","MISSING FIELDS")))</f>
        <v/>
      </c>
    </row>
    <row r="640" ht="15" customHeight="1" s="15">
      <c r="A640" s="27" t="inlineStr">
        <is>
          <t>LEAD-0636</t>
        </is>
      </c>
      <c r="B640" s="27" t="inlineStr">
        <is>
          <t>Patrick Kingsley</t>
        </is>
      </c>
      <c r="C640" s="27" t="inlineStr">
        <is>
          <t>YouTuber</t>
        </is>
      </c>
      <c r="D640" s="27" t="inlineStr">
        <is>
          <t>GB</t>
        </is>
      </c>
      <c r="E640" s="27" t="inlineStr">
        <is>
          <t>English</t>
        </is>
      </c>
      <c r="F640" s="27" t="inlineStr">
        <is>
          <t>YouTube</t>
        </is>
      </c>
      <c r="G640" s="27" t="inlineStr">
        <is>
          <t>https://www.youtube.com/@patrickkingsley</t>
        </is>
      </c>
      <c r="H640" s="27" t="inlineStr">
        <is>
          <t>UCGB00636187987</t>
        </is>
      </c>
      <c r="I640" s="27" t="inlineStr">
        <is>
          <t>140,000</t>
        </is>
      </c>
      <c r="J640" s="27" t="inlineStr">
        <is>
          <t>2026-10-14</t>
        </is>
      </c>
      <c r="K640" s="27" t="inlineStr">
        <is>
          <t>https://www.youtube.com/watch?v=gb00636</t>
        </is>
      </c>
      <c r="L640" s="27" t="n">
        <v>14</v>
      </c>
      <c r="M640" s="27" t="n">
        <v>22</v>
      </c>
      <c r="N640" s="27" t="inlineStr">
        <is>
          <t>Affiliate</t>
        </is>
      </c>
      <c r="O640" s="27" t="inlineStr">
        <is>
          <t>https://patrickkingsley.com/resources</t>
        </is>
      </c>
      <c r="P640" s="27" t="inlineStr">
        <is>
          <t>Multilingual Audio Dubbing</t>
        </is>
      </c>
      <c r="Q640" s="27" t="inlineStr">
        <is>
          <t>https://patrickkingsley.com/highlights</t>
        </is>
      </c>
      <c r="R640" s="27" t="inlineStr">
        <is>
          <t>Email</t>
        </is>
      </c>
      <c r="S640" s="27" t="inlineStr">
        <is>
          <t>contact@patrickkingsley.com</t>
        </is>
      </c>
      <c r="T640" s="27" t="inlineStr">
        <is>
          <t>https://patrickkingsley.com/contact</t>
        </is>
      </c>
      <c r="U640" s="27" t="inlineStr">
        <is>
          <t>LinkedIn</t>
        </is>
      </c>
      <c r="V640" s="27" t="inlineStr">
        <is>
          <t>finance &amp; wealth engineering frameworks, specifically regarding episode 37 on Finance &amp; Wealth Engineering workflow optimization</t>
        </is>
      </c>
      <c r="W640" s="27" t="inlineStr">
        <is>
          <t>Hi Patrick,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40" s="27" t="inlineStr">
        <is>
          <t>2026-10-18</t>
        </is>
      </c>
      <c r="Y640" s="27" t="inlineStr">
        <is>
          <t>C</t>
        </is>
      </c>
      <c r="Z640" s="27" t="n">
        <v>81.8</v>
      </c>
      <c r="AA640" s="27" t="inlineStr">
        <is>
          <t>Qualified</t>
        </is>
      </c>
      <c r="AB640" s="27" t="inlineStr"/>
      <c r="AC640" s="28">
        <f>IF(A640="","",IF(COUNTIF($H$5:$H$1004,H640)&gt;1,"DUPLICATE","UNIQUE"))</f>
        <v/>
      </c>
      <c r="AD640" s="28">
        <f>IF(A640="","",IF(AA640="Rejected",IF(AB640&lt;&gt;"","REJECTED","ADD REASON"),IF(AND(B640&lt;&gt;"",C640&lt;&gt;"",D640&lt;&gt;"",E640&lt;&gt;"",F640&lt;&gt;"",G640&lt;&gt;"",H640&lt;&gt;"",J640&lt;&gt;"",K640&lt;&gt;"",N640&lt;&gt;"",O640&lt;&gt;"",P640&lt;&gt;"",Q640&lt;&gt;"",R640&lt;&gt;"",S640&lt;&gt;"",T640&lt;&gt;"",V640&lt;&gt;"",W640&lt;&gt;"",X640&lt;&gt;"",Y640&lt;&gt;""),"COMPLETE","MISSING FIELDS")))</f>
        <v/>
      </c>
    </row>
    <row r="641" ht="15" customHeight="1" s="15">
      <c r="A641" s="27" t="inlineStr">
        <is>
          <t>LEAD-0637</t>
        </is>
      </c>
      <c r="B641" s="27" t="inlineStr">
        <is>
          <t>Patrick Lockwood</t>
        </is>
      </c>
      <c r="C641" s="27" t="inlineStr">
        <is>
          <t>Podcaster</t>
        </is>
      </c>
      <c r="D641" s="27" t="inlineStr">
        <is>
          <t>GB</t>
        </is>
      </c>
      <c r="E641" s="27" t="inlineStr">
        <is>
          <t>English</t>
        </is>
      </c>
      <c r="F641" s="27" t="inlineStr">
        <is>
          <t>Apple Podcasts</t>
        </is>
      </c>
      <c r="G641" s="27" t="inlineStr">
        <is>
          <t>https://podcasts.apple.com/gb/podcast/patricklockwood/id1000637</t>
        </is>
      </c>
      <c r="H641" s="27" t="inlineStr">
        <is>
          <t>AP-GB-1000637</t>
        </is>
      </c>
      <c r="I641" s="27" t="inlineStr">
        <is>
          <t>156,000</t>
        </is>
      </c>
      <c r="J641" s="27" t="inlineStr">
        <is>
          <t>2026-10-15</t>
        </is>
      </c>
      <c r="K641" s="27" t="inlineStr">
        <is>
          <t>https://patricklockwood.com/episodes/38</t>
        </is>
      </c>
      <c r="L641" s="27" t="n">
        <v>15</v>
      </c>
      <c r="M641" s="27" t="n">
        <v>23</v>
      </c>
      <c r="N641" s="27" t="inlineStr">
        <is>
          <t>Course</t>
        </is>
      </c>
      <c r="O641" s="27" t="inlineStr">
        <is>
          <t>https://patricklockwood.com/academy</t>
        </is>
      </c>
      <c r="P641" s="27" t="inlineStr">
        <is>
          <t>Multilingual Audio Dubbing</t>
        </is>
      </c>
      <c r="Q641" s="27" t="inlineStr">
        <is>
          <t>https://patricklockwood.com/highlights</t>
        </is>
      </c>
      <c r="R641" s="27" t="inlineStr">
        <is>
          <t>LinkedIn</t>
        </is>
      </c>
      <c r="S641" s="27" t="inlineStr">
        <is>
          <t>https://linkedin.com/in/patricklockwood</t>
        </is>
      </c>
      <c r="T641" s="27" t="inlineStr">
        <is>
          <t>https://patricklockwood.com/about</t>
        </is>
      </c>
      <c r="U641" s="27" t="inlineStr">
        <is>
          <t>Email</t>
        </is>
      </c>
      <c r="V641" s="27" t="inlineStr">
        <is>
          <t>health &amp; longevity science frameworks, specifically regarding episode 38 on Health &amp; Longevity Science workflow optimization</t>
        </is>
      </c>
      <c r="W641" s="27" t="inlineStr">
        <is>
          <t>Hi Patrick,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41" s="27" t="inlineStr">
        <is>
          <t>2026-10-18</t>
        </is>
      </c>
      <c r="Y641" s="27" t="inlineStr">
        <is>
          <t>C</t>
        </is>
      </c>
      <c r="Z641" s="27" t="n">
        <v>81.8</v>
      </c>
      <c r="AA641" s="27" t="inlineStr">
        <is>
          <t>Qualified</t>
        </is>
      </c>
      <c r="AB641" s="27" t="inlineStr"/>
      <c r="AC641" s="28">
        <f>IF(A641="","",IF(COUNTIF($H$5:$H$1004,H641)&gt;1,"DUPLICATE","UNIQUE"))</f>
        <v/>
      </c>
      <c r="AD641" s="28">
        <f>IF(A641="","",IF(AA641="Rejected",IF(AB641&lt;&gt;"","REJECTED","ADD REASON"),IF(AND(B641&lt;&gt;"",C641&lt;&gt;"",D641&lt;&gt;"",E641&lt;&gt;"",F641&lt;&gt;"",G641&lt;&gt;"",H641&lt;&gt;"",J641&lt;&gt;"",K641&lt;&gt;"",N641&lt;&gt;"",O641&lt;&gt;"",P641&lt;&gt;"",Q641&lt;&gt;"",R641&lt;&gt;"",S641&lt;&gt;"",T641&lt;&gt;"",V641&lt;&gt;"",W641&lt;&gt;"",X641&lt;&gt;"",Y641&lt;&gt;""),"COMPLETE","MISSING FIELDS")))</f>
        <v/>
      </c>
    </row>
    <row r="642" ht="15" customHeight="1" s="15">
      <c r="A642" s="27" t="inlineStr">
        <is>
          <t>LEAD-0638</t>
        </is>
      </c>
      <c r="B642" s="27" t="inlineStr">
        <is>
          <t>Patrick Montague</t>
        </is>
      </c>
      <c r="C642" s="27" t="inlineStr">
        <is>
          <t>YouTuber</t>
        </is>
      </c>
      <c r="D642" s="27" t="inlineStr">
        <is>
          <t>GB</t>
        </is>
      </c>
      <c r="E642" s="27" t="inlineStr">
        <is>
          <t>English</t>
        </is>
      </c>
      <c r="F642" s="27" t="inlineStr">
        <is>
          <t>YouTube</t>
        </is>
      </c>
      <c r="G642" s="27" t="inlineStr">
        <is>
          <t>https://www.youtube.com/@patrickmontague</t>
        </is>
      </c>
      <c r="H642" s="27" t="inlineStr">
        <is>
          <t>UCGB00638815208</t>
        </is>
      </c>
      <c r="I642" s="27" t="inlineStr">
        <is>
          <t>180,000</t>
        </is>
      </c>
      <c r="J642" s="27" t="inlineStr">
        <is>
          <t>2026-10-16</t>
        </is>
      </c>
      <c r="K642" s="27" t="inlineStr">
        <is>
          <t>https://www.youtube.com/watch?v=gb00638</t>
        </is>
      </c>
      <c r="L642" s="27" t="n">
        <v>16</v>
      </c>
      <c r="M642" s="27" t="n">
        <v>24</v>
      </c>
      <c r="N642" s="27" t="inlineStr">
        <is>
          <t>Sponsor</t>
        </is>
      </c>
      <c r="O642" s="27" t="inlineStr">
        <is>
          <t>https://patrickmontague.com/partners</t>
        </is>
      </c>
      <c r="P642" s="27" t="inlineStr">
        <is>
          <t>Missing Video Captions &amp; Retention Clips</t>
        </is>
      </c>
      <c r="Q642" s="27" t="inlineStr">
        <is>
          <t>https://patrickmontague.com/highlights</t>
        </is>
      </c>
      <c r="R642" s="27" t="inlineStr">
        <is>
          <t>X (Twitter)</t>
        </is>
      </c>
      <c r="S642" s="27" t="inlineStr">
        <is>
          <t>https://x.com/patrickmontague</t>
        </is>
      </c>
      <c r="T642" s="27" t="inlineStr">
        <is>
          <t>https://patrickmontague.com/links</t>
        </is>
      </c>
      <c r="U642" s="27" t="inlineStr">
        <is>
          <t>LinkedIn</t>
        </is>
      </c>
      <c r="V642" s="27" t="inlineStr">
        <is>
          <t>education &amp; applied coding frameworks, specifically regarding episode 39 on Education &amp; Applied Coding workflow optimization</t>
        </is>
      </c>
      <c r="W642" s="27" t="inlineStr">
        <is>
          <t>Hi Patrick,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42" s="27" t="inlineStr">
        <is>
          <t>2026-10-18</t>
        </is>
      </c>
      <c r="Y642" s="27" t="inlineStr">
        <is>
          <t>C</t>
        </is>
      </c>
      <c r="Z642" s="27" t="n">
        <v>81.7</v>
      </c>
      <c r="AA642" s="27" t="inlineStr">
        <is>
          <t>Qualified</t>
        </is>
      </c>
      <c r="AB642" s="27" t="inlineStr"/>
      <c r="AC642" s="28">
        <f>IF(A642="","",IF(COUNTIF($H$5:$H$1004,H642)&gt;1,"DUPLICATE","UNIQUE"))</f>
        <v/>
      </c>
      <c r="AD642" s="28">
        <f>IF(A642="","",IF(AA642="Rejected",IF(AB642&lt;&gt;"","REJECTED","ADD REASON"),IF(AND(B642&lt;&gt;"",C642&lt;&gt;"",D642&lt;&gt;"",E642&lt;&gt;"",F642&lt;&gt;"",G642&lt;&gt;"",H642&lt;&gt;"",J642&lt;&gt;"",K642&lt;&gt;"",N642&lt;&gt;"",O642&lt;&gt;"",P642&lt;&gt;"",Q642&lt;&gt;"",R642&lt;&gt;"",S642&lt;&gt;"",T642&lt;&gt;"",V642&lt;&gt;"",W642&lt;&gt;"",X642&lt;&gt;"",Y642&lt;&gt;""),"COMPLETE","MISSING FIELDS")))</f>
        <v/>
      </c>
    </row>
    <row r="643" ht="15" customHeight="1" s="15">
      <c r="A643" s="27" t="inlineStr">
        <is>
          <t>LEAD-0639</t>
        </is>
      </c>
      <c r="B643" s="27" t="inlineStr">
        <is>
          <t>Patrick Northwood</t>
        </is>
      </c>
      <c r="C643" s="27" t="inlineStr">
        <is>
          <t>Podcaster</t>
        </is>
      </c>
      <c r="D643" s="27" t="inlineStr">
        <is>
          <t>GB</t>
        </is>
      </c>
      <c r="E643" s="27" t="inlineStr">
        <is>
          <t>English</t>
        </is>
      </c>
      <c r="F643" s="27" t="inlineStr">
        <is>
          <t>Apple Podcasts</t>
        </is>
      </c>
      <c r="G643" s="27" t="inlineStr">
        <is>
          <t>https://podcasts.apple.com/gb/podcast/patricknorthwood/id1000639</t>
        </is>
      </c>
      <c r="H643" s="27" t="inlineStr">
        <is>
          <t>AP-GB-1000639</t>
        </is>
      </c>
      <c r="I643" s="27" t="inlineStr">
        <is>
          <t>180,000</t>
        </is>
      </c>
      <c r="J643" s="27" t="inlineStr">
        <is>
          <t>2026-10-17</t>
        </is>
      </c>
      <c r="K643" s="27" t="inlineStr">
        <is>
          <t>https://patricknorthwood.com/episodes/40</t>
        </is>
      </c>
      <c r="L643" s="27" t="n">
        <v>17</v>
      </c>
      <c r="M643" s="27" t="n">
        <v>25</v>
      </c>
      <c r="N643" s="27" t="inlineStr">
        <is>
          <t>Membership</t>
        </is>
      </c>
      <c r="O643" s="27" t="inlineStr">
        <is>
          <t>https://patricknorthwood.com/community</t>
        </is>
      </c>
      <c r="P643" s="27" t="inlineStr">
        <is>
          <t>Shorts Repurposing Bottleneck</t>
        </is>
      </c>
      <c r="Q643" s="27" t="inlineStr">
        <is>
          <t>https://patricknorthwood.com/highlights</t>
        </is>
      </c>
      <c r="R643" s="27" t="inlineStr">
        <is>
          <t>Email</t>
        </is>
      </c>
      <c r="S643" s="27" t="inlineStr">
        <is>
          <t>hello@patricknorthwood.com</t>
        </is>
      </c>
      <c r="T643" s="27" t="inlineStr">
        <is>
          <t>https://patricknorthwood.com/work-with-me</t>
        </is>
      </c>
      <c r="U643" s="27" t="inlineStr">
        <is>
          <t>LinkedIn</t>
        </is>
      </c>
      <c r="V643" s="27" t="inlineStr">
        <is>
          <t>e-commerce &amp; digital brands frameworks, specifically regarding episode 40 on E-Commerce &amp; Digital Brands workflow optimization</t>
        </is>
      </c>
      <c r="W643" s="27" t="inlineStr">
        <is>
          <t>Hi Patrick,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43" s="27" t="inlineStr">
        <is>
          <t>2026-10-18</t>
        </is>
      </c>
      <c r="Y643" s="27" t="inlineStr">
        <is>
          <t>C</t>
        </is>
      </c>
      <c r="Z643" s="27" t="n">
        <v>81.7</v>
      </c>
      <c r="AA643" s="27" t="inlineStr">
        <is>
          <t>Qualified</t>
        </is>
      </c>
      <c r="AB643" s="27" t="inlineStr"/>
      <c r="AC643" s="28">
        <f>IF(A643="","",IF(COUNTIF($H$5:$H$1004,H643)&gt;1,"DUPLICATE","UNIQUE"))</f>
        <v/>
      </c>
      <c r="AD643" s="28">
        <f>IF(A643="","",IF(AA643="Rejected",IF(AB643&lt;&gt;"","REJECTED","ADD REASON"),IF(AND(B643&lt;&gt;"",C643&lt;&gt;"",D643&lt;&gt;"",E643&lt;&gt;"",F643&lt;&gt;"",G643&lt;&gt;"",H643&lt;&gt;"",J643&lt;&gt;"",K643&lt;&gt;"",N643&lt;&gt;"",O643&lt;&gt;"",P643&lt;&gt;"",Q643&lt;&gt;"",R643&lt;&gt;"",S643&lt;&gt;"",T643&lt;&gt;"",V643&lt;&gt;"",W643&lt;&gt;"",X643&lt;&gt;"",Y643&lt;&gt;""),"COMPLETE","MISSING FIELDS")))</f>
        <v/>
      </c>
    </row>
    <row r="644" ht="15" customHeight="1" s="15">
      <c r="A644" s="27" t="inlineStr">
        <is>
          <t>LEAD-0640</t>
        </is>
      </c>
      <c r="B644" s="27" t="inlineStr">
        <is>
          <t>Patrick Oakley</t>
        </is>
      </c>
      <c r="C644" s="27" t="inlineStr">
        <is>
          <t>YouTuber</t>
        </is>
      </c>
      <c r="D644" s="27" t="inlineStr">
        <is>
          <t>GB</t>
        </is>
      </c>
      <c r="E644" s="27" t="inlineStr">
        <is>
          <t>English</t>
        </is>
      </c>
      <c r="F644" s="27" t="inlineStr">
        <is>
          <t>YouTube</t>
        </is>
      </c>
      <c r="G644" s="27" t="inlineStr">
        <is>
          <t>https://www.youtube.com/@patrickoakley</t>
        </is>
      </c>
      <c r="H644" s="27" t="inlineStr">
        <is>
          <t>UCGB00640279516</t>
        </is>
      </c>
      <c r="I644" s="27" t="inlineStr">
        <is>
          <t>220,000</t>
        </is>
      </c>
      <c r="J644" s="27" t="inlineStr">
        <is>
          <t>2026-10-10</t>
        </is>
      </c>
      <c r="K644" s="27" t="inlineStr">
        <is>
          <t>https://www.youtube.com/watch?v=gb00640</t>
        </is>
      </c>
      <c r="L644" s="27" t="n">
        <v>8</v>
      </c>
      <c r="M644" s="27" t="n">
        <v>26</v>
      </c>
      <c r="N644" s="27" t="inlineStr">
        <is>
          <t>Product</t>
        </is>
      </c>
      <c r="O644" s="27" t="inlineStr">
        <is>
          <t>https://patrickoakley.com/shop</t>
        </is>
      </c>
      <c r="P644" s="27" t="inlineStr">
        <is>
          <t>Shorts Repurposing Bottleneck</t>
        </is>
      </c>
      <c r="Q644" s="27" t="inlineStr">
        <is>
          <t>https://patrickoakley.com/highlights</t>
        </is>
      </c>
      <c r="R644" s="27" t="inlineStr">
        <is>
          <t>Email</t>
        </is>
      </c>
      <c r="S644" s="27" t="inlineStr">
        <is>
          <t>contact@patrickoakley.com</t>
        </is>
      </c>
      <c r="T644" s="27" t="inlineStr">
        <is>
          <t>https://patrickoakley.com/contact</t>
        </is>
      </c>
      <c r="U644" s="27" t="inlineStr">
        <is>
          <t>LinkedIn</t>
        </is>
      </c>
      <c r="V644" s="27" t="inlineStr">
        <is>
          <t>tech &amp; ai frameworks, specifically regarding episode 41 on Tech &amp; AI workflow optimization</t>
        </is>
      </c>
      <c r="W644" s="27" t="inlineStr">
        <is>
          <t>Hi Patrick,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44" s="27" t="inlineStr">
        <is>
          <t>2026-10-18</t>
        </is>
      </c>
      <c r="Y644" s="27" t="inlineStr">
        <is>
          <t>C</t>
        </is>
      </c>
      <c r="Z644" s="27" t="n">
        <v>81.59999999999999</v>
      </c>
      <c r="AA644" s="27" t="inlineStr">
        <is>
          <t>Qualified</t>
        </is>
      </c>
      <c r="AB644" s="27" t="inlineStr"/>
      <c r="AC644" s="28">
        <f>IF(A644="","",IF(COUNTIF($H$5:$H$1004,H644)&gt;1,"DUPLICATE","UNIQUE"))</f>
        <v/>
      </c>
      <c r="AD644" s="28">
        <f>IF(A644="","",IF(AA644="Rejected",IF(AB644&lt;&gt;"","REJECTED","ADD REASON"),IF(AND(B644&lt;&gt;"",C644&lt;&gt;"",D644&lt;&gt;"",E644&lt;&gt;"",F644&lt;&gt;"",G644&lt;&gt;"",H644&lt;&gt;"",J644&lt;&gt;"",K644&lt;&gt;"",N644&lt;&gt;"",O644&lt;&gt;"",P644&lt;&gt;"",Q644&lt;&gt;"",R644&lt;&gt;"",S644&lt;&gt;"",T644&lt;&gt;"",V644&lt;&gt;"",W644&lt;&gt;"",X644&lt;&gt;"",Y644&lt;&gt;""),"COMPLETE","MISSING FIELDS")))</f>
        <v/>
      </c>
    </row>
    <row r="645" ht="15" customHeight="1" s="15">
      <c r="A645" s="27" t="inlineStr">
        <is>
          <t>LEAD-0641</t>
        </is>
      </c>
      <c r="B645" s="27" t="inlineStr">
        <is>
          <t>Patrick Pemberton</t>
        </is>
      </c>
      <c r="C645" s="27" t="inlineStr">
        <is>
          <t>Podcaster</t>
        </is>
      </c>
      <c r="D645" s="27" t="inlineStr">
        <is>
          <t>GB</t>
        </is>
      </c>
      <c r="E645" s="27" t="inlineStr">
        <is>
          <t>English</t>
        </is>
      </c>
      <c r="F645" s="27" t="inlineStr">
        <is>
          <t>Apple Podcasts</t>
        </is>
      </c>
      <c r="G645" s="27" t="inlineStr">
        <is>
          <t>https://podcasts.apple.com/gb/podcast/patrickpemberton/id1000641</t>
        </is>
      </c>
      <c r="H645" s="27" t="inlineStr">
        <is>
          <t>AP-GB-1000641</t>
        </is>
      </c>
      <c r="I645" s="27" t="inlineStr">
        <is>
          <t>204,000</t>
        </is>
      </c>
      <c r="J645" s="27" t="inlineStr">
        <is>
          <t>2026-10-11</t>
        </is>
      </c>
      <c r="K645" s="27" t="inlineStr">
        <is>
          <t>https://patrickpemberton.com/episodes/42</t>
        </is>
      </c>
      <c r="L645" s="27" t="n">
        <v>9</v>
      </c>
      <c r="M645" s="27" t="n">
        <v>27</v>
      </c>
      <c r="N645" s="27" t="inlineStr">
        <is>
          <t>Consulting</t>
        </is>
      </c>
      <c r="O645" s="27" t="inlineStr">
        <is>
          <t>https://patrickpemberton.com/advisory</t>
        </is>
      </c>
      <c r="P645" s="27" t="inlineStr">
        <is>
          <t>Missing Video Captions &amp; Retention Clips</t>
        </is>
      </c>
      <c r="Q645" s="27" t="inlineStr">
        <is>
          <t>https://patrickpemberton.com/highlights</t>
        </is>
      </c>
      <c r="R645" s="27" t="inlineStr">
        <is>
          <t>LinkedIn</t>
        </is>
      </c>
      <c r="S645" s="27" t="inlineStr">
        <is>
          <t>https://linkedin.com/in/patrickpemberton</t>
        </is>
      </c>
      <c r="T645" s="27" t="inlineStr">
        <is>
          <t>https://patrickpemberton.com/about</t>
        </is>
      </c>
      <c r="U645" s="27" t="inlineStr">
        <is>
          <t>Email</t>
        </is>
      </c>
      <c r="V645" s="27" t="inlineStr">
        <is>
          <t>saas &amp; product growth frameworks, specifically regarding episode 42 on SaaS &amp; Product Growth workflow optimization</t>
        </is>
      </c>
      <c r="W645" s="27" t="inlineStr">
        <is>
          <t>Hi Patrick,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45" s="27" t="inlineStr">
        <is>
          <t>2026-10-18</t>
        </is>
      </c>
      <c r="Y645" s="27" t="inlineStr">
        <is>
          <t>C</t>
        </is>
      </c>
      <c r="Z645" s="27" t="n">
        <v>81.5</v>
      </c>
      <c r="AA645" s="27" t="inlineStr">
        <is>
          <t>Qualified</t>
        </is>
      </c>
      <c r="AB645" s="27" t="inlineStr"/>
      <c r="AC645" s="28">
        <f>IF(A645="","",IF(COUNTIF($H$5:$H$1004,H645)&gt;1,"DUPLICATE","UNIQUE"))</f>
        <v/>
      </c>
      <c r="AD645" s="28">
        <f>IF(A645="","",IF(AA645="Rejected",IF(AB645&lt;&gt;"","REJECTED","ADD REASON"),IF(AND(B645&lt;&gt;"",C645&lt;&gt;"",D645&lt;&gt;"",E645&lt;&gt;"",F645&lt;&gt;"",G645&lt;&gt;"",H645&lt;&gt;"",J645&lt;&gt;"",K645&lt;&gt;"",N645&lt;&gt;"",O645&lt;&gt;"",P645&lt;&gt;"",Q645&lt;&gt;"",R645&lt;&gt;"",S645&lt;&gt;"",T645&lt;&gt;"",V645&lt;&gt;"",W645&lt;&gt;"",X645&lt;&gt;"",Y645&lt;&gt;""),"COMPLETE","MISSING FIELDS")))</f>
        <v/>
      </c>
    </row>
    <row r="646" ht="15" customHeight="1" s="15">
      <c r="A646" s="27" t="inlineStr">
        <is>
          <t>LEAD-0642</t>
        </is>
      </c>
      <c r="B646" s="27" t="inlineStr">
        <is>
          <t>Patrick Quatermain</t>
        </is>
      </c>
      <c r="C646" s="27" t="inlineStr">
        <is>
          <t>Expert-Led Creator</t>
        </is>
      </c>
      <c r="D646" s="27" t="inlineStr">
        <is>
          <t>GB</t>
        </is>
      </c>
      <c r="E646" s="27" t="inlineStr">
        <is>
          <t>English</t>
        </is>
      </c>
      <c r="F646" s="27" t="inlineStr">
        <is>
          <t>YouTube</t>
        </is>
      </c>
      <c r="G646" s="27" t="inlineStr">
        <is>
          <t>https://www.youtube.com/@patrickquatermain</t>
        </is>
      </c>
      <c r="H646" s="27" t="inlineStr">
        <is>
          <t>UCGB00642153156</t>
        </is>
      </c>
      <c r="I646" s="27" t="inlineStr">
        <is>
          <t>260,000</t>
        </is>
      </c>
      <c r="J646" s="27" t="inlineStr">
        <is>
          <t>2026-10-12</t>
        </is>
      </c>
      <c r="K646" s="27" t="inlineStr">
        <is>
          <t>https://www.youtube.com/watch?v=gb00642</t>
        </is>
      </c>
      <c r="L646" s="27" t="n">
        <v>10</v>
      </c>
      <c r="M646" s="27" t="n">
        <v>28</v>
      </c>
      <c r="N646" s="27" t="inlineStr">
        <is>
          <t>Newsletter Subscription</t>
        </is>
      </c>
      <c r="O646" s="27" t="inlineStr">
        <is>
          <t>https://patrickquatermain.com/subscribe</t>
        </is>
      </c>
      <c r="P646" s="27" t="inlineStr">
        <is>
          <t>Editing Backlog &amp; Team Workflow Overhead</t>
        </is>
      </c>
      <c r="Q646" s="27" t="inlineStr">
        <is>
          <t>https://patrickquatermain.com/highlights</t>
        </is>
      </c>
      <c r="R646" s="27" t="inlineStr">
        <is>
          <t>X (Twitter)</t>
        </is>
      </c>
      <c r="S646" s="27" t="inlineStr">
        <is>
          <t>https://x.com/patrickquatermain</t>
        </is>
      </c>
      <c r="T646" s="27" t="inlineStr">
        <is>
          <t>https://patrickquatermain.com/links</t>
        </is>
      </c>
      <c r="U646" s="27" t="inlineStr">
        <is>
          <t>LinkedIn</t>
        </is>
      </c>
      <c r="V646" s="27" t="inlineStr">
        <is>
          <t>creator business &amp; monetization frameworks, specifically regarding episode 43 on Creator Business &amp; Monetization workflow optimization</t>
        </is>
      </c>
      <c r="W646" s="27" t="inlineStr">
        <is>
          <t>Hi Patrick,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46" s="27" t="inlineStr">
        <is>
          <t>2026-10-18</t>
        </is>
      </c>
      <c r="Y646" s="27" t="inlineStr">
        <is>
          <t>C</t>
        </is>
      </c>
      <c r="Z646" s="27" t="n">
        <v>81.5</v>
      </c>
      <c r="AA646" s="27" t="inlineStr">
        <is>
          <t>Qualified</t>
        </is>
      </c>
      <c r="AB646" s="27" t="inlineStr"/>
      <c r="AC646" s="28">
        <f>IF(A646="","",IF(COUNTIF($H$5:$H$1004,H646)&gt;1,"DUPLICATE","UNIQUE"))</f>
        <v/>
      </c>
      <c r="AD646" s="28">
        <f>IF(A646="","",IF(AA646="Rejected",IF(AB646&lt;&gt;"","REJECTED","ADD REASON"),IF(AND(B646&lt;&gt;"",C646&lt;&gt;"",D646&lt;&gt;"",E646&lt;&gt;"",F646&lt;&gt;"",G646&lt;&gt;"",H646&lt;&gt;"",J646&lt;&gt;"",K646&lt;&gt;"",N646&lt;&gt;"",O646&lt;&gt;"",P646&lt;&gt;"",Q646&lt;&gt;"",R646&lt;&gt;"",S646&lt;&gt;"",T646&lt;&gt;"",V646&lt;&gt;"",W646&lt;&gt;"",X646&lt;&gt;"",Y646&lt;&gt;""),"COMPLETE","MISSING FIELDS")))</f>
        <v/>
      </c>
    </row>
    <row r="647" ht="15" customHeight="1" s="15">
      <c r="A647" s="27" t="inlineStr">
        <is>
          <t>LEAD-0643</t>
        </is>
      </c>
      <c r="B647" s="27" t="inlineStr">
        <is>
          <t>Patrick Radcliffe</t>
        </is>
      </c>
      <c r="C647" s="27" t="inlineStr">
        <is>
          <t>YouTuber</t>
        </is>
      </c>
      <c r="D647" s="27" t="inlineStr">
        <is>
          <t>GB</t>
        </is>
      </c>
      <c r="E647" s="27" t="inlineStr">
        <is>
          <t>English</t>
        </is>
      </c>
      <c r="F647" s="27" t="inlineStr">
        <is>
          <t>YouTube</t>
        </is>
      </c>
      <c r="G647" s="27" t="inlineStr">
        <is>
          <t>https://www.youtube.com/@patrickradcliffe</t>
        </is>
      </c>
      <c r="H647" s="27" t="inlineStr">
        <is>
          <t>UCGB00643402871</t>
        </is>
      </c>
      <c r="I647" s="27" t="inlineStr">
        <is>
          <t>280,000</t>
        </is>
      </c>
      <c r="J647" s="27" t="inlineStr">
        <is>
          <t>2026-10-13</t>
        </is>
      </c>
      <c r="K647" s="27" t="inlineStr">
        <is>
          <t>https://www.youtube.com/watch?v=gb00643</t>
        </is>
      </c>
      <c r="L647" s="27" t="n">
        <v>11</v>
      </c>
      <c r="M647" s="27" t="n">
        <v>29</v>
      </c>
      <c r="N647" s="27" t="inlineStr">
        <is>
          <t>Affiliate</t>
        </is>
      </c>
      <c r="O647" s="27" t="inlineStr">
        <is>
          <t>https://patrickradcliffe.com/resources</t>
        </is>
      </c>
      <c r="P647" s="27" t="inlineStr">
        <is>
          <t>Shorts Repurposing Bottleneck</t>
        </is>
      </c>
      <c r="Q647" s="27" t="inlineStr">
        <is>
          <t>https://patrickradcliffe.com/highlights</t>
        </is>
      </c>
      <c r="R647" s="27" t="inlineStr">
        <is>
          <t>Email</t>
        </is>
      </c>
      <c r="S647" s="27" t="inlineStr">
        <is>
          <t>hello@patrickradcliffe.com</t>
        </is>
      </c>
      <c r="T647" s="27" t="inlineStr">
        <is>
          <t>https://patrickradcliffe.com/work-with-me</t>
        </is>
      </c>
      <c r="U647" s="27" t="inlineStr">
        <is>
          <t>LinkedIn</t>
        </is>
      </c>
      <c r="V647" s="27" t="inlineStr">
        <is>
          <t>productivity &amp; personal systems frameworks, specifically regarding episode 44 on Productivity &amp; Personal Systems workflow optimization</t>
        </is>
      </c>
      <c r="W647" s="27" t="inlineStr">
        <is>
          <t>Hi Patrick,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47" s="27" t="inlineStr">
        <is>
          <t>2026-10-18</t>
        </is>
      </c>
      <c r="Y647" s="27" t="inlineStr">
        <is>
          <t>C</t>
        </is>
      </c>
      <c r="Z647" s="27" t="n">
        <v>81.40000000000001</v>
      </c>
      <c r="AA647" s="27" t="inlineStr">
        <is>
          <t>Qualified</t>
        </is>
      </c>
      <c r="AB647" s="27" t="inlineStr"/>
      <c r="AC647" s="28">
        <f>IF(A647="","",IF(COUNTIF($H$5:$H$1004,H647)&gt;1,"DUPLICATE","UNIQUE"))</f>
        <v/>
      </c>
      <c r="AD647" s="28">
        <f>IF(A647="","",IF(AA647="Rejected",IF(AB647&lt;&gt;"","REJECTED","ADD REASON"),IF(AND(B647&lt;&gt;"",C647&lt;&gt;"",D647&lt;&gt;"",E647&lt;&gt;"",F647&lt;&gt;"",G647&lt;&gt;"",H647&lt;&gt;"",J647&lt;&gt;"",K647&lt;&gt;"",N647&lt;&gt;"",O647&lt;&gt;"",P647&lt;&gt;"",Q647&lt;&gt;"",R647&lt;&gt;"",S647&lt;&gt;"",T647&lt;&gt;"",V647&lt;&gt;"",W647&lt;&gt;"",X647&lt;&gt;"",Y647&lt;&gt;""),"COMPLETE","MISSING FIELDS")))</f>
        <v/>
      </c>
    </row>
    <row r="648" ht="15" customHeight="1" s="15">
      <c r="A648" s="27" t="inlineStr">
        <is>
          <t>LEAD-0644</t>
        </is>
      </c>
      <c r="B648" s="27" t="inlineStr">
        <is>
          <t>Patrick Stanhope</t>
        </is>
      </c>
      <c r="C648" s="27" t="inlineStr">
        <is>
          <t>Podcaster</t>
        </is>
      </c>
      <c r="D648" s="27" t="inlineStr">
        <is>
          <t>GB</t>
        </is>
      </c>
      <c r="E648" s="27" t="inlineStr">
        <is>
          <t>English</t>
        </is>
      </c>
      <c r="F648" s="27" t="inlineStr">
        <is>
          <t>Apple Podcasts</t>
        </is>
      </c>
      <c r="G648" s="27" t="inlineStr">
        <is>
          <t>https://podcasts.apple.com/gb/podcast/patrickstanhope/id1000644</t>
        </is>
      </c>
      <c r="H648" s="27" t="inlineStr">
        <is>
          <t>AP-GB-1000644</t>
        </is>
      </c>
      <c r="I648" s="27" t="inlineStr">
        <is>
          <t>240,000</t>
        </is>
      </c>
      <c r="J648" s="27" t="inlineStr">
        <is>
          <t>2026-10-14</t>
        </is>
      </c>
      <c r="K648" s="27" t="inlineStr">
        <is>
          <t>https://patrickstanhope.com/episodes/45</t>
        </is>
      </c>
      <c r="L648" s="27" t="n">
        <v>12</v>
      </c>
      <c r="M648" s="27" t="n">
        <v>30</v>
      </c>
      <c r="N648" s="27" t="inlineStr">
        <is>
          <t>Course</t>
        </is>
      </c>
      <c r="O648" s="27" t="inlineStr">
        <is>
          <t>https://patrickstanhope.com/academy</t>
        </is>
      </c>
      <c r="P648" s="27" t="inlineStr">
        <is>
          <t>Inconsistent Cross-Platform Publishing</t>
        </is>
      </c>
      <c r="Q648" s="27" t="inlineStr">
        <is>
          <t>https://patrickstanhope.com/highlights</t>
        </is>
      </c>
      <c r="R648" s="27" t="inlineStr">
        <is>
          <t>Email</t>
        </is>
      </c>
      <c r="S648" s="27" t="inlineStr">
        <is>
          <t>contact@patrickstanhope.com</t>
        </is>
      </c>
      <c r="T648" s="27" t="inlineStr">
        <is>
          <t>https://patrickstanhope.com/contact</t>
        </is>
      </c>
      <c r="U648" s="27" t="inlineStr">
        <is>
          <t>LinkedIn</t>
        </is>
      </c>
      <c r="V648" s="27" t="inlineStr">
        <is>
          <t>leadership &amp; team ops frameworks, specifically regarding episode 45 on Leadership &amp; Team Ops workflow optimization</t>
        </is>
      </c>
      <c r="W648" s="27" t="inlineStr">
        <is>
          <t>Hi Patrick,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48" s="27" t="inlineStr">
        <is>
          <t>2026-10-18</t>
        </is>
      </c>
      <c r="Y648" s="27" t="inlineStr">
        <is>
          <t>C</t>
        </is>
      </c>
      <c r="Z648" s="27" t="n">
        <v>81.40000000000001</v>
      </c>
      <c r="AA648" s="27" t="inlineStr">
        <is>
          <t>Qualified</t>
        </is>
      </c>
      <c r="AB648" s="27" t="inlineStr"/>
      <c r="AC648" s="28">
        <f>IF(A648="","",IF(COUNTIF($H$5:$H$1004,H648)&gt;1,"DUPLICATE","UNIQUE"))</f>
        <v/>
      </c>
      <c r="AD648" s="28">
        <f>IF(A648="","",IF(AA648="Rejected",IF(AB648&lt;&gt;"","REJECTED","ADD REASON"),IF(AND(B648&lt;&gt;"",C648&lt;&gt;"",D648&lt;&gt;"",E648&lt;&gt;"",F648&lt;&gt;"",G648&lt;&gt;"",H648&lt;&gt;"",J648&lt;&gt;"",K648&lt;&gt;"",N648&lt;&gt;"",O648&lt;&gt;"",P648&lt;&gt;"",Q648&lt;&gt;"",R648&lt;&gt;"",S648&lt;&gt;"",T648&lt;&gt;"",V648&lt;&gt;"",W648&lt;&gt;"",X648&lt;&gt;"",Y648&lt;&gt;""),"COMPLETE","MISSING FIELDS")))</f>
        <v/>
      </c>
    </row>
    <row r="649" ht="15" customHeight="1" s="15">
      <c r="A649" s="27" t="inlineStr">
        <is>
          <t>LEAD-0645</t>
        </is>
      </c>
      <c r="B649" s="27" t="inlineStr">
        <is>
          <t>Patrick Thackery</t>
        </is>
      </c>
      <c r="C649" s="27" t="inlineStr">
        <is>
          <t>Expert-Led Creator</t>
        </is>
      </c>
      <c r="D649" s="27" t="inlineStr">
        <is>
          <t>GB</t>
        </is>
      </c>
      <c r="E649" s="27" t="inlineStr">
        <is>
          <t>English</t>
        </is>
      </c>
      <c r="F649" s="27" t="inlineStr">
        <is>
          <t>LinkedIn</t>
        </is>
      </c>
      <c r="G649" s="27" t="inlineStr">
        <is>
          <t>https://www.linkedin.com/in/patrickthackery</t>
        </is>
      </c>
      <c r="H649" s="27" t="inlineStr">
        <is>
          <t>LI-patrickthackery-0645</t>
        </is>
      </c>
      <c r="I649" s="27" t="inlineStr">
        <is>
          <t>96,000</t>
        </is>
      </c>
      <c r="J649" s="27" t="inlineStr">
        <is>
          <t>2026-10-15</t>
        </is>
      </c>
      <c r="K649" s="27" t="inlineStr">
        <is>
          <t>https://patrickthackery.com/posts/46</t>
        </is>
      </c>
      <c r="L649" s="27" t="n">
        <v>13</v>
      </c>
      <c r="M649" s="27" t="n">
        <v>31</v>
      </c>
      <c r="N649" s="27" t="inlineStr">
        <is>
          <t>Sponsor</t>
        </is>
      </c>
      <c r="O649" s="27" t="inlineStr">
        <is>
          <t>https://patrickthackery.com/partners</t>
        </is>
      </c>
      <c r="P649" s="27" t="inlineStr">
        <is>
          <t>Editing Backlog &amp; Team Workflow Overhead</t>
        </is>
      </c>
      <c r="Q649" s="27" t="inlineStr">
        <is>
          <t>https://patrickthackery.com/highlights</t>
        </is>
      </c>
      <c r="R649" s="27" t="inlineStr">
        <is>
          <t>LinkedIn</t>
        </is>
      </c>
      <c r="S649" s="27" t="inlineStr">
        <is>
          <t>https://linkedin.com/in/patrickthackery</t>
        </is>
      </c>
      <c r="T649" s="27" t="inlineStr">
        <is>
          <t>https://patrickthackery.com/about</t>
        </is>
      </c>
      <c r="U649" s="27" t="inlineStr">
        <is>
          <t>Email</t>
        </is>
      </c>
      <c r="V649" s="27" t="inlineStr">
        <is>
          <t>b2b marketing &amp; sales frameworks, specifically regarding episode 46 on B2B Marketing &amp; Sales workflow optimization</t>
        </is>
      </c>
      <c r="W649" s="27" t="inlineStr">
        <is>
          <t>Hi Patrick,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49" s="27" t="inlineStr">
        <is>
          <t>2026-10-18</t>
        </is>
      </c>
      <c r="Y649" s="27" t="inlineStr">
        <is>
          <t>C</t>
        </is>
      </c>
      <c r="Z649" s="27" t="n">
        <v>81.3</v>
      </c>
      <c r="AA649" s="27" t="inlineStr">
        <is>
          <t>Qualified</t>
        </is>
      </c>
      <c r="AB649" s="27" t="inlineStr"/>
      <c r="AC649" s="28">
        <f>IF(A649="","",IF(COUNTIF($H$5:$H$1004,H649)&gt;1,"DUPLICATE","UNIQUE"))</f>
        <v/>
      </c>
      <c r="AD649" s="28">
        <f>IF(A649="","",IF(AA649="Rejected",IF(AB649&lt;&gt;"","REJECTED","ADD REASON"),IF(AND(B649&lt;&gt;"",C649&lt;&gt;"",D649&lt;&gt;"",E649&lt;&gt;"",F649&lt;&gt;"",G649&lt;&gt;"",H649&lt;&gt;"",J649&lt;&gt;"",K649&lt;&gt;"",N649&lt;&gt;"",O649&lt;&gt;"",P649&lt;&gt;"",Q649&lt;&gt;"",R649&lt;&gt;"",S649&lt;&gt;"",T649&lt;&gt;"",V649&lt;&gt;"",W649&lt;&gt;"",X649&lt;&gt;"",Y649&lt;&gt;""),"COMPLETE","MISSING FIELDS")))</f>
        <v/>
      </c>
    </row>
    <row r="650" ht="15" customHeight="1" s="15">
      <c r="A650" s="27" t="inlineStr">
        <is>
          <t>LEAD-0646</t>
        </is>
      </c>
      <c r="B650" s="27" t="inlineStr">
        <is>
          <t>Patrick Underwood</t>
        </is>
      </c>
      <c r="C650" s="27" t="inlineStr">
        <is>
          <t>YouTuber</t>
        </is>
      </c>
      <c r="D650" s="27" t="inlineStr">
        <is>
          <t>GB</t>
        </is>
      </c>
      <c r="E650" s="27" t="inlineStr">
        <is>
          <t>English</t>
        </is>
      </c>
      <c r="F650" s="27" t="inlineStr">
        <is>
          <t>YouTube</t>
        </is>
      </c>
      <c r="G650" s="27" t="inlineStr">
        <is>
          <t>https://www.youtube.com/@patrickunderwood</t>
        </is>
      </c>
      <c r="H650" s="27" t="inlineStr">
        <is>
          <t>UCGB00646131535</t>
        </is>
      </c>
      <c r="I650" s="27" t="inlineStr">
        <is>
          <t>340,000</t>
        </is>
      </c>
      <c r="J650" s="27" t="inlineStr">
        <is>
          <t>2026-10-16</t>
        </is>
      </c>
      <c r="K650" s="27" t="inlineStr">
        <is>
          <t>https://www.youtube.com/watch?v=gb00646</t>
        </is>
      </c>
      <c r="L650" s="27" t="n">
        <v>14</v>
      </c>
      <c r="M650" s="27" t="n">
        <v>32</v>
      </c>
      <c r="N650" s="27" t="inlineStr">
        <is>
          <t>Membership</t>
        </is>
      </c>
      <c r="O650" s="27" t="inlineStr">
        <is>
          <t>https://patrickunderwood.com/community</t>
        </is>
      </c>
      <c r="P650" s="27" t="inlineStr">
        <is>
          <t>Multilingual Audio Dubbing</t>
        </is>
      </c>
      <c r="Q650" s="27" t="inlineStr">
        <is>
          <t>https://patrickunderwood.com/highlights</t>
        </is>
      </c>
      <c r="R650" s="27" t="inlineStr">
        <is>
          <t>X (Twitter)</t>
        </is>
      </c>
      <c r="S650" s="27" t="inlineStr">
        <is>
          <t>https://x.com/patrickunderwood</t>
        </is>
      </c>
      <c r="T650" s="27" t="inlineStr">
        <is>
          <t>https://patrickunderwood.com/links</t>
        </is>
      </c>
      <c r="U650" s="27" t="inlineStr">
        <is>
          <t>LinkedIn</t>
        </is>
      </c>
      <c r="V650" s="27" t="inlineStr">
        <is>
          <t>finance &amp; wealth engineering frameworks, specifically regarding episode 47 on Finance &amp; Wealth Engineering workflow optimization</t>
        </is>
      </c>
      <c r="W650" s="27" t="inlineStr">
        <is>
          <t>Hi Patrick,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50" s="27" t="inlineStr">
        <is>
          <t>2026-10-18</t>
        </is>
      </c>
      <c r="Y650" s="27" t="inlineStr">
        <is>
          <t>C</t>
        </is>
      </c>
      <c r="Z650" s="27" t="n">
        <v>81.2</v>
      </c>
      <c r="AA650" s="27" t="inlineStr">
        <is>
          <t>Qualified</t>
        </is>
      </c>
      <c r="AB650" s="27" t="inlineStr"/>
      <c r="AC650" s="28">
        <f>IF(A650="","",IF(COUNTIF($H$5:$H$1004,H650)&gt;1,"DUPLICATE","UNIQUE"))</f>
        <v/>
      </c>
      <c r="AD650" s="28">
        <f>IF(A650="","",IF(AA650="Rejected",IF(AB650&lt;&gt;"","REJECTED","ADD REASON"),IF(AND(B650&lt;&gt;"",C650&lt;&gt;"",D650&lt;&gt;"",E650&lt;&gt;"",F650&lt;&gt;"",G650&lt;&gt;"",H650&lt;&gt;"",J650&lt;&gt;"",K650&lt;&gt;"",N650&lt;&gt;"",O650&lt;&gt;"",P650&lt;&gt;"",Q650&lt;&gt;"",R650&lt;&gt;"",S650&lt;&gt;"",T650&lt;&gt;"",V650&lt;&gt;"",W650&lt;&gt;"",X650&lt;&gt;"",Y650&lt;&gt;""),"COMPLETE","MISSING FIELDS")))</f>
        <v/>
      </c>
    </row>
    <row r="651" ht="15" customHeight="1" s="15">
      <c r="A651" s="27" t="inlineStr">
        <is>
          <t>LEAD-0647</t>
        </is>
      </c>
      <c r="B651" s="27" t="inlineStr">
        <is>
          <t>Patrick Vanguard</t>
        </is>
      </c>
      <c r="C651" s="27" t="inlineStr">
        <is>
          <t>Podcaster</t>
        </is>
      </c>
      <c r="D651" s="27" t="inlineStr">
        <is>
          <t>GB</t>
        </is>
      </c>
      <c r="E651" s="27" t="inlineStr">
        <is>
          <t>English</t>
        </is>
      </c>
      <c r="F651" s="27" t="inlineStr">
        <is>
          <t>Apple Podcasts</t>
        </is>
      </c>
      <c r="G651" s="27" t="inlineStr">
        <is>
          <t>https://podcasts.apple.com/gb/podcast/patrickvanguard/id1000647</t>
        </is>
      </c>
      <c r="H651" s="27" t="inlineStr">
        <is>
          <t>AP-GB-1000647</t>
        </is>
      </c>
      <c r="I651" s="27" t="inlineStr">
        <is>
          <t>276,000</t>
        </is>
      </c>
      <c r="J651" s="27" t="inlineStr">
        <is>
          <t>2026-10-17</t>
        </is>
      </c>
      <c r="K651" s="27" t="inlineStr">
        <is>
          <t>https://patrickvanguard.com/episodes/48</t>
        </is>
      </c>
      <c r="L651" s="27" t="n">
        <v>15</v>
      </c>
      <c r="M651" s="27" t="n">
        <v>33</v>
      </c>
      <c r="N651" s="27" t="inlineStr">
        <is>
          <t>Product</t>
        </is>
      </c>
      <c r="O651" s="27" t="inlineStr">
        <is>
          <t>https://patrickvanguard.com/shop</t>
        </is>
      </c>
      <c r="P651" s="27" t="inlineStr">
        <is>
          <t>Multilingual Audio Dubbing</t>
        </is>
      </c>
      <c r="Q651" s="27" t="inlineStr">
        <is>
          <t>https://patrickvanguard.com/highlights</t>
        </is>
      </c>
      <c r="R651" s="27" t="inlineStr">
        <is>
          <t>Email</t>
        </is>
      </c>
      <c r="S651" s="27" t="inlineStr">
        <is>
          <t>hello@patrickvanguard.com</t>
        </is>
      </c>
      <c r="T651" s="27" t="inlineStr">
        <is>
          <t>https://patrickvanguard.com/work-with-me</t>
        </is>
      </c>
      <c r="U651" s="27" t="inlineStr">
        <is>
          <t>LinkedIn</t>
        </is>
      </c>
      <c r="V651" s="27" t="inlineStr">
        <is>
          <t>health &amp; longevity science frameworks, specifically regarding episode 48 on Health &amp; Longevity Science workflow optimization</t>
        </is>
      </c>
      <c r="W651" s="27" t="inlineStr">
        <is>
          <t>Hi Patrick,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51" s="27" t="inlineStr">
        <is>
          <t>2026-10-18</t>
        </is>
      </c>
      <c r="Y651" s="27" t="inlineStr">
        <is>
          <t>C</t>
        </is>
      </c>
      <c r="Z651" s="27" t="n">
        <v>81.2</v>
      </c>
      <c r="AA651" s="27" t="inlineStr">
        <is>
          <t>Qualified</t>
        </is>
      </c>
      <c r="AB651" s="27" t="inlineStr"/>
      <c r="AC651" s="28">
        <f>IF(A651="","",IF(COUNTIF($H$5:$H$1004,H651)&gt;1,"DUPLICATE","UNIQUE"))</f>
        <v/>
      </c>
      <c r="AD651" s="28">
        <f>IF(A651="","",IF(AA651="Rejected",IF(AB651&lt;&gt;"","REJECTED","ADD REASON"),IF(AND(B651&lt;&gt;"",C651&lt;&gt;"",D651&lt;&gt;"",E651&lt;&gt;"",F651&lt;&gt;"",G651&lt;&gt;"",H651&lt;&gt;"",J651&lt;&gt;"",K651&lt;&gt;"",N651&lt;&gt;"",O651&lt;&gt;"",P651&lt;&gt;"",Q651&lt;&gt;"",R651&lt;&gt;"",S651&lt;&gt;"",T651&lt;&gt;"",V651&lt;&gt;"",W651&lt;&gt;"",X651&lt;&gt;"",Y651&lt;&gt;""),"COMPLETE","MISSING FIELDS")))</f>
        <v/>
      </c>
    </row>
    <row r="652" ht="15" customHeight="1" s="15">
      <c r="A652" s="27" t="inlineStr">
        <is>
          <t>LEAD-0648</t>
        </is>
      </c>
      <c r="B652" s="27" t="inlineStr">
        <is>
          <t>Patrick Waverly</t>
        </is>
      </c>
      <c r="C652" s="27" t="inlineStr">
        <is>
          <t>YouTuber</t>
        </is>
      </c>
      <c r="D652" s="27" t="inlineStr">
        <is>
          <t>GB</t>
        </is>
      </c>
      <c r="E652" s="27" t="inlineStr">
        <is>
          <t>English</t>
        </is>
      </c>
      <c r="F652" s="27" t="inlineStr">
        <is>
          <t>YouTube</t>
        </is>
      </c>
      <c r="G652" s="27" t="inlineStr">
        <is>
          <t>https://www.youtube.com/@patrickwaverly</t>
        </is>
      </c>
      <c r="H652" s="27" t="inlineStr">
        <is>
          <t>UCGB00648990234</t>
        </is>
      </c>
      <c r="I652" s="27" t="inlineStr">
        <is>
          <t>380,000</t>
        </is>
      </c>
      <c r="J652" s="27" t="inlineStr">
        <is>
          <t>2026-10-10</t>
        </is>
      </c>
      <c r="K652" s="27" t="inlineStr">
        <is>
          <t>https://www.youtube.com/watch?v=gb00648</t>
        </is>
      </c>
      <c r="L652" s="27" t="n">
        <v>16</v>
      </c>
      <c r="M652" s="27" t="n">
        <v>16</v>
      </c>
      <c r="N652" s="27" t="inlineStr">
        <is>
          <t>Consulting</t>
        </is>
      </c>
      <c r="O652" s="27" t="inlineStr">
        <is>
          <t>https://patrickwaverly.com/advisory</t>
        </is>
      </c>
      <c r="P652" s="27" t="inlineStr">
        <is>
          <t>Missing Video Captions &amp; Retention Clips</t>
        </is>
      </c>
      <c r="Q652" s="27" t="inlineStr">
        <is>
          <t>https://patrickwaverly.com/highlights</t>
        </is>
      </c>
      <c r="R652" s="27" t="inlineStr">
        <is>
          <t>Email</t>
        </is>
      </c>
      <c r="S652" s="27" t="inlineStr">
        <is>
          <t>contact@patrickwaverly.com</t>
        </is>
      </c>
      <c r="T652" s="27" t="inlineStr">
        <is>
          <t>https://patrickwaverly.com/contact</t>
        </is>
      </c>
      <c r="U652" s="27" t="inlineStr">
        <is>
          <t>LinkedIn</t>
        </is>
      </c>
      <c r="V652" s="27" t="inlineStr">
        <is>
          <t>education &amp; applied coding frameworks, specifically regarding episode 49 on Education &amp; Applied Coding workflow optimization</t>
        </is>
      </c>
      <c r="W652" s="27" t="inlineStr">
        <is>
          <t>Hi Patrick,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52" s="27" t="inlineStr">
        <is>
          <t>2026-10-18</t>
        </is>
      </c>
      <c r="Y652" s="27" t="inlineStr">
        <is>
          <t>C</t>
        </is>
      </c>
      <c r="Z652" s="27" t="n">
        <v>81.09999999999999</v>
      </c>
      <c r="AA652" s="27" t="inlineStr">
        <is>
          <t>Qualified</t>
        </is>
      </c>
      <c r="AB652" s="27" t="inlineStr"/>
      <c r="AC652" s="28">
        <f>IF(A652="","",IF(COUNTIF($H$5:$H$1004,H652)&gt;1,"DUPLICATE","UNIQUE"))</f>
        <v/>
      </c>
      <c r="AD652" s="28">
        <f>IF(A652="","",IF(AA652="Rejected",IF(AB652&lt;&gt;"","REJECTED","ADD REASON"),IF(AND(B652&lt;&gt;"",C652&lt;&gt;"",D652&lt;&gt;"",E652&lt;&gt;"",F652&lt;&gt;"",G652&lt;&gt;"",H652&lt;&gt;"",J652&lt;&gt;"",K652&lt;&gt;"",N652&lt;&gt;"",O652&lt;&gt;"",P652&lt;&gt;"",Q652&lt;&gt;"",R652&lt;&gt;"",S652&lt;&gt;"",T652&lt;&gt;"",V652&lt;&gt;"",W652&lt;&gt;"",X652&lt;&gt;"",Y652&lt;&gt;""),"COMPLETE","MISSING FIELDS")))</f>
        <v/>
      </c>
    </row>
    <row r="653" ht="15" customHeight="1" s="15">
      <c r="A653" s="27" t="inlineStr">
        <is>
          <t>LEAD-0649</t>
        </is>
      </c>
      <c r="B653" s="27" t="inlineStr">
        <is>
          <t>Patrick Yardley</t>
        </is>
      </c>
      <c r="C653" s="27" t="inlineStr">
        <is>
          <t>Podcaster</t>
        </is>
      </c>
      <c r="D653" s="27" t="inlineStr">
        <is>
          <t>GB</t>
        </is>
      </c>
      <c r="E653" s="27" t="inlineStr">
        <is>
          <t>English</t>
        </is>
      </c>
      <c r="F653" s="27" t="inlineStr">
        <is>
          <t>Apple Podcasts</t>
        </is>
      </c>
      <c r="G653" s="27" t="inlineStr">
        <is>
          <t>https://podcasts.apple.com/gb/podcast/patrickyardley/id1000649</t>
        </is>
      </c>
      <c r="H653" s="27" t="inlineStr">
        <is>
          <t>AP-GB-1000649</t>
        </is>
      </c>
      <c r="I653" s="27" t="inlineStr">
        <is>
          <t>300,000</t>
        </is>
      </c>
      <c r="J653" s="27" t="inlineStr">
        <is>
          <t>2026-10-11</t>
        </is>
      </c>
      <c r="K653" s="27" t="inlineStr">
        <is>
          <t>https://patrickyardley.com/episodes/50</t>
        </is>
      </c>
      <c r="L653" s="27" t="n">
        <v>17</v>
      </c>
      <c r="M653" s="27" t="n">
        <v>17</v>
      </c>
      <c r="N653" s="27" t="inlineStr">
        <is>
          <t>Newsletter Subscription</t>
        </is>
      </c>
      <c r="O653" s="27" t="inlineStr">
        <is>
          <t>https://patrickyardley.com/subscribe</t>
        </is>
      </c>
      <c r="P653" s="27" t="inlineStr">
        <is>
          <t>Shorts Repurposing Bottleneck</t>
        </is>
      </c>
      <c r="Q653" s="27" t="inlineStr">
        <is>
          <t>https://patrickyardley.com/highlights</t>
        </is>
      </c>
      <c r="R653" s="27" t="inlineStr">
        <is>
          <t>LinkedIn</t>
        </is>
      </c>
      <c r="S653" s="27" t="inlineStr">
        <is>
          <t>https://linkedin.com/in/patrickyardley</t>
        </is>
      </c>
      <c r="T653" s="27" t="inlineStr">
        <is>
          <t>https://patrickyardley.com/about</t>
        </is>
      </c>
      <c r="U653" s="27" t="inlineStr">
        <is>
          <t>Email</t>
        </is>
      </c>
      <c r="V653" s="27" t="inlineStr">
        <is>
          <t>e-commerce &amp; digital brands frameworks, specifically regarding episode 50 on E-Commerce &amp; Digital Brands workflow optimization</t>
        </is>
      </c>
      <c r="W653" s="27" t="inlineStr">
        <is>
          <t>Hi Patrick,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53" s="27" t="inlineStr">
        <is>
          <t>2026-10-18</t>
        </is>
      </c>
      <c r="Y653" s="27" t="inlineStr">
        <is>
          <t>C</t>
        </is>
      </c>
      <c r="Z653" s="27" t="n">
        <v>81.09999999999999</v>
      </c>
      <c r="AA653" s="27" t="inlineStr">
        <is>
          <t>Qualified</t>
        </is>
      </c>
      <c r="AB653" s="27" t="inlineStr"/>
      <c r="AC653" s="28">
        <f>IF(A653="","",IF(COUNTIF($H$5:$H$1004,H653)&gt;1,"DUPLICATE","UNIQUE"))</f>
        <v/>
      </c>
      <c r="AD653" s="28">
        <f>IF(A653="","",IF(AA653="Rejected",IF(AB653&lt;&gt;"","REJECTED","ADD REASON"),IF(AND(B653&lt;&gt;"",C653&lt;&gt;"",D653&lt;&gt;"",E653&lt;&gt;"",F653&lt;&gt;"",G653&lt;&gt;"",H653&lt;&gt;"",J653&lt;&gt;"",K653&lt;&gt;"",N653&lt;&gt;"",O653&lt;&gt;"",P653&lt;&gt;"",Q653&lt;&gt;"",R653&lt;&gt;"",S653&lt;&gt;"",T653&lt;&gt;"",V653&lt;&gt;"",W653&lt;&gt;"",X653&lt;&gt;"",Y653&lt;&gt;""),"COMPLETE","MISSING FIELDS")))</f>
        <v/>
      </c>
    </row>
    <row r="654" ht="15" customHeight="1" s="15">
      <c r="A654" s="27" t="inlineStr">
        <is>
          <t>LEAD-0650</t>
        </is>
      </c>
      <c r="B654" s="27" t="inlineStr">
        <is>
          <t>Patrick Zimmerman</t>
        </is>
      </c>
      <c r="C654" s="27" t="inlineStr">
        <is>
          <t>YouTuber</t>
        </is>
      </c>
      <c r="D654" s="27" t="inlineStr">
        <is>
          <t>GB</t>
        </is>
      </c>
      <c r="E654" s="27" t="inlineStr">
        <is>
          <t>English</t>
        </is>
      </c>
      <c r="F654" s="27" t="inlineStr">
        <is>
          <t>YouTube</t>
        </is>
      </c>
      <c r="G654" s="27" t="inlineStr">
        <is>
          <t>https://www.youtube.com/@patrickzimmerman</t>
        </is>
      </c>
      <c r="H654" s="27" t="inlineStr">
        <is>
          <t>UCGB00650679203</t>
        </is>
      </c>
      <c r="I654" s="27" t="inlineStr">
        <is>
          <t>420,000</t>
        </is>
      </c>
      <c r="J654" s="27" t="inlineStr">
        <is>
          <t>2026-10-12</t>
        </is>
      </c>
      <c r="K654" s="27" t="inlineStr">
        <is>
          <t>https://www.youtube.com/watch?v=gb00650</t>
        </is>
      </c>
      <c r="L654" s="27" t="n">
        <v>8</v>
      </c>
      <c r="M654" s="27" t="n">
        <v>18</v>
      </c>
      <c r="N654" s="27" t="inlineStr">
        <is>
          <t>Affiliate</t>
        </is>
      </c>
      <c r="O654" s="27" t="inlineStr">
        <is>
          <t>https://patrickzimmerman.com/resources</t>
        </is>
      </c>
      <c r="P654" s="27" t="inlineStr">
        <is>
          <t>Shorts Repurposing Bottleneck</t>
        </is>
      </c>
      <c r="Q654" s="27" t="inlineStr">
        <is>
          <t>https://patrickzimmerman.com/highlights</t>
        </is>
      </c>
      <c r="R654" s="27" t="inlineStr">
        <is>
          <t>X (Twitter)</t>
        </is>
      </c>
      <c r="S654" s="27" t="inlineStr">
        <is>
          <t>https://x.com/patrickzimmerman</t>
        </is>
      </c>
      <c r="T654" s="27" t="inlineStr">
        <is>
          <t>https://patrickzimmerman.com/links</t>
        </is>
      </c>
      <c r="U654" s="27" t="inlineStr">
        <is>
          <t>LinkedIn</t>
        </is>
      </c>
      <c r="V654" s="27" t="inlineStr">
        <is>
          <t>tech &amp; ai frameworks, specifically regarding episode 1 on Tech &amp; AI workflow optimization</t>
        </is>
      </c>
      <c r="W654" s="27" t="inlineStr">
        <is>
          <t>Hi Patrick,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54" s="27" t="inlineStr">
        <is>
          <t>2026-10-18</t>
        </is>
      </c>
      <c r="Y654" s="27" t="inlineStr">
        <is>
          <t>C</t>
        </is>
      </c>
      <c r="Z654" s="27" t="n">
        <v>81</v>
      </c>
      <c r="AA654" s="27" t="inlineStr">
        <is>
          <t>Qualified</t>
        </is>
      </c>
      <c r="AB654" s="27" t="inlineStr"/>
      <c r="AC654" s="28">
        <f>IF(A654="","",IF(COUNTIF($H$5:$H$1004,H654)&gt;1,"DUPLICATE","UNIQUE"))</f>
        <v/>
      </c>
      <c r="AD654" s="28">
        <f>IF(A654="","",IF(AA654="Rejected",IF(AB654&lt;&gt;"","REJECTED","ADD REASON"),IF(AND(B654&lt;&gt;"",C654&lt;&gt;"",D654&lt;&gt;"",E654&lt;&gt;"",F654&lt;&gt;"",G654&lt;&gt;"",H654&lt;&gt;"",J654&lt;&gt;"",K654&lt;&gt;"",N654&lt;&gt;"",O654&lt;&gt;"",P654&lt;&gt;"",Q654&lt;&gt;"",R654&lt;&gt;"",S654&lt;&gt;"",T654&lt;&gt;"",V654&lt;&gt;"",W654&lt;&gt;"",X654&lt;&gt;"",Y654&lt;&gt;""),"COMPLETE","MISSING FIELDS")))</f>
        <v/>
      </c>
    </row>
    <row r="655" ht="15" customHeight="1" s="15">
      <c r="A655" s="27" t="inlineStr">
        <is>
          <t>LEAD-0651</t>
        </is>
      </c>
      <c r="B655" s="27" t="inlineStr">
        <is>
          <t>Patrick Sterling</t>
        </is>
      </c>
      <c r="C655" s="27" t="inlineStr">
        <is>
          <t>Podcaster</t>
        </is>
      </c>
      <c r="D655" s="27" t="inlineStr">
        <is>
          <t>GB</t>
        </is>
      </c>
      <c r="E655" s="27" t="inlineStr">
        <is>
          <t>English</t>
        </is>
      </c>
      <c r="F655" s="27" t="inlineStr">
        <is>
          <t>Apple Podcasts</t>
        </is>
      </c>
      <c r="G655" s="27" t="inlineStr">
        <is>
          <t>https://podcasts.apple.com/gb/podcast/patricksterling/id1000651</t>
        </is>
      </c>
      <c r="H655" s="27" t="inlineStr">
        <is>
          <t>AP-GB-1000651</t>
        </is>
      </c>
      <c r="I655" s="27" t="inlineStr">
        <is>
          <t>24,000</t>
        </is>
      </c>
      <c r="J655" s="27" t="inlineStr">
        <is>
          <t>2026-10-13</t>
        </is>
      </c>
      <c r="K655" s="27" t="inlineStr">
        <is>
          <t>https://patricksterling.com/episodes/52</t>
        </is>
      </c>
      <c r="L655" s="27" t="n">
        <v>9</v>
      </c>
      <c r="M655" s="27" t="n">
        <v>19</v>
      </c>
      <c r="N655" s="27" t="inlineStr">
        <is>
          <t>Course</t>
        </is>
      </c>
      <c r="O655" s="27" t="inlineStr">
        <is>
          <t>https://patricksterling.com/academy</t>
        </is>
      </c>
      <c r="P655" s="27" t="inlineStr">
        <is>
          <t>Missing Video Captions &amp; Retention Clips</t>
        </is>
      </c>
      <c r="Q655" s="27" t="inlineStr">
        <is>
          <t>https://patricksterling.com/highlights</t>
        </is>
      </c>
      <c r="R655" s="27" t="inlineStr">
        <is>
          <t>Email</t>
        </is>
      </c>
      <c r="S655" s="27" t="inlineStr">
        <is>
          <t>hello@patricksterling.com</t>
        </is>
      </c>
      <c r="T655" s="27" t="inlineStr">
        <is>
          <t>https://patricksterling.com/work-with-me</t>
        </is>
      </c>
      <c r="U655" s="27" t="inlineStr">
        <is>
          <t>LinkedIn</t>
        </is>
      </c>
      <c r="V655" s="27" t="inlineStr">
        <is>
          <t>saas &amp; product growth frameworks, specifically regarding episode 2 on SaaS &amp; Product Growth workflow optimization</t>
        </is>
      </c>
      <c r="W655" s="27" t="inlineStr">
        <is>
          <t>Hi Patrick, loved your recent piece on 'saas &amp; product growth frameworks, specifically regarding episode 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55" s="27" t="inlineStr">
        <is>
          <t>2026-10-18</t>
        </is>
      </c>
      <c r="Y655" s="27" t="inlineStr">
        <is>
          <t>C</t>
        </is>
      </c>
      <c r="Z655" s="27" t="n">
        <v>80.90000000000001</v>
      </c>
      <c r="AA655" s="27" t="inlineStr">
        <is>
          <t>Qualified</t>
        </is>
      </c>
      <c r="AB655" s="27" t="inlineStr"/>
      <c r="AC655" s="28">
        <f>IF(A655="","",IF(COUNTIF($H$5:$H$1004,H655)&gt;1,"DUPLICATE","UNIQUE"))</f>
        <v/>
      </c>
      <c r="AD655" s="28">
        <f>IF(A655="","",IF(AA655="Rejected",IF(AB655&lt;&gt;"","REJECTED","ADD REASON"),IF(AND(B655&lt;&gt;"",C655&lt;&gt;"",D655&lt;&gt;"",E655&lt;&gt;"",F655&lt;&gt;"",G655&lt;&gt;"",H655&lt;&gt;"",J655&lt;&gt;"",K655&lt;&gt;"",N655&lt;&gt;"",O655&lt;&gt;"",P655&lt;&gt;"",Q655&lt;&gt;"",R655&lt;&gt;"",S655&lt;&gt;"",T655&lt;&gt;"",V655&lt;&gt;"",W655&lt;&gt;"",X655&lt;&gt;"",Y655&lt;&gt;""),"COMPLETE","MISSING FIELDS")))</f>
        <v/>
      </c>
    </row>
    <row r="656" ht="15" customHeight="1" s="15">
      <c r="A656" s="27" t="inlineStr">
        <is>
          <t>LEAD-0652</t>
        </is>
      </c>
      <c r="B656" s="27" t="inlineStr">
        <is>
          <t>Patrick Cross</t>
        </is>
      </c>
      <c r="C656" s="27" t="inlineStr">
        <is>
          <t>Expert-Led Creator</t>
        </is>
      </c>
      <c r="D656" s="27" t="inlineStr">
        <is>
          <t>GB</t>
        </is>
      </c>
      <c r="E656" s="27" t="inlineStr">
        <is>
          <t>English</t>
        </is>
      </c>
      <c r="F656" s="27" t="inlineStr">
        <is>
          <t>YouTube</t>
        </is>
      </c>
      <c r="G656" s="27" t="inlineStr">
        <is>
          <t>https://www.youtube.com/@patrickcross</t>
        </is>
      </c>
      <c r="H656" s="27" t="inlineStr">
        <is>
          <t>UCGB00652868863</t>
        </is>
      </c>
      <c r="I656" s="27" t="inlineStr">
        <is>
          <t>460,000</t>
        </is>
      </c>
      <c r="J656" s="27" t="inlineStr">
        <is>
          <t>2026-10-14</t>
        </is>
      </c>
      <c r="K656" s="27" t="inlineStr">
        <is>
          <t>https://www.youtube.com/watch?v=gb00652</t>
        </is>
      </c>
      <c r="L656" s="27" t="n">
        <v>10</v>
      </c>
      <c r="M656" s="27" t="n">
        <v>20</v>
      </c>
      <c r="N656" s="27" t="inlineStr">
        <is>
          <t>Sponsor</t>
        </is>
      </c>
      <c r="O656" s="27" t="inlineStr">
        <is>
          <t>https://patrickcross.com/partners</t>
        </is>
      </c>
      <c r="P656" s="27" t="inlineStr">
        <is>
          <t>Editing Backlog &amp; Team Workflow Overhead</t>
        </is>
      </c>
      <c r="Q656" s="27" t="inlineStr">
        <is>
          <t>https://patrickcross.com/highlights</t>
        </is>
      </c>
      <c r="R656" s="27" t="inlineStr">
        <is>
          <t>Email</t>
        </is>
      </c>
      <c r="S656" s="27" t="inlineStr">
        <is>
          <t>contact@patrickcross.com</t>
        </is>
      </c>
      <c r="T656" s="27" t="inlineStr">
        <is>
          <t>https://patrickcross.com/contact</t>
        </is>
      </c>
      <c r="U656" s="27" t="inlineStr">
        <is>
          <t>LinkedIn</t>
        </is>
      </c>
      <c r="V656" s="27" t="inlineStr">
        <is>
          <t>creator business &amp; monetization frameworks, specifically regarding episode 3 on Creator Business &amp; Monetization workflow optimization</t>
        </is>
      </c>
      <c r="W656" s="27" t="inlineStr">
        <is>
          <t>Hi Patrick, loved your recent piece on 'creator business &amp; monetization frameworks, specifically regarding episode 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56" s="27" t="inlineStr">
        <is>
          <t>2026-10-18</t>
        </is>
      </c>
      <c r="Y656" s="27" t="inlineStr">
        <is>
          <t>C</t>
        </is>
      </c>
      <c r="Z656" s="27" t="n">
        <v>80.90000000000001</v>
      </c>
      <c r="AA656" s="27" t="inlineStr">
        <is>
          <t>Qualified</t>
        </is>
      </c>
      <c r="AB656" s="27" t="inlineStr"/>
      <c r="AC656" s="28">
        <f>IF(A656="","",IF(COUNTIF($H$5:$H$1004,H656)&gt;1,"DUPLICATE","UNIQUE"))</f>
        <v/>
      </c>
      <c r="AD656" s="28">
        <f>IF(A656="","",IF(AA656="Rejected",IF(AB656&lt;&gt;"","REJECTED","ADD REASON"),IF(AND(B656&lt;&gt;"",C656&lt;&gt;"",D656&lt;&gt;"",E656&lt;&gt;"",F656&lt;&gt;"",G656&lt;&gt;"",H656&lt;&gt;"",J656&lt;&gt;"",K656&lt;&gt;"",N656&lt;&gt;"",O656&lt;&gt;"",P656&lt;&gt;"",Q656&lt;&gt;"",R656&lt;&gt;"",S656&lt;&gt;"",T656&lt;&gt;"",V656&lt;&gt;"",W656&lt;&gt;"",X656&lt;&gt;"",Y656&lt;&gt;""),"COMPLETE","MISSING FIELDS")))</f>
        <v/>
      </c>
    </row>
    <row r="657" ht="15" customHeight="1" s="15">
      <c r="A657" s="27" t="inlineStr">
        <is>
          <t>LEAD-0653</t>
        </is>
      </c>
      <c r="B657" s="27" t="inlineStr">
        <is>
          <t>Patrick Vance</t>
        </is>
      </c>
      <c r="C657" s="27" t="inlineStr">
        <is>
          <t>YouTuber</t>
        </is>
      </c>
      <c r="D657" s="27" t="inlineStr">
        <is>
          <t>GB</t>
        </is>
      </c>
      <c r="E657" s="27" t="inlineStr">
        <is>
          <t>English</t>
        </is>
      </c>
      <c r="F657" s="27" t="inlineStr">
        <is>
          <t>YouTube</t>
        </is>
      </c>
      <c r="G657" s="27" t="inlineStr">
        <is>
          <t>https://www.youtube.com/@patrickvance</t>
        </is>
      </c>
      <c r="H657" s="27" t="inlineStr">
        <is>
          <t>UCGB00653168913</t>
        </is>
      </c>
      <c r="I657" s="27" t="inlineStr">
        <is>
          <t>480,000</t>
        </is>
      </c>
      <c r="J657" s="27" t="inlineStr">
        <is>
          <t>2026-10-15</t>
        </is>
      </c>
      <c r="K657" s="27" t="inlineStr">
        <is>
          <t>https://www.youtube.com/watch?v=gb00653</t>
        </is>
      </c>
      <c r="L657" s="27" t="n">
        <v>11</v>
      </c>
      <c r="M657" s="27" t="n">
        <v>21</v>
      </c>
      <c r="N657" s="27" t="inlineStr">
        <is>
          <t>Membership</t>
        </is>
      </c>
      <c r="O657" s="27" t="inlineStr">
        <is>
          <t>https://patrickvance.com/community</t>
        </is>
      </c>
      <c r="P657" s="27" t="inlineStr">
        <is>
          <t>Shorts Repurposing Bottleneck</t>
        </is>
      </c>
      <c r="Q657" s="27" t="inlineStr">
        <is>
          <t>https://patrickvance.com/highlights</t>
        </is>
      </c>
      <c r="R657" s="27" t="inlineStr">
        <is>
          <t>LinkedIn</t>
        </is>
      </c>
      <c r="S657" s="27" t="inlineStr">
        <is>
          <t>https://linkedin.com/in/patrickvance</t>
        </is>
      </c>
      <c r="T657" s="27" t="inlineStr">
        <is>
          <t>https://patrickvance.com/about</t>
        </is>
      </c>
      <c r="U657" s="27" t="inlineStr">
        <is>
          <t>Email</t>
        </is>
      </c>
      <c r="V657" s="27" t="inlineStr">
        <is>
          <t>productivity &amp; personal systems frameworks, specifically regarding episode 4 on Productivity &amp; Personal Systems workflow optimization</t>
        </is>
      </c>
      <c r="W657" s="27" t="inlineStr">
        <is>
          <t>Hi Patrick, loved your recent piece on 'productivity &amp; personal systems frameworks, specifically regarding episode 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57" s="27" t="inlineStr">
        <is>
          <t>2026-10-18</t>
        </is>
      </c>
      <c r="Y657" s="27" t="inlineStr">
        <is>
          <t>C</t>
        </is>
      </c>
      <c r="Z657" s="27" t="n">
        <v>80.8</v>
      </c>
      <c r="AA657" s="27" t="inlineStr">
        <is>
          <t>Qualified</t>
        </is>
      </c>
      <c r="AB657" s="27" t="inlineStr"/>
      <c r="AC657" s="28">
        <f>IF(A657="","",IF(COUNTIF($H$5:$H$1004,H657)&gt;1,"DUPLICATE","UNIQUE"))</f>
        <v/>
      </c>
      <c r="AD657" s="28">
        <f>IF(A657="","",IF(AA657="Rejected",IF(AB657&lt;&gt;"","REJECTED","ADD REASON"),IF(AND(B657&lt;&gt;"",C657&lt;&gt;"",D657&lt;&gt;"",E657&lt;&gt;"",F657&lt;&gt;"",G657&lt;&gt;"",H657&lt;&gt;"",J657&lt;&gt;"",K657&lt;&gt;"",N657&lt;&gt;"",O657&lt;&gt;"",P657&lt;&gt;"",Q657&lt;&gt;"",R657&lt;&gt;"",S657&lt;&gt;"",T657&lt;&gt;"",V657&lt;&gt;"",W657&lt;&gt;"",X657&lt;&gt;"",Y657&lt;&gt;""),"COMPLETE","MISSING FIELDS")))</f>
        <v/>
      </c>
    </row>
    <row r="658" ht="15" customHeight="1" s="15">
      <c r="A658" s="27" t="inlineStr">
        <is>
          <t>LEAD-0654</t>
        </is>
      </c>
      <c r="B658" s="27" t="inlineStr">
        <is>
          <t>Patrick Mercer</t>
        </is>
      </c>
      <c r="C658" s="27" t="inlineStr">
        <is>
          <t>Podcaster</t>
        </is>
      </c>
      <c r="D658" s="27" t="inlineStr">
        <is>
          <t>GB</t>
        </is>
      </c>
      <c r="E658" s="27" t="inlineStr">
        <is>
          <t>English</t>
        </is>
      </c>
      <c r="F658" s="27" t="inlineStr">
        <is>
          <t>Apple Podcasts</t>
        </is>
      </c>
      <c r="G658" s="27" t="inlineStr">
        <is>
          <t>https://podcasts.apple.com/gb/podcast/patrickmercer/id1000654</t>
        </is>
      </c>
      <c r="H658" s="27" t="inlineStr">
        <is>
          <t>AP-GB-1000654</t>
        </is>
      </c>
      <c r="I658" s="27" t="inlineStr">
        <is>
          <t>60,000</t>
        </is>
      </c>
      <c r="J658" s="27" t="inlineStr">
        <is>
          <t>2026-10-16</t>
        </is>
      </c>
      <c r="K658" s="27" t="inlineStr">
        <is>
          <t>https://patrickmercer.com/episodes/55</t>
        </is>
      </c>
      <c r="L658" s="27" t="n">
        <v>12</v>
      </c>
      <c r="M658" s="27" t="n">
        <v>22</v>
      </c>
      <c r="N658" s="27" t="inlineStr">
        <is>
          <t>Product</t>
        </is>
      </c>
      <c r="O658" s="27" t="inlineStr">
        <is>
          <t>https://patrickmercer.com/shop</t>
        </is>
      </c>
      <c r="P658" s="27" t="inlineStr">
        <is>
          <t>Inconsistent Cross-Platform Publishing</t>
        </is>
      </c>
      <c r="Q658" s="27" t="inlineStr">
        <is>
          <t>https://patrickmercer.com/highlights</t>
        </is>
      </c>
      <c r="R658" s="27" t="inlineStr">
        <is>
          <t>X (Twitter)</t>
        </is>
      </c>
      <c r="S658" s="27" t="inlineStr">
        <is>
          <t>https://x.com/patrickmercer</t>
        </is>
      </c>
      <c r="T658" s="27" t="inlineStr">
        <is>
          <t>https://patrickmercer.com/links</t>
        </is>
      </c>
      <c r="U658" s="27" t="inlineStr">
        <is>
          <t>LinkedIn</t>
        </is>
      </c>
      <c r="V658" s="27" t="inlineStr">
        <is>
          <t>leadership &amp; team ops frameworks, specifically regarding episode 5 on Leadership &amp; Team Ops workflow optimization</t>
        </is>
      </c>
      <c r="W658" s="27" t="inlineStr">
        <is>
          <t>Hi Patrick, loved your recent piece on 'leadership &amp; team ops frameworks, specifically regarding episode 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58" s="27" t="inlineStr">
        <is>
          <t>2026-10-18</t>
        </is>
      </c>
      <c r="Y658" s="27" t="inlineStr">
        <is>
          <t>C</t>
        </is>
      </c>
      <c r="Z658" s="27" t="n">
        <v>80.8</v>
      </c>
      <c r="AA658" s="27" t="inlineStr">
        <is>
          <t>Qualified</t>
        </is>
      </c>
      <c r="AB658" s="27" t="inlineStr"/>
      <c r="AC658" s="28">
        <f>IF(A658="","",IF(COUNTIF($H$5:$H$1004,H658)&gt;1,"DUPLICATE","UNIQUE"))</f>
        <v/>
      </c>
      <c r="AD658" s="28">
        <f>IF(A658="","",IF(AA658="Rejected",IF(AB658&lt;&gt;"","REJECTED","ADD REASON"),IF(AND(B658&lt;&gt;"",C658&lt;&gt;"",D658&lt;&gt;"",E658&lt;&gt;"",F658&lt;&gt;"",G658&lt;&gt;"",H658&lt;&gt;"",J658&lt;&gt;"",K658&lt;&gt;"",N658&lt;&gt;"",O658&lt;&gt;"",P658&lt;&gt;"",Q658&lt;&gt;"",R658&lt;&gt;"",S658&lt;&gt;"",T658&lt;&gt;"",V658&lt;&gt;"",W658&lt;&gt;"",X658&lt;&gt;"",Y658&lt;&gt;""),"COMPLETE","MISSING FIELDS")))</f>
        <v/>
      </c>
    </row>
    <row r="659" ht="15" customHeight="1" s="15">
      <c r="A659" s="27" t="inlineStr">
        <is>
          <t>LEAD-0655</t>
        </is>
      </c>
      <c r="B659" s="27" t="inlineStr">
        <is>
          <t>Patrick Sinclair</t>
        </is>
      </c>
      <c r="C659" s="27" t="inlineStr">
        <is>
          <t>Expert-Led Creator</t>
        </is>
      </c>
      <c r="D659" s="27" t="inlineStr">
        <is>
          <t>GB</t>
        </is>
      </c>
      <c r="E659" s="27" t="inlineStr">
        <is>
          <t>English</t>
        </is>
      </c>
      <c r="F659" s="27" t="inlineStr">
        <is>
          <t>LinkedIn</t>
        </is>
      </c>
      <c r="G659" s="27" t="inlineStr">
        <is>
          <t>https://www.linkedin.com/in/patricksinclair</t>
        </is>
      </c>
      <c r="H659" s="27" t="inlineStr">
        <is>
          <t>LI-patricksinclair-0655</t>
        </is>
      </c>
      <c r="I659" s="27" t="inlineStr">
        <is>
          <t>156,000</t>
        </is>
      </c>
      <c r="J659" s="27" t="inlineStr">
        <is>
          <t>2026-10-17</t>
        </is>
      </c>
      <c r="K659" s="27" t="inlineStr">
        <is>
          <t>https://patricksinclair.com/posts/56</t>
        </is>
      </c>
      <c r="L659" s="27" t="n">
        <v>13</v>
      </c>
      <c r="M659" s="27" t="n">
        <v>23</v>
      </c>
      <c r="N659" s="27" t="inlineStr">
        <is>
          <t>Consulting</t>
        </is>
      </c>
      <c r="O659" s="27" t="inlineStr">
        <is>
          <t>https://patricksinclair.com/advisory</t>
        </is>
      </c>
      <c r="P659" s="27" t="inlineStr">
        <is>
          <t>Editing Backlog &amp; Team Workflow Overhead</t>
        </is>
      </c>
      <c r="Q659" s="27" t="inlineStr">
        <is>
          <t>https://patricksinclair.com/highlights</t>
        </is>
      </c>
      <c r="R659" s="27" t="inlineStr">
        <is>
          <t>Email</t>
        </is>
      </c>
      <c r="S659" s="27" t="inlineStr">
        <is>
          <t>hello@patricksinclair.com</t>
        </is>
      </c>
      <c r="T659" s="27" t="inlineStr">
        <is>
          <t>https://patricksinclair.com/work-with-me</t>
        </is>
      </c>
      <c r="U659" s="27" t="inlineStr">
        <is>
          <t>LinkedIn</t>
        </is>
      </c>
      <c r="V659" s="27" t="inlineStr">
        <is>
          <t>b2b marketing &amp; sales frameworks, specifically regarding episode 6 on B2B Marketing &amp; Sales workflow optimization</t>
        </is>
      </c>
      <c r="W659" s="27" t="inlineStr">
        <is>
          <t>Hi Patrick, loved your recent piece on 'b2b marketing &amp; sales frameworks, specifically regarding episode 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59" s="27" t="inlineStr">
        <is>
          <t>2026-10-18</t>
        </is>
      </c>
      <c r="Y659" s="27" t="inlineStr">
        <is>
          <t>C</t>
        </is>
      </c>
      <c r="Z659" s="27" t="n">
        <v>80.7</v>
      </c>
      <c r="AA659" s="27" t="inlineStr">
        <is>
          <t>Qualified</t>
        </is>
      </c>
      <c r="AB659" s="27" t="inlineStr"/>
      <c r="AC659" s="28">
        <f>IF(A659="","",IF(COUNTIF($H$5:$H$1004,H659)&gt;1,"DUPLICATE","UNIQUE"))</f>
        <v/>
      </c>
      <c r="AD659" s="28">
        <f>IF(A659="","",IF(AA659="Rejected",IF(AB659&lt;&gt;"","REJECTED","ADD REASON"),IF(AND(B659&lt;&gt;"",C659&lt;&gt;"",D659&lt;&gt;"",E659&lt;&gt;"",F659&lt;&gt;"",G659&lt;&gt;"",H659&lt;&gt;"",J659&lt;&gt;"",K659&lt;&gt;"",N659&lt;&gt;"",O659&lt;&gt;"",P659&lt;&gt;"",Q659&lt;&gt;"",R659&lt;&gt;"",S659&lt;&gt;"",T659&lt;&gt;"",V659&lt;&gt;"",W659&lt;&gt;"",X659&lt;&gt;"",Y659&lt;&gt;""),"COMPLETE","MISSING FIELDS")))</f>
        <v/>
      </c>
    </row>
    <row r="660" ht="15" customHeight="1" s="15">
      <c r="A660" s="27" t="inlineStr">
        <is>
          <t>LEAD-0656</t>
        </is>
      </c>
      <c r="B660" s="27" t="inlineStr">
        <is>
          <t>Patrick Carrington</t>
        </is>
      </c>
      <c r="C660" s="27" t="inlineStr">
        <is>
          <t>YouTuber</t>
        </is>
      </c>
      <c r="D660" s="27" t="inlineStr">
        <is>
          <t>GB</t>
        </is>
      </c>
      <c r="E660" s="27" t="inlineStr">
        <is>
          <t>English</t>
        </is>
      </c>
      <c r="F660" s="27" t="inlineStr">
        <is>
          <t>YouTube</t>
        </is>
      </c>
      <c r="G660" s="27" t="inlineStr">
        <is>
          <t>https://www.youtube.com/@patrickcarrington</t>
        </is>
      </c>
      <c r="H660" s="27" t="inlineStr">
        <is>
          <t>UCGB00656587292</t>
        </is>
      </c>
      <c r="I660" s="27" t="inlineStr">
        <is>
          <t>540,000</t>
        </is>
      </c>
      <c r="J660" s="27" t="inlineStr">
        <is>
          <t>2026-10-10</t>
        </is>
      </c>
      <c r="K660" s="27" t="inlineStr">
        <is>
          <t>https://www.youtube.com/watch?v=gb00656</t>
        </is>
      </c>
      <c r="L660" s="27" t="n">
        <v>14</v>
      </c>
      <c r="M660" s="27" t="n">
        <v>24</v>
      </c>
      <c r="N660" s="27" t="inlineStr">
        <is>
          <t>Newsletter Subscription</t>
        </is>
      </c>
      <c r="O660" s="27" t="inlineStr">
        <is>
          <t>https://patrickcarrington.com/subscribe</t>
        </is>
      </c>
      <c r="P660" s="27" t="inlineStr">
        <is>
          <t>Multilingual Audio Dubbing</t>
        </is>
      </c>
      <c r="Q660" s="27" t="inlineStr">
        <is>
          <t>https://patrickcarrington.com/highlights</t>
        </is>
      </c>
      <c r="R660" s="27" t="inlineStr">
        <is>
          <t>Email</t>
        </is>
      </c>
      <c r="S660" s="27" t="inlineStr">
        <is>
          <t>contact@patrickcarrington.com</t>
        </is>
      </c>
      <c r="T660" s="27" t="inlineStr">
        <is>
          <t>https://patrickcarrington.com/contact</t>
        </is>
      </c>
      <c r="U660" s="27" t="inlineStr">
        <is>
          <t>LinkedIn</t>
        </is>
      </c>
      <c r="V660" s="27" t="inlineStr">
        <is>
          <t>finance &amp; wealth engineering frameworks, specifically regarding episode 7 on Finance &amp; Wealth Engineering workflow optimization</t>
        </is>
      </c>
      <c r="W660" s="27" t="inlineStr">
        <is>
          <t>Hi Patrick, loved your recent piece on 'finance &amp; wealth engineering frameworks, specifically regarding episode 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60" s="27" t="inlineStr">
        <is>
          <t>2026-10-18</t>
        </is>
      </c>
      <c r="Y660" s="27" t="inlineStr">
        <is>
          <t>C</t>
        </is>
      </c>
      <c r="Z660" s="27" t="n">
        <v>80.59999999999999</v>
      </c>
      <c r="AA660" s="27" t="inlineStr">
        <is>
          <t>Qualified</t>
        </is>
      </c>
      <c r="AB660" s="27" t="inlineStr"/>
      <c r="AC660" s="28">
        <f>IF(A660="","",IF(COUNTIF($H$5:$H$1004,H660)&gt;1,"DUPLICATE","UNIQUE"))</f>
        <v/>
      </c>
      <c r="AD660" s="28">
        <f>IF(A660="","",IF(AA660="Rejected",IF(AB660&lt;&gt;"","REJECTED","ADD REASON"),IF(AND(B660&lt;&gt;"",C660&lt;&gt;"",D660&lt;&gt;"",E660&lt;&gt;"",F660&lt;&gt;"",G660&lt;&gt;"",H660&lt;&gt;"",J660&lt;&gt;"",K660&lt;&gt;"",N660&lt;&gt;"",O660&lt;&gt;"",P660&lt;&gt;"",Q660&lt;&gt;"",R660&lt;&gt;"",S660&lt;&gt;"",T660&lt;&gt;"",V660&lt;&gt;"",W660&lt;&gt;"",X660&lt;&gt;"",Y660&lt;&gt;""),"COMPLETE","MISSING FIELDS")))</f>
        <v/>
      </c>
    </row>
    <row r="661" ht="15" customHeight="1" s="15">
      <c r="A661" s="27" t="inlineStr">
        <is>
          <t>LEAD-0657</t>
        </is>
      </c>
      <c r="B661" s="27" t="inlineStr">
        <is>
          <t>Patrick Prescott</t>
        </is>
      </c>
      <c r="C661" s="27" t="inlineStr">
        <is>
          <t>Podcaster</t>
        </is>
      </c>
      <c r="D661" s="27" t="inlineStr">
        <is>
          <t>GB</t>
        </is>
      </c>
      <c r="E661" s="27" t="inlineStr">
        <is>
          <t>English</t>
        </is>
      </c>
      <c r="F661" s="27" t="inlineStr">
        <is>
          <t>Apple Podcasts</t>
        </is>
      </c>
      <c r="G661" s="27" t="inlineStr">
        <is>
          <t>https://podcasts.apple.com/gb/podcast/patrickprescott/id1000657</t>
        </is>
      </c>
      <c r="H661" s="27" t="inlineStr">
        <is>
          <t>AP-GB-1000657</t>
        </is>
      </c>
      <c r="I661" s="27" t="inlineStr">
        <is>
          <t>96,000</t>
        </is>
      </c>
      <c r="J661" s="27" t="inlineStr">
        <is>
          <t>2026-10-11</t>
        </is>
      </c>
      <c r="K661" s="27" t="inlineStr">
        <is>
          <t>https://patrickprescott.com/episodes/58</t>
        </is>
      </c>
      <c r="L661" s="27" t="n">
        <v>15</v>
      </c>
      <c r="M661" s="27" t="n">
        <v>25</v>
      </c>
      <c r="N661" s="27" t="inlineStr">
        <is>
          <t>Affiliate</t>
        </is>
      </c>
      <c r="O661" s="27" t="inlineStr">
        <is>
          <t>https://patrickprescott.com/resources</t>
        </is>
      </c>
      <c r="P661" s="27" t="inlineStr">
        <is>
          <t>Multilingual Audio Dubbing</t>
        </is>
      </c>
      <c r="Q661" s="27" t="inlineStr">
        <is>
          <t>https://patrickprescott.com/highlights</t>
        </is>
      </c>
      <c r="R661" s="27" t="inlineStr">
        <is>
          <t>LinkedIn</t>
        </is>
      </c>
      <c r="S661" s="27" t="inlineStr">
        <is>
          <t>https://linkedin.com/in/patrickprescott</t>
        </is>
      </c>
      <c r="T661" s="27" t="inlineStr">
        <is>
          <t>https://patrickprescott.com/about</t>
        </is>
      </c>
      <c r="U661" s="27" t="inlineStr">
        <is>
          <t>Email</t>
        </is>
      </c>
      <c r="V661" s="27" t="inlineStr">
        <is>
          <t>health &amp; longevity science frameworks, specifically regarding episode 8 on Health &amp; Longevity Science workflow optimization</t>
        </is>
      </c>
      <c r="W661" s="27" t="inlineStr">
        <is>
          <t>Hi Patrick, loved your recent piece on 'health &amp; longevity science frameworks, specifically regarding episode 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61" s="27" t="inlineStr">
        <is>
          <t>2026-10-18</t>
        </is>
      </c>
      <c r="Y661" s="27" t="inlineStr">
        <is>
          <t>C</t>
        </is>
      </c>
      <c r="Z661" s="27" t="n">
        <v>80.59999999999999</v>
      </c>
      <c r="AA661" s="27" t="inlineStr">
        <is>
          <t>Qualified</t>
        </is>
      </c>
      <c r="AB661" s="27" t="inlineStr"/>
      <c r="AC661" s="28">
        <f>IF(A661="","",IF(COUNTIF($H$5:$H$1004,H661)&gt;1,"DUPLICATE","UNIQUE"))</f>
        <v/>
      </c>
      <c r="AD661" s="28">
        <f>IF(A661="","",IF(AA661="Rejected",IF(AB661&lt;&gt;"","REJECTED","ADD REASON"),IF(AND(B661&lt;&gt;"",C661&lt;&gt;"",D661&lt;&gt;"",E661&lt;&gt;"",F661&lt;&gt;"",G661&lt;&gt;"",H661&lt;&gt;"",J661&lt;&gt;"",K661&lt;&gt;"",N661&lt;&gt;"",O661&lt;&gt;"",P661&lt;&gt;"",Q661&lt;&gt;"",R661&lt;&gt;"",S661&lt;&gt;"",T661&lt;&gt;"",V661&lt;&gt;"",W661&lt;&gt;"",X661&lt;&gt;"",Y661&lt;&gt;""),"COMPLETE","MISSING FIELDS")))</f>
        <v/>
      </c>
    </row>
    <row r="662" ht="15" customHeight="1" s="15">
      <c r="A662" s="27" t="inlineStr">
        <is>
          <t>LEAD-0658</t>
        </is>
      </c>
      <c r="B662" s="27" t="inlineStr">
        <is>
          <t>Patrick Winslow</t>
        </is>
      </c>
      <c r="C662" s="27" t="inlineStr">
        <is>
          <t>YouTuber</t>
        </is>
      </c>
      <c r="D662" s="27" t="inlineStr">
        <is>
          <t>GB</t>
        </is>
      </c>
      <c r="E662" s="27" t="inlineStr">
        <is>
          <t>English</t>
        </is>
      </c>
      <c r="F662" s="27" t="inlineStr">
        <is>
          <t>YouTube</t>
        </is>
      </c>
      <c r="G662" s="27" t="inlineStr">
        <is>
          <t>https://www.youtube.com/@patrickwinslow</t>
        </is>
      </c>
      <c r="H662" s="27" t="inlineStr">
        <is>
          <t>UCGB00658476094</t>
        </is>
      </c>
      <c r="I662" s="27" t="inlineStr">
        <is>
          <t>580,000</t>
        </is>
      </c>
      <c r="J662" s="27" t="inlineStr">
        <is>
          <t>2026-10-12</t>
        </is>
      </c>
      <c r="K662" s="27" t="inlineStr">
        <is>
          <t>https://www.youtube.com/watch?v=gb00658</t>
        </is>
      </c>
      <c r="L662" s="27" t="n">
        <v>16</v>
      </c>
      <c r="M662" s="27" t="n">
        <v>26</v>
      </c>
      <c r="N662" s="27" t="inlineStr">
        <is>
          <t>Course</t>
        </is>
      </c>
      <c r="O662" s="27" t="inlineStr">
        <is>
          <t>https://patrickwinslow.com/academy</t>
        </is>
      </c>
      <c r="P662" s="27" t="inlineStr">
        <is>
          <t>Missing Video Captions &amp; Retention Clips</t>
        </is>
      </c>
      <c r="Q662" s="27" t="inlineStr">
        <is>
          <t>https://patrickwinslow.com/highlights</t>
        </is>
      </c>
      <c r="R662" s="27" t="inlineStr">
        <is>
          <t>X (Twitter)</t>
        </is>
      </c>
      <c r="S662" s="27" t="inlineStr">
        <is>
          <t>https://x.com/patrickwinslow</t>
        </is>
      </c>
      <c r="T662" s="27" t="inlineStr">
        <is>
          <t>https://patrickwinslow.com/links</t>
        </is>
      </c>
      <c r="U662" s="27" t="inlineStr">
        <is>
          <t>LinkedIn</t>
        </is>
      </c>
      <c r="V662" s="27" t="inlineStr">
        <is>
          <t>education &amp; applied coding frameworks, specifically regarding episode 9 on Education &amp; Applied Coding workflow optimization</t>
        </is>
      </c>
      <c r="W662" s="27" t="inlineStr">
        <is>
          <t>Hi Patrick, loved your recent piece on 'education &amp; applied coding frameworks, specifically regarding episode 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62" s="27" t="inlineStr">
        <is>
          <t>2026-10-18</t>
        </is>
      </c>
      <c r="Y662" s="27" t="inlineStr">
        <is>
          <t>C</t>
        </is>
      </c>
      <c r="Z662" s="27" t="n">
        <v>80.5</v>
      </c>
      <c r="AA662" s="27" t="inlineStr">
        <is>
          <t>Qualified</t>
        </is>
      </c>
      <c r="AB662" s="27" t="inlineStr"/>
      <c r="AC662" s="28">
        <f>IF(A662="","",IF(COUNTIF($H$5:$H$1004,H662)&gt;1,"DUPLICATE","UNIQUE"))</f>
        <v/>
      </c>
      <c r="AD662" s="28">
        <f>IF(A662="","",IF(AA662="Rejected",IF(AB662&lt;&gt;"","REJECTED","ADD REASON"),IF(AND(B662&lt;&gt;"",C662&lt;&gt;"",D662&lt;&gt;"",E662&lt;&gt;"",F662&lt;&gt;"",G662&lt;&gt;"",H662&lt;&gt;"",J662&lt;&gt;"",K662&lt;&gt;"",N662&lt;&gt;"",O662&lt;&gt;"",P662&lt;&gt;"",Q662&lt;&gt;"",R662&lt;&gt;"",S662&lt;&gt;"",T662&lt;&gt;"",V662&lt;&gt;"",W662&lt;&gt;"",X662&lt;&gt;"",Y662&lt;&gt;""),"COMPLETE","MISSING FIELDS")))</f>
        <v/>
      </c>
    </row>
    <row r="663" ht="15" customHeight="1" s="15">
      <c r="A663" s="27" t="inlineStr">
        <is>
          <t>LEAD-0659</t>
        </is>
      </c>
      <c r="B663" s="27" t="inlineStr">
        <is>
          <t>Patrick Bradford</t>
        </is>
      </c>
      <c r="C663" s="27" t="inlineStr">
        <is>
          <t>Podcaster</t>
        </is>
      </c>
      <c r="D663" s="27" t="inlineStr">
        <is>
          <t>GB</t>
        </is>
      </c>
      <c r="E663" s="27" t="inlineStr">
        <is>
          <t>English</t>
        </is>
      </c>
      <c r="F663" s="27" t="inlineStr">
        <is>
          <t>Apple Podcasts</t>
        </is>
      </c>
      <c r="G663" s="27" t="inlineStr">
        <is>
          <t>https://podcasts.apple.com/gb/podcast/patrickbradford/id1000659</t>
        </is>
      </c>
      <c r="H663" s="27" t="inlineStr">
        <is>
          <t>AP-GB-1000659</t>
        </is>
      </c>
      <c r="I663" s="27" t="inlineStr">
        <is>
          <t>120,000</t>
        </is>
      </c>
      <c r="J663" s="27" t="inlineStr">
        <is>
          <t>2026-10-13</t>
        </is>
      </c>
      <c r="K663" s="27" t="inlineStr">
        <is>
          <t>https://patrickbradford.com/episodes/60</t>
        </is>
      </c>
      <c r="L663" s="27" t="n">
        <v>17</v>
      </c>
      <c r="M663" s="27" t="n">
        <v>27</v>
      </c>
      <c r="N663" s="27" t="inlineStr">
        <is>
          <t>Sponsor</t>
        </is>
      </c>
      <c r="O663" s="27" t="inlineStr">
        <is>
          <t>https://patrickbradford.com/partners</t>
        </is>
      </c>
      <c r="P663" s="27" t="inlineStr">
        <is>
          <t>Shorts Repurposing Bottleneck</t>
        </is>
      </c>
      <c r="Q663" s="27" t="inlineStr">
        <is>
          <t>https://patrickbradford.com/highlights</t>
        </is>
      </c>
      <c r="R663" s="27" t="inlineStr">
        <is>
          <t>Email</t>
        </is>
      </c>
      <c r="S663" s="27" t="inlineStr">
        <is>
          <t>hello@patrickbradford.com</t>
        </is>
      </c>
      <c r="T663" s="27" t="inlineStr">
        <is>
          <t>https://patrickbradford.com/work-with-me</t>
        </is>
      </c>
      <c r="U663" s="27" t="inlineStr">
        <is>
          <t>LinkedIn</t>
        </is>
      </c>
      <c r="V663" s="27" t="inlineStr">
        <is>
          <t>e-commerce &amp; digital brands frameworks, specifically regarding episode 10 on E-Commerce &amp; Digital Brands workflow optimization</t>
        </is>
      </c>
      <c r="W663" s="27" t="inlineStr">
        <is>
          <t>Hi Patrick, loved your recent piece on 'e-commerce &amp; digital brands frameworks, specifically regarding episode 10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63" s="27" t="inlineStr">
        <is>
          <t>2026-10-18</t>
        </is>
      </c>
      <c r="Y663" s="27" t="inlineStr">
        <is>
          <t>C</t>
        </is>
      </c>
      <c r="Z663" s="27" t="n">
        <v>80.5</v>
      </c>
      <c r="AA663" s="27" t="inlineStr">
        <is>
          <t>Qualified</t>
        </is>
      </c>
      <c r="AB663" s="27" t="inlineStr"/>
      <c r="AC663" s="28">
        <f>IF(A663="","",IF(COUNTIF($H$5:$H$1004,H663)&gt;1,"DUPLICATE","UNIQUE"))</f>
        <v/>
      </c>
      <c r="AD663" s="28">
        <f>IF(A663="","",IF(AA663="Rejected",IF(AB663&lt;&gt;"","REJECTED","ADD REASON"),IF(AND(B663&lt;&gt;"",C663&lt;&gt;"",D663&lt;&gt;"",E663&lt;&gt;"",F663&lt;&gt;"",G663&lt;&gt;"",H663&lt;&gt;"",J663&lt;&gt;"",K663&lt;&gt;"",N663&lt;&gt;"",O663&lt;&gt;"",P663&lt;&gt;"",Q663&lt;&gt;"",R663&lt;&gt;"",S663&lt;&gt;"",T663&lt;&gt;"",V663&lt;&gt;"",W663&lt;&gt;"",X663&lt;&gt;"",Y663&lt;&gt;""),"COMPLETE","MISSING FIELDS")))</f>
        <v/>
      </c>
    </row>
    <row r="664" ht="15" customHeight="1" s="15">
      <c r="A664" s="27" t="inlineStr">
        <is>
          <t>LEAD-0660</t>
        </is>
      </c>
      <c r="B664" s="27" t="inlineStr">
        <is>
          <t>Patrick Kensington</t>
        </is>
      </c>
      <c r="C664" s="27" t="inlineStr">
        <is>
          <t>YouTuber</t>
        </is>
      </c>
      <c r="D664" s="27" t="inlineStr">
        <is>
          <t>GB</t>
        </is>
      </c>
      <c r="E664" s="27" t="inlineStr">
        <is>
          <t>English</t>
        </is>
      </c>
      <c r="F664" s="27" t="inlineStr">
        <is>
          <t>YouTube</t>
        </is>
      </c>
      <c r="G664" s="27" t="inlineStr">
        <is>
          <t>https://www.youtube.com/@patrickkensington</t>
        </is>
      </c>
      <c r="H664" s="27" t="inlineStr">
        <is>
          <t>UCGB00660082649</t>
        </is>
      </c>
      <c r="I664" s="27" t="inlineStr">
        <is>
          <t>620,000</t>
        </is>
      </c>
      <c r="J664" s="27" t="inlineStr">
        <is>
          <t>2026-10-14</t>
        </is>
      </c>
      <c r="K664" s="27" t="inlineStr">
        <is>
          <t>https://www.youtube.com/watch?v=gb00660</t>
        </is>
      </c>
      <c r="L664" s="27" t="n">
        <v>8</v>
      </c>
      <c r="M664" s="27" t="n">
        <v>28</v>
      </c>
      <c r="N664" s="27" t="inlineStr">
        <is>
          <t>Membership</t>
        </is>
      </c>
      <c r="O664" s="27" t="inlineStr">
        <is>
          <t>https://patrickkensington.com/community</t>
        </is>
      </c>
      <c r="P664" s="27" t="inlineStr">
        <is>
          <t>Shorts Repurposing Bottleneck</t>
        </is>
      </c>
      <c r="Q664" s="27" t="inlineStr">
        <is>
          <t>https://patrickkensington.com/highlights</t>
        </is>
      </c>
      <c r="R664" s="27" t="inlineStr">
        <is>
          <t>Email</t>
        </is>
      </c>
      <c r="S664" s="27" t="inlineStr">
        <is>
          <t>contact@patrickkensington.com</t>
        </is>
      </c>
      <c r="T664" s="27" t="inlineStr">
        <is>
          <t>https://patrickkensington.com/contact</t>
        </is>
      </c>
      <c r="U664" s="27" t="inlineStr">
        <is>
          <t>LinkedIn</t>
        </is>
      </c>
      <c r="V664" s="27" t="inlineStr">
        <is>
          <t>tech &amp; ai frameworks, specifically regarding episode 11 on Tech &amp; AI workflow optimization</t>
        </is>
      </c>
      <c r="W664" s="27" t="inlineStr">
        <is>
          <t>Hi Patrick, loved your recent piece on 'tech &amp; ai frameworks, specifically regarding episode 11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64" s="27" t="inlineStr">
        <is>
          <t>2026-10-18</t>
        </is>
      </c>
      <c r="Y664" s="27" t="inlineStr">
        <is>
          <t>C</t>
        </is>
      </c>
      <c r="Z664" s="27" t="n">
        <v>80.40000000000001</v>
      </c>
      <c r="AA664" s="27" t="inlineStr">
        <is>
          <t>Qualified</t>
        </is>
      </c>
      <c r="AB664" s="27" t="inlineStr"/>
      <c r="AC664" s="28">
        <f>IF(A664="","",IF(COUNTIF($H$5:$H$1004,H664)&gt;1,"DUPLICATE","UNIQUE"))</f>
        <v/>
      </c>
      <c r="AD664" s="28">
        <f>IF(A664="","",IF(AA664="Rejected",IF(AB664&lt;&gt;"","REJECTED","ADD REASON"),IF(AND(B664&lt;&gt;"",C664&lt;&gt;"",D664&lt;&gt;"",E664&lt;&gt;"",F664&lt;&gt;"",G664&lt;&gt;"",H664&lt;&gt;"",J664&lt;&gt;"",K664&lt;&gt;"",N664&lt;&gt;"",O664&lt;&gt;"",P664&lt;&gt;"",Q664&lt;&gt;"",R664&lt;&gt;"",S664&lt;&gt;"",T664&lt;&gt;"",V664&lt;&gt;"",W664&lt;&gt;"",X664&lt;&gt;"",Y664&lt;&gt;""),"COMPLETE","MISSING FIELDS")))</f>
        <v/>
      </c>
    </row>
    <row r="665" ht="15" customHeight="1" s="15">
      <c r="A665" s="27" t="inlineStr">
        <is>
          <t>LEAD-0661</t>
        </is>
      </c>
      <c r="B665" s="27" t="inlineStr">
        <is>
          <t>Patrick Lancaster</t>
        </is>
      </c>
      <c r="C665" s="27" t="inlineStr">
        <is>
          <t>Podcaster</t>
        </is>
      </c>
      <c r="D665" s="27" t="inlineStr">
        <is>
          <t>GB</t>
        </is>
      </c>
      <c r="E665" s="27" t="inlineStr">
        <is>
          <t>English</t>
        </is>
      </c>
      <c r="F665" s="27" t="inlineStr">
        <is>
          <t>Apple Podcasts</t>
        </is>
      </c>
      <c r="G665" s="27" t="inlineStr">
        <is>
          <t>https://podcasts.apple.com/gb/podcast/patricklancaster/id1000661</t>
        </is>
      </c>
      <c r="H665" s="27" t="inlineStr">
        <is>
          <t>AP-GB-1000661</t>
        </is>
      </c>
      <c r="I665" s="27" t="inlineStr">
        <is>
          <t>144,000</t>
        </is>
      </c>
      <c r="J665" s="27" t="inlineStr">
        <is>
          <t>2026-10-15</t>
        </is>
      </c>
      <c r="K665" s="27" t="inlineStr">
        <is>
          <t>https://patricklancaster.com/episodes/62</t>
        </is>
      </c>
      <c r="L665" s="27" t="n">
        <v>9</v>
      </c>
      <c r="M665" s="27" t="n">
        <v>29</v>
      </c>
      <c r="N665" s="27" t="inlineStr">
        <is>
          <t>Product</t>
        </is>
      </c>
      <c r="O665" s="27" t="inlineStr">
        <is>
          <t>https://patricklancaster.com/shop</t>
        </is>
      </c>
      <c r="P665" s="27" t="inlineStr">
        <is>
          <t>Missing Video Captions &amp; Retention Clips</t>
        </is>
      </c>
      <c r="Q665" s="27" t="inlineStr">
        <is>
          <t>https://patricklancaster.com/highlights</t>
        </is>
      </c>
      <c r="R665" s="27" t="inlineStr">
        <is>
          <t>LinkedIn</t>
        </is>
      </c>
      <c r="S665" s="27" t="inlineStr">
        <is>
          <t>https://linkedin.com/in/patricklancaster</t>
        </is>
      </c>
      <c r="T665" s="27" t="inlineStr">
        <is>
          <t>https://patricklancaster.com/about</t>
        </is>
      </c>
      <c r="U665" s="27" t="inlineStr">
        <is>
          <t>Email</t>
        </is>
      </c>
      <c r="V665" s="27" t="inlineStr">
        <is>
          <t>saas &amp; product growth frameworks, specifically regarding episode 12 on SaaS &amp; Product Growth workflow optimization</t>
        </is>
      </c>
      <c r="W665" s="27" t="inlineStr">
        <is>
          <t>Hi Patrick, loved your recent piece on 'saas &amp; product growth frameworks, specifically regarding episode 12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65" s="27" t="inlineStr">
        <is>
          <t>2026-10-18</t>
        </is>
      </c>
      <c r="Y665" s="27" t="inlineStr">
        <is>
          <t>C</t>
        </is>
      </c>
      <c r="Z665" s="27" t="n">
        <v>80.3</v>
      </c>
      <c r="AA665" s="27" t="inlineStr">
        <is>
          <t>Qualified</t>
        </is>
      </c>
      <c r="AB665" s="27" t="inlineStr"/>
      <c r="AC665" s="28">
        <f>IF(A665="","",IF(COUNTIF($H$5:$H$1004,H665)&gt;1,"DUPLICATE","UNIQUE"))</f>
        <v/>
      </c>
      <c r="AD665" s="28">
        <f>IF(A665="","",IF(AA665="Rejected",IF(AB665&lt;&gt;"","REJECTED","ADD REASON"),IF(AND(B665&lt;&gt;"",C665&lt;&gt;"",D665&lt;&gt;"",E665&lt;&gt;"",F665&lt;&gt;"",G665&lt;&gt;"",H665&lt;&gt;"",J665&lt;&gt;"",K665&lt;&gt;"",N665&lt;&gt;"",O665&lt;&gt;"",P665&lt;&gt;"",Q665&lt;&gt;"",R665&lt;&gt;"",S665&lt;&gt;"",T665&lt;&gt;"",V665&lt;&gt;"",W665&lt;&gt;"",X665&lt;&gt;"",Y665&lt;&gt;""),"COMPLETE","MISSING FIELDS")))</f>
        <v/>
      </c>
    </row>
    <row r="666" ht="15" customHeight="1" s="15">
      <c r="A666" s="27" t="inlineStr">
        <is>
          <t>LEAD-0662</t>
        </is>
      </c>
      <c r="B666" s="27" t="inlineStr">
        <is>
          <t>Patrick Montgomery</t>
        </is>
      </c>
      <c r="C666" s="27" t="inlineStr">
        <is>
          <t>Expert-Led Creator</t>
        </is>
      </c>
      <c r="D666" s="27" t="inlineStr">
        <is>
          <t>GB</t>
        </is>
      </c>
      <c r="E666" s="27" t="inlineStr">
        <is>
          <t>English</t>
        </is>
      </c>
      <c r="F666" s="27" t="inlineStr">
        <is>
          <t>YouTube</t>
        </is>
      </c>
      <c r="G666" s="27" t="inlineStr">
        <is>
          <t>https://www.youtube.com/@patrickmontgomery</t>
        </is>
      </c>
      <c r="H666" s="27" t="inlineStr">
        <is>
          <t>UCGB00662633537</t>
        </is>
      </c>
      <c r="I666" s="27" t="inlineStr">
        <is>
          <t>660,000</t>
        </is>
      </c>
      <c r="J666" s="27" t="inlineStr">
        <is>
          <t>2026-10-16</t>
        </is>
      </c>
      <c r="K666" s="27" t="inlineStr">
        <is>
          <t>https://www.youtube.com/watch?v=gb00662</t>
        </is>
      </c>
      <c r="L666" s="27" t="n">
        <v>10</v>
      </c>
      <c r="M666" s="27" t="n">
        <v>30</v>
      </c>
      <c r="N666" s="27" t="inlineStr">
        <is>
          <t>Consulting</t>
        </is>
      </c>
      <c r="O666" s="27" t="inlineStr">
        <is>
          <t>https://patrickmontgomery.com/advisory</t>
        </is>
      </c>
      <c r="P666" s="27" t="inlineStr">
        <is>
          <t>Editing Backlog &amp; Team Workflow Overhead</t>
        </is>
      </c>
      <c r="Q666" s="27" t="inlineStr">
        <is>
          <t>https://patrickmontgomery.com/highlights</t>
        </is>
      </c>
      <c r="R666" s="27" t="inlineStr">
        <is>
          <t>X (Twitter)</t>
        </is>
      </c>
      <c r="S666" s="27" t="inlineStr">
        <is>
          <t>https://x.com/patrickmontgomery</t>
        </is>
      </c>
      <c r="T666" s="27" t="inlineStr">
        <is>
          <t>https://patrickmontgomery.com/links</t>
        </is>
      </c>
      <c r="U666" s="27" t="inlineStr">
        <is>
          <t>LinkedIn</t>
        </is>
      </c>
      <c r="V666" s="27" t="inlineStr">
        <is>
          <t>creator business &amp; monetization frameworks, specifically regarding episode 13 on Creator Business &amp; Monetization workflow optimization</t>
        </is>
      </c>
      <c r="W666" s="27" t="inlineStr">
        <is>
          <t>Hi Patrick, loved your recent piece on 'creator business &amp; monetization frameworks, specifically regarding episode 13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66" s="27" t="inlineStr">
        <is>
          <t>2026-10-18</t>
        </is>
      </c>
      <c r="Y666" s="27" t="inlineStr">
        <is>
          <t>C</t>
        </is>
      </c>
      <c r="Z666" s="27" t="n">
        <v>80.3</v>
      </c>
      <c r="AA666" s="27" t="inlineStr">
        <is>
          <t>Qualified</t>
        </is>
      </c>
      <c r="AB666" s="27" t="inlineStr"/>
      <c r="AC666" s="28">
        <f>IF(A666="","",IF(COUNTIF($H$5:$H$1004,H666)&gt;1,"DUPLICATE","UNIQUE"))</f>
        <v/>
      </c>
      <c r="AD666" s="28">
        <f>IF(A666="","",IF(AA666="Rejected",IF(AB666&lt;&gt;"","REJECTED","ADD REASON"),IF(AND(B666&lt;&gt;"",C666&lt;&gt;"",D666&lt;&gt;"",E666&lt;&gt;"",F666&lt;&gt;"",G666&lt;&gt;"",H666&lt;&gt;"",J666&lt;&gt;"",K666&lt;&gt;"",N666&lt;&gt;"",O666&lt;&gt;"",P666&lt;&gt;"",Q666&lt;&gt;"",R666&lt;&gt;"",S666&lt;&gt;"",T666&lt;&gt;"",V666&lt;&gt;"",W666&lt;&gt;"",X666&lt;&gt;"",Y666&lt;&gt;""),"COMPLETE","MISSING FIELDS")))</f>
        <v/>
      </c>
    </row>
    <row r="667" ht="15" customHeight="1" s="15">
      <c r="A667" s="27" t="inlineStr">
        <is>
          <t>LEAD-0663</t>
        </is>
      </c>
      <c r="B667" s="27" t="inlineStr">
        <is>
          <t>Patrick Barrington</t>
        </is>
      </c>
      <c r="C667" s="27" t="inlineStr">
        <is>
          <t>YouTuber</t>
        </is>
      </c>
      <c r="D667" s="27" t="inlineStr">
        <is>
          <t>GB</t>
        </is>
      </c>
      <c r="E667" s="27" t="inlineStr">
        <is>
          <t>English</t>
        </is>
      </c>
      <c r="F667" s="27" t="inlineStr">
        <is>
          <t>YouTube</t>
        </is>
      </c>
      <c r="G667" s="27" t="inlineStr">
        <is>
          <t>https://www.youtube.com/@patrickbarrington</t>
        </is>
      </c>
      <c r="H667" s="27" t="inlineStr">
        <is>
          <t>UCGB00663894039</t>
        </is>
      </c>
      <c r="I667" s="27" t="inlineStr">
        <is>
          <t>680,000</t>
        </is>
      </c>
      <c r="J667" s="27" t="inlineStr">
        <is>
          <t>2026-10-17</t>
        </is>
      </c>
      <c r="K667" s="27" t="inlineStr">
        <is>
          <t>https://www.youtube.com/watch?v=gb00663</t>
        </is>
      </c>
      <c r="L667" s="27" t="n">
        <v>11</v>
      </c>
      <c r="M667" s="27" t="n">
        <v>31</v>
      </c>
      <c r="N667" s="27" t="inlineStr">
        <is>
          <t>Newsletter Subscription</t>
        </is>
      </c>
      <c r="O667" s="27" t="inlineStr">
        <is>
          <t>https://patrickbarrington.com/subscribe</t>
        </is>
      </c>
      <c r="P667" s="27" t="inlineStr">
        <is>
          <t>Shorts Repurposing Bottleneck</t>
        </is>
      </c>
      <c r="Q667" s="27" t="inlineStr">
        <is>
          <t>https://patrickbarrington.com/highlights</t>
        </is>
      </c>
      <c r="R667" s="27" t="inlineStr">
        <is>
          <t>Email</t>
        </is>
      </c>
      <c r="S667" s="27" t="inlineStr">
        <is>
          <t>hello@patrickbarrington.com</t>
        </is>
      </c>
      <c r="T667" s="27" t="inlineStr">
        <is>
          <t>https://patrickbarrington.com/work-with-me</t>
        </is>
      </c>
      <c r="U667" s="27" t="inlineStr">
        <is>
          <t>LinkedIn</t>
        </is>
      </c>
      <c r="V667" s="27" t="inlineStr">
        <is>
          <t>productivity &amp; personal systems frameworks, specifically regarding episode 14 on Productivity &amp; Personal Systems workflow optimization</t>
        </is>
      </c>
      <c r="W667" s="27" t="inlineStr">
        <is>
          <t>Hi Patrick, loved your recent piece on 'productivity &amp; personal systems frameworks, specifically regarding episode 14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67" s="27" t="inlineStr">
        <is>
          <t>2026-10-18</t>
        </is>
      </c>
      <c r="Y667" s="27" t="inlineStr">
        <is>
          <t>C</t>
        </is>
      </c>
      <c r="Z667" s="27" t="n">
        <v>80.2</v>
      </c>
      <c r="AA667" s="27" t="inlineStr">
        <is>
          <t>Qualified</t>
        </is>
      </c>
      <c r="AB667" s="27" t="inlineStr"/>
      <c r="AC667" s="28">
        <f>IF(A667="","",IF(COUNTIF($H$5:$H$1004,H667)&gt;1,"DUPLICATE","UNIQUE"))</f>
        <v/>
      </c>
      <c r="AD667" s="28">
        <f>IF(A667="","",IF(AA667="Rejected",IF(AB667&lt;&gt;"","REJECTED","ADD REASON"),IF(AND(B667&lt;&gt;"",C667&lt;&gt;"",D667&lt;&gt;"",E667&lt;&gt;"",F667&lt;&gt;"",G667&lt;&gt;"",H667&lt;&gt;"",J667&lt;&gt;"",K667&lt;&gt;"",N667&lt;&gt;"",O667&lt;&gt;"",P667&lt;&gt;"",Q667&lt;&gt;"",R667&lt;&gt;"",S667&lt;&gt;"",T667&lt;&gt;"",V667&lt;&gt;"",W667&lt;&gt;"",X667&lt;&gt;"",Y667&lt;&gt;""),"COMPLETE","MISSING FIELDS")))</f>
        <v/>
      </c>
    </row>
    <row r="668" ht="15" customHeight="1" s="15">
      <c r="A668" s="27" t="inlineStr">
        <is>
          <t>LEAD-0664</t>
        </is>
      </c>
      <c r="B668" s="27" t="inlineStr">
        <is>
          <t>Patrick Thornton</t>
        </is>
      </c>
      <c r="C668" s="27" t="inlineStr">
        <is>
          <t>Podcaster</t>
        </is>
      </c>
      <c r="D668" s="27" t="inlineStr">
        <is>
          <t>GB</t>
        </is>
      </c>
      <c r="E668" s="27" t="inlineStr">
        <is>
          <t>English</t>
        </is>
      </c>
      <c r="F668" s="27" t="inlineStr">
        <is>
          <t>Apple Podcasts</t>
        </is>
      </c>
      <c r="G668" s="27" t="inlineStr">
        <is>
          <t>https://podcasts.apple.com/gb/podcast/patrickthornton/id1000664</t>
        </is>
      </c>
      <c r="H668" s="27" t="inlineStr">
        <is>
          <t>AP-GB-1000664</t>
        </is>
      </c>
      <c r="I668" s="27" t="inlineStr">
        <is>
          <t>180,000</t>
        </is>
      </c>
      <c r="J668" s="27" t="inlineStr">
        <is>
          <t>2026-10-10</t>
        </is>
      </c>
      <c r="K668" s="27" t="inlineStr">
        <is>
          <t>https://patrickthornton.com/episodes/65</t>
        </is>
      </c>
      <c r="L668" s="27" t="n">
        <v>12</v>
      </c>
      <c r="M668" s="27" t="n">
        <v>32</v>
      </c>
      <c r="N668" s="27" t="inlineStr">
        <is>
          <t>Affiliate</t>
        </is>
      </c>
      <c r="O668" s="27" t="inlineStr">
        <is>
          <t>https://patrickthornton.com/resources</t>
        </is>
      </c>
      <c r="P668" s="27" t="inlineStr">
        <is>
          <t>Inconsistent Cross-Platform Publishing</t>
        </is>
      </c>
      <c r="Q668" s="27" t="inlineStr">
        <is>
          <t>https://patrickthornton.com/highlights</t>
        </is>
      </c>
      <c r="R668" s="27" t="inlineStr">
        <is>
          <t>Email</t>
        </is>
      </c>
      <c r="S668" s="27" t="inlineStr">
        <is>
          <t>contact@patrickthornton.com</t>
        </is>
      </c>
      <c r="T668" s="27" t="inlineStr">
        <is>
          <t>https://patrickthornton.com/contact</t>
        </is>
      </c>
      <c r="U668" s="27" t="inlineStr">
        <is>
          <t>LinkedIn</t>
        </is>
      </c>
      <c r="V668" s="27" t="inlineStr">
        <is>
          <t>leadership &amp; team ops frameworks, specifically regarding episode 15 on Leadership &amp; Team Ops workflow optimization</t>
        </is>
      </c>
      <c r="W668" s="27" t="inlineStr">
        <is>
          <t>Hi Patrick, loved your recent piece on 'leadership &amp; team ops frameworks, specifically regarding episode 15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68" s="27" t="inlineStr">
        <is>
          <t>2026-10-18</t>
        </is>
      </c>
      <c r="Y668" s="27" t="inlineStr">
        <is>
          <t>C</t>
        </is>
      </c>
      <c r="Z668" s="27" t="n">
        <v>80.2</v>
      </c>
      <c r="AA668" s="27" t="inlineStr">
        <is>
          <t>Qualified</t>
        </is>
      </c>
      <c r="AB668" s="27" t="inlineStr"/>
      <c r="AC668" s="28">
        <f>IF(A668="","",IF(COUNTIF($H$5:$H$1004,H668)&gt;1,"DUPLICATE","UNIQUE"))</f>
        <v/>
      </c>
      <c r="AD668" s="28">
        <f>IF(A668="","",IF(AA668="Rejected",IF(AB668&lt;&gt;"","REJECTED","ADD REASON"),IF(AND(B668&lt;&gt;"",C668&lt;&gt;"",D668&lt;&gt;"",E668&lt;&gt;"",F668&lt;&gt;"",G668&lt;&gt;"",H668&lt;&gt;"",J668&lt;&gt;"",K668&lt;&gt;"",N668&lt;&gt;"",O668&lt;&gt;"",P668&lt;&gt;"",Q668&lt;&gt;"",R668&lt;&gt;"",S668&lt;&gt;"",T668&lt;&gt;"",V668&lt;&gt;"",W668&lt;&gt;"",X668&lt;&gt;"",Y668&lt;&gt;""),"COMPLETE","MISSING FIELDS")))</f>
        <v/>
      </c>
    </row>
    <row r="669" ht="15" customHeight="1" s="15">
      <c r="A669" s="27" t="inlineStr">
        <is>
          <t>LEAD-0665</t>
        </is>
      </c>
      <c r="B669" s="27" t="inlineStr">
        <is>
          <t>Patrick Wellington</t>
        </is>
      </c>
      <c r="C669" s="27" t="inlineStr">
        <is>
          <t>Expert-Led Creator</t>
        </is>
      </c>
      <c r="D669" s="27" t="inlineStr">
        <is>
          <t>GB</t>
        </is>
      </c>
      <c r="E669" s="27" t="inlineStr">
        <is>
          <t>English</t>
        </is>
      </c>
      <c r="F669" s="27" t="inlineStr">
        <is>
          <t>LinkedIn</t>
        </is>
      </c>
      <c r="G669" s="27" t="inlineStr">
        <is>
          <t>https://www.linkedin.com/in/patrickwellington</t>
        </is>
      </c>
      <c r="H669" s="27" t="inlineStr">
        <is>
          <t>LI-patrickwellington-0665</t>
        </is>
      </c>
      <c r="I669" s="27" t="inlineStr">
        <is>
          <t>36,000</t>
        </is>
      </c>
      <c r="J669" s="27" t="inlineStr">
        <is>
          <t>2026-10-11</t>
        </is>
      </c>
      <c r="K669" s="27" t="inlineStr">
        <is>
          <t>https://patrickwellington.com/posts/66</t>
        </is>
      </c>
      <c r="L669" s="27" t="n">
        <v>13</v>
      </c>
      <c r="M669" s="27" t="n">
        <v>33</v>
      </c>
      <c r="N669" s="27" t="inlineStr">
        <is>
          <t>Course</t>
        </is>
      </c>
      <c r="O669" s="27" t="inlineStr">
        <is>
          <t>https://patrickwellington.com/academy</t>
        </is>
      </c>
      <c r="P669" s="27" t="inlineStr">
        <is>
          <t>Editing Backlog &amp; Team Workflow Overhead</t>
        </is>
      </c>
      <c r="Q669" s="27" t="inlineStr">
        <is>
          <t>https://patrickwellington.com/highlights</t>
        </is>
      </c>
      <c r="R669" s="27" t="inlineStr">
        <is>
          <t>LinkedIn</t>
        </is>
      </c>
      <c r="S669" s="27" t="inlineStr">
        <is>
          <t>https://linkedin.com/in/patrickwellington</t>
        </is>
      </c>
      <c r="T669" s="27" t="inlineStr">
        <is>
          <t>https://patrickwellington.com/about</t>
        </is>
      </c>
      <c r="U669" s="27" t="inlineStr">
        <is>
          <t>Email</t>
        </is>
      </c>
      <c r="V669" s="27" t="inlineStr">
        <is>
          <t>b2b marketing &amp; sales frameworks, specifically regarding episode 16 on B2B Marketing &amp; Sales workflow optimization</t>
        </is>
      </c>
      <c r="W669" s="27" t="inlineStr">
        <is>
          <t>Hi Patrick, loved your recent piece on 'b2b marketing &amp; sales frameworks, specifically regarding episode 16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69" s="27" t="inlineStr">
        <is>
          <t>2026-10-18</t>
        </is>
      </c>
      <c r="Y669" s="27" t="inlineStr">
        <is>
          <t>C</t>
        </is>
      </c>
      <c r="Z669" s="27" t="n">
        <v>80.09999999999999</v>
      </c>
      <c r="AA669" s="27" t="inlineStr">
        <is>
          <t>Qualified</t>
        </is>
      </c>
      <c r="AB669" s="27" t="inlineStr"/>
      <c r="AC669" s="28">
        <f>IF(A669="","",IF(COUNTIF($H$5:$H$1004,H669)&gt;1,"DUPLICATE","UNIQUE"))</f>
        <v/>
      </c>
      <c r="AD669" s="28">
        <f>IF(A669="","",IF(AA669="Rejected",IF(AB669&lt;&gt;"","REJECTED","ADD REASON"),IF(AND(B669&lt;&gt;"",C669&lt;&gt;"",D669&lt;&gt;"",E669&lt;&gt;"",F669&lt;&gt;"",G669&lt;&gt;"",H669&lt;&gt;"",J669&lt;&gt;"",K669&lt;&gt;"",N669&lt;&gt;"",O669&lt;&gt;"",P669&lt;&gt;"",Q669&lt;&gt;"",R669&lt;&gt;"",S669&lt;&gt;"",T669&lt;&gt;"",V669&lt;&gt;"",W669&lt;&gt;"",X669&lt;&gt;"",Y669&lt;&gt;""),"COMPLETE","MISSING FIELDS")))</f>
        <v/>
      </c>
    </row>
    <row r="670" ht="15" customHeight="1" s="15">
      <c r="A670" s="27" t="inlineStr">
        <is>
          <t>LEAD-0666</t>
        </is>
      </c>
      <c r="B670" s="27" t="inlineStr">
        <is>
          <t>Quinn Ashford</t>
        </is>
      </c>
      <c r="C670" s="27" t="inlineStr">
        <is>
          <t>YouTuber</t>
        </is>
      </c>
      <c r="D670" s="27" t="inlineStr">
        <is>
          <t>GB</t>
        </is>
      </c>
      <c r="E670" s="27" t="inlineStr">
        <is>
          <t>English</t>
        </is>
      </c>
      <c r="F670" s="27" t="inlineStr">
        <is>
          <t>YouTube</t>
        </is>
      </c>
      <c r="G670" s="27" t="inlineStr">
        <is>
          <t>https://www.youtube.com/@quinnashford</t>
        </is>
      </c>
      <c r="H670" s="27" t="inlineStr">
        <is>
          <t>UCGB00666002165</t>
        </is>
      </c>
      <c r="I670" s="27" t="inlineStr">
        <is>
          <t>40,000</t>
        </is>
      </c>
      <c r="J670" s="27" t="inlineStr">
        <is>
          <t>2026-10-12</t>
        </is>
      </c>
      <c r="K670" s="27" t="inlineStr">
        <is>
          <t>https://www.youtube.com/watch?v=gb00666</t>
        </is>
      </c>
      <c r="L670" s="27" t="n">
        <v>14</v>
      </c>
      <c r="M670" s="27" t="n">
        <v>16</v>
      </c>
      <c r="N670" s="27" t="inlineStr">
        <is>
          <t>Sponsor</t>
        </is>
      </c>
      <c r="O670" s="27" t="inlineStr">
        <is>
          <t>https://quinnashford.com/partners</t>
        </is>
      </c>
      <c r="P670" s="27" t="inlineStr">
        <is>
          <t>Multilingual Audio Dubbing</t>
        </is>
      </c>
      <c r="Q670" s="27" t="inlineStr">
        <is>
          <t>https://quinnashford.com/highlights</t>
        </is>
      </c>
      <c r="R670" s="27" t="inlineStr">
        <is>
          <t>X (Twitter)</t>
        </is>
      </c>
      <c r="S670" s="27" t="inlineStr">
        <is>
          <t>https://x.com/quinnashford</t>
        </is>
      </c>
      <c r="T670" s="27" t="inlineStr">
        <is>
          <t>https://quinnashford.com/links</t>
        </is>
      </c>
      <c r="U670" s="27" t="inlineStr">
        <is>
          <t>LinkedIn</t>
        </is>
      </c>
      <c r="V670" s="27" t="inlineStr">
        <is>
          <t>finance &amp; wealth engineering frameworks, specifically regarding episode 17 on Finance &amp; Wealth Engineering workflow optimization</t>
        </is>
      </c>
      <c r="W670" s="27" t="inlineStr">
        <is>
          <t>Hi Quinn, loved your recent piece on 'finance &amp; wealth engineering frameworks, specifically regarding episode 17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70" s="27" t="inlineStr">
        <is>
          <t>2026-10-18</t>
        </is>
      </c>
      <c r="Y670" s="27" t="inlineStr">
        <is>
          <t>C</t>
        </is>
      </c>
      <c r="Z670" s="27" t="n">
        <v>80</v>
      </c>
      <c r="AA670" s="27" t="inlineStr">
        <is>
          <t>Qualified</t>
        </is>
      </c>
      <c r="AB670" s="27" t="inlineStr"/>
      <c r="AC670" s="28">
        <f>IF(A670="","",IF(COUNTIF($H$5:$H$1004,H670)&gt;1,"DUPLICATE","UNIQUE"))</f>
        <v/>
      </c>
      <c r="AD670" s="28">
        <f>IF(A670="","",IF(AA670="Rejected",IF(AB670&lt;&gt;"","REJECTED","ADD REASON"),IF(AND(B670&lt;&gt;"",C670&lt;&gt;"",D670&lt;&gt;"",E670&lt;&gt;"",F670&lt;&gt;"",G670&lt;&gt;"",H670&lt;&gt;"",J670&lt;&gt;"",K670&lt;&gt;"",N670&lt;&gt;"",O670&lt;&gt;"",P670&lt;&gt;"",Q670&lt;&gt;"",R670&lt;&gt;"",S670&lt;&gt;"",T670&lt;&gt;"",V670&lt;&gt;"",W670&lt;&gt;"",X670&lt;&gt;"",Y670&lt;&gt;""),"COMPLETE","MISSING FIELDS")))</f>
        <v/>
      </c>
    </row>
    <row r="671" ht="15" customHeight="1" s="15">
      <c r="A671" s="27" t="inlineStr">
        <is>
          <t>LEAD-0667</t>
        </is>
      </c>
      <c r="B671" s="27" t="inlineStr">
        <is>
          <t>Quinn Bancroft</t>
        </is>
      </c>
      <c r="C671" s="27" t="inlineStr">
        <is>
          <t>Podcaster</t>
        </is>
      </c>
      <c r="D671" s="27" t="inlineStr">
        <is>
          <t>GB</t>
        </is>
      </c>
      <c r="E671" s="27" t="inlineStr">
        <is>
          <t>English</t>
        </is>
      </c>
      <c r="F671" s="27" t="inlineStr">
        <is>
          <t>Apple Podcasts</t>
        </is>
      </c>
      <c r="G671" s="27" t="inlineStr">
        <is>
          <t>https://podcasts.apple.com/gb/podcast/quinnbancroft/id1000667</t>
        </is>
      </c>
      <c r="H671" s="27" t="inlineStr">
        <is>
          <t>AP-GB-1000667</t>
        </is>
      </c>
      <c r="I671" s="27" t="inlineStr">
        <is>
          <t>216,000</t>
        </is>
      </c>
      <c r="J671" s="27" t="inlineStr">
        <is>
          <t>2026-10-13</t>
        </is>
      </c>
      <c r="K671" s="27" t="inlineStr">
        <is>
          <t>https://quinnbancroft.com/episodes/68</t>
        </is>
      </c>
      <c r="L671" s="27" t="n">
        <v>15</v>
      </c>
      <c r="M671" s="27" t="n">
        <v>17</v>
      </c>
      <c r="N671" s="27" t="inlineStr">
        <is>
          <t>Membership</t>
        </is>
      </c>
      <c r="O671" s="27" t="inlineStr">
        <is>
          <t>https://quinnbancroft.com/community</t>
        </is>
      </c>
      <c r="P671" s="27" t="inlineStr">
        <is>
          <t>Multilingual Audio Dubbing</t>
        </is>
      </c>
      <c r="Q671" s="27" t="inlineStr">
        <is>
          <t>https://quinnbancroft.com/highlights</t>
        </is>
      </c>
      <c r="R671" s="27" t="inlineStr">
        <is>
          <t>Email</t>
        </is>
      </c>
      <c r="S671" s="27" t="inlineStr">
        <is>
          <t>hello@quinnbancroft.com</t>
        </is>
      </c>
      <c r="T671" s="27" t="inlineStr">
        <is>
          <t>https://quinnbancroft.com/work-with-me</t>
        </is>
      </c>
      <c r="U671" s="27" t="inlineStr">
        <is>
          <t>LinkedIn</t>
        </is>
      </c>
      <c r="V671" s="27" t="inlineStr">
        <is>
          <t>health &amp; longevity science frameworks, specifically regarding episode 18 on Health &amp; Longevity Science workflow optimization</t>
        </is>
      </c>
      <c r="W671" s="27" t="inlineStr">
        <is>
          <t>Hi Quinn, loved your recent piece on 'health &amp; longevity science frameworks, specifically regarding episode 18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71" s="27" t="inlineStr">
        <is>
          <t>2026-10-18</t>
        </is>
      </c>
      <c r="Y671" s="27" t="inlineStr">
        <is>
          <t>C</t>
        </is>
      </c>
      <c r="Z671" s="27" t="n">
        <v>80</v>
      </c>
      <c r="AA671" s="27" t="inlineStr">
        <is>
          <t>Qualified</t>
        </is>
      </c>
      <c r="AB671" s="27" t="inlineStr"/>
      <c r="AC671" s="28">
        <f>IF(A671="","",IF(COUNTIF($H$5:$H$1004,H671)&gt;1,"DUPLICATE","UNIQUE"))</f>
        <v/>
      </c>
      <c r="AD671" s="28">
        <f>IF(A671="","",IF(AA671="Rejected",IF(AB671&lt;&gt;"","REJECTED","ADD REASON"),IF(AND(B671&lt;&gt;"",C671&lt;&gt;"",D671&lt;&gt;"",E671&lt;&gt;"",F671&lt;&gt;"",G671&lt;&gt;"",H671&lt;&gt;"",J671&lt;&gt;"",K671&lt;&gt;"",N671&lt;&gt;"",O671&lt;&gt;"",P671&lt;&gt;"",Q671&lt;&gt;"",R671&lt;&gt;"",S671&lt;&gt;"",T671&lt;&gt;"",V671&lt;&gt;"",W671&lt;&gt;"",X671&lt;&gt;"",Y671&lt;&gt;""),"COMPLETE","MISSING FIELDS")))</f>
        <v/>
      </c>
    </row>
    <row r="672" ht="15" customHeight="1" s="15">
      <c r="A672" s="27" t="inlineStr">
        <is>
          <t>LEAD-0668</t>
        </is>
      </c>
      <c r="B672" s="27" t="inlineStr">
        <is>
          <t>Quinn Calloway</t>
        </is>
      </c>
      <c r="C672" s="27" t="inlineStr">
        <is>
          <t>YouTuber</t>
        </is>
      </c>
      <c r="D672" s="27" t="inlineStr">
        <is>
          <t>GB</t>
        </is>
      </c>
      <c r="E672" s="27" t="inlineStr">
        <is>
          <t>English</t>
        </is>
      </c>
      <c r="F672" s="27" t="inlineStr">
        <is>
          <t>YouTube</t>
        </is>
      </c>
      <c r="G672" s="27" t="inlineStr">
        <is>
          <t>https://www.youtube.com/@quinncalloway</t>
        </is>
      </c>
      <c r="H672" s="27" t="inlineStr">
        <is>
          <t>UCGB00668944916</t>
        </is>
      </c>
      <c r="I672" s="27" t="inlineStr">
        <is>
          <t>80,000</t>
        </is>
      </c>
      <c r="J672" s="27" t="inlineStr">
        <is>
          <t>2026-10-14</t>
        </is>
      </c>
      <c r="K672" s="27" t="inlineStr">
        <is>
          <t>https://www.youtube.com/watch?v=gb00668</t>
        </is>
      </c>
      <c r="L672" s="27" t="n">
        <v>16</v>
      </c>
      <c r="M672" s="27" t="n">
        <v>18</v>
      </c>
      <c r="N672" s="27" t="inlineStr">
        <is>
          <t>Product</t>
        </is>
      </c>
      <c r="O672" s="27" t="inlineStr">
        <is>
          <t>https://quinncalloway.com/shop</t>
        </is>
      </c>
      <c r="P672" s="27" t="inlineStr">
        <is>
          <t>Missing Video Captions &amp; Retention Clips</t>
        </is>
      </c>
      <c r="Q672" s="27" t="inlineStr">
        <is>
          <t>https://quinncalloway.com/highlights</t>
        </is>
      </c>
      <c r="R672" s="27" t="inlineStr">
        <is>
          <t>Email</t>
        </is>
      </c>
      <c r="S672" s="27" t="inlineStr">
        <is>
          <t>contact@quinncalloway.com</t>
        </is>
      </c>
      <c r="T672" s="27" t="inlineStr">
        <is>
          <t>https://quinncalloway.com/contact</t>
        </is>
      </c>
      <c r="U672" s="27" t="inlineStr">
        <is>
          <t>LinkedIn</t>
        </is>
      </c>
      <c r="V672" s="27" t="inlineStr">
        <is>
          <t>education &amp; applied coding frameworks, specifically regarding episode 19 on Education &amp; Applied Coding workflow optimization</t>
        </is>
      </c>
      <c r="W672" s="27" t="inlineStr">
        <is>
          <t>Hi Quinn, loved your recent piece on 'education &amp; applied coding frameworks, specifically regarding episode 19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72" s="27" t="inlineStr">
        <is>
          <t>2026-10-18</t>
        </is>
      </c>
      <c r="Y672" s="27" t="inlineStr">
        <is>
          <t>C</t>
        </is>
      </c>
      <c r="Z672" s="27" t="n">
        <v>79.90000000000001</v>
      </c>
      <c r="AA672" s="27" t="inlineStr">
        <is>
          <t>Qualified</t>
        </is>
      </c>
      <c r="AB672" s="27" t="inlineStr"/>
      <c r="AC672" s="28">
        <f>IF(A672="","",IF(COUNTIF($H$5:$H$1004,H672)&gt;1,"DUPLICATE","UNIQUE"))</f>
        <v/>
      </c>
      <c r="AD672" s="28">
        <f>IF(A672="","",IF(AA672="Rejected",IF(AB672&lt;&gt;"","REJECTED","ADD REASON"),IF(AND(B672&lt;&gt;"",C672&lt;&gt;"",D672&lt;&gt;"",E672&lt;&gt;"",F672&lt;&gt;"",G672&lt;&gt;"",H672&lt;&gt;"",J672&lt;&gt;"",K672&lt;&gt;"",N672&lt;&gt;"",O672&lt;&gt;"",P672&lt;&gt;"",Q672&lt;&gt;"",R672&lt;&gt;"",S672&lt;&gt;"",T672&lt;&gt;"",V672&lt;&gt;"",W672&lt;&gt;"",X672&lt;&gt;"",Y672&lt;&gt;""),"COMPLETE","MISSING FIELDS")))</f>
        <v/>
      </c>
    </row>
    <row r="673" ht="15" customHeight="1" s="15">
      <c r="A673" s="27" t="inlineStr">
        <is>
          <t>LEAD-0669</t>
        </is>
      </c>
      <c r="B673" s="27" t="inlineStr">
        <is>
          <t>Quinn Delaney</t>
        </is>
      </c>
      <c r="C673" s="27" t="inlineStr">
        <is>
          <t>Podcaster</t>
        </is>
      </c>
      <c r="D673" s="27" t="inlineStr">
        <is>
          <t>GB</t>
        </is>
      </c>
      <c r="E673" s="27" t="inlineStr">
        <is>
          <t>English</t>
        </is>
      </c>
      <c r="F673" s="27" t="inlineStr">
        <is>
          <t>Apple Podcasts</t>
        </is>
      </c>
      <c r="G673" s="27" t="inlineStr">
        <is>
          <t>https://podcasts.apple.com/gb/podcast/quinndelaney/id1000669</t>
        </is>
      </c>
      <c r="H673" s="27" t="inlineStr">
        <is>
          <t>AP-GB-1000669</t>
        </is>
      </c>
      <c r="I673" s="27" t="inlineStr">
        <is>
          <t>240,000</t>
        </is>
      </c>
      <c r="J673" s="27" t="inlineStr">
        <is>
          <t>2026-10-15</t>
        </is>
      </c>
      <c r="K673" s="27" t="inlineStr">
        <is>
          <t>https://quinndelaney.com/episodes/70</t>
        </is>
      </c>
      <c r="L673" s="27" t="n">
        <v>17</v>
      </c>
      <c r="M673" s="27" t="n">
        <v>19</v>
      </c>
      <c r="N673" s="27" t="inlineStr">
        <is>
          <t>Consulting</t>
        </is>
      </c>
      <c r="O673" s="27" t="inlineStr">
        <is>
          <t>https://quinndelaney.com/advisory</t>
        </is>
      </c>
      <c r="P673" s="27" t="inlineStr">
        <is>
          <t>Shorts Repurposing Bottleneck</t>
        </is>
      </c>
      <c r="Q673" s="27" t="inlineStr">
        <is>
          <t>https://quinndelaney.com/highlights</t>
        </is>
      </c>
      <c r="R673" s="27" t="inlineStr">
        <is>
          <t>LinkedIn</t>
        </is>
      </c>
      <c r="S673" s="27" t="inlineStr">
        <is>
          <t>https://linkedin.com/in/quinndelaney</t>
        </is>
      </c>
      <c r="T673" s="27" t="inlineStr">
        <is>
          <t>https://quinndelaney.com/about</t>
        </is>
      </c>
      <c r="U673" s="27" t="inlineStr">
        <is>
          <t>Email</t>
        </is>
      </c>
      <c r="V673" s="27" t="inlineStr">
        <is>
          <t>e-commerce &amp; digital brands frameworks, specifically regarding episode 20 on E-Commerce &amp; Digital Brands workflow optimization</t>
        </is>
      </c>
      <c r="W673" s="27" t="inlineStr">
        <is>
          <t>Hi Quinn, loved your recent piece on 'e-commerce &amp; digital brands frameworks, specifically regarding episode 20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73" s="27" t="inlineStr">
        <is>
          <t>2026-10-18</t>
        </is>
      </c>
      <c r="Y673" s="27" t="inlineStr">
        <is>
          <t>C</t>
        </is>
      </c>
      <c r="Z673" s="27" t="n">
        <v>79.90000000000001</v>
      </c>
      <c r="AA673" s="27" t="inlineStr">
        <is>
          <t>Qualified</t>
        </is>
      </c>
      <c r="AB673" s="27" t="inlineStr"/>
      <c r="AC673" s="28">
        <f>IF(A673="","",IF(COUNTIF($H$5:$H$1004,H673)&gt;1,"DUPLICATE","UNIQUE"))</f>
        <v/>
      </c>
      <c r="AD673" s="28">
        <f>IF(A673="","",IF(AA673="Rejected",IF(AB673&lt;&gt;"","REJECTED","ADD REASON"),IF(AND(B673&lt;&gt;"",C673&lt;&gt;"",D673&lt;&gt;"",E673&lt;&gt;"",F673&lt;&gt;"",G673&lt;&gt;"",H673&lt;&gt;"",J673&lt;&gt;"",K673&lt;&gt;"",N673&lt;&gt;"",O673&lt;&gt;"",P673&lt;&gt;"",Q673&lt;&gt;"",R673&lt;&gt;"",S673&lt;&gt;"",T673&lt;&gt;"",V673&lt;&gt;"",W673&lt;&gt;"",X673&lt;&gt;"",Y673&lt;&gt;""),"COMPLETE","MISSING FIELDS")))</f>
        <v/>
      </c>
    </row>
    <row r="674" ht="15" customHeight="1" s="15">
      <c r="A674" s="27" t="inlineStr">
        <is>
          <t>LEAD-0670</t>
        </is>
      </c>
      <c r="B674" s="27" t="inlineStr">
        <is>
          <t>Quinn Eastwood</t>
        </is>
      </c>
      <c r="C674" s="27" t="inlineStr">
        <is>
          <t>YouTuber</t>
        </is>
      </c>
      <c r="D674" s="27" t="inlineStr">
        <is>
          <t>GB</t>
        </is>
      </c>
      <c r="E674" s="27" t="inlineStr">
        <is>
          <t>English</t>
        </is>
      </c>
      <c r="F674" s="27" t="inlineStr">
        <is>
          <t>YouTube</t>
        </is>
      </c>
      <c r="G674" s="27" t="inlineStr">
        <is>
          <t>https://www.youtube.com/@quinneastwood</t>
        </is>
      </c>
      <c r="H674" s="27" t="inlineStr">
        <is>
          <t>UCGB00670448580</t>
        </is>
      </c>
      <c r="I674" s="27" t="inlineStr">
        <is>
          <t>120,000</t>
        </is>
      </c>
      <c r="J674" s="27" t="inlineStr">
        <is>
          <t>2026-10-16</t>
        </is>
      </c>
      <c r="K674" s="27" t="inlineStr">
        <is>
          <t>https://www.youtube.com/watch?v=gb00670</t>
        </is>
      </c>
      <c r="L674" s="27" t="n">
        <v>8</v>
      </c>
      <c r="M674" s="27" t="n">
        <v>20</v>
      </c>
      <c r="N674" s="27" t="inlineStr">
        <is>
          <t>Newsletter Subscription</t>
        </is>
      </c>
      <c r="O674" s="27" t="inlineStr">
        <is>
          <t>https://quinneastwood.com/subscribe</t>
        </is>
      </c>
      <c r="P674" s="27" t="inlineStr">
        <is>
          <t>Shorts Repurposing Bottleneck</t>
        </is>
      </c>
      <c r="Q674" s="27" t="inlineStr">
        <is>
          <t>https://quinneastwood.com/highlights</t>
        </is>
      </c>
      <c r="R674" s="27" t="inlineStr">
        <is>
          <t>X (Twitter)</t>
        </is>
      </c>
      <c r="S674" s="27" t="inlineStr">
        <is>
          <t>https://x.com/quinneastwood</t>
        </is>
      </c>
      <c r="T674" s="27" t="inlineStr">
        <is>
          <t>https://quinneastwood.com/links</t>
        </is>
      </c>
      <c r="U674" s="27" t="inlineStr">
        <is>
          <t>LinkedIn</t>
        </is>
      </c>
      <c r="V674" s="27" t="inlineStr">
        <is>
          <t>tech &amp; ai frameworks, specifically regarding episode 21 on Tech &amp; AI workflow optimization</t>
        </is>
      </c>
      <c r="W674" s="27" t="inlineStr">
        <is>
          <t>Hi Quinn, loved your recent piece on 'tech &amp; ai frameworks, specifically regarding episode 21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74" s="27" t="inlineStr">
        <is>
          <t>2026-10-18</t>
        </is>
      </c>
      <c r="Y674" s="27" t="inlineStr">
        <is>
          <t>C</t>
        </is>
      </c>
      <c r="Z674" s="27" t="n">
        <v>79.8</v>
      </c>
      <c r="AA674" s="27" t="inlineStr">
        <is>
          <t>Qualified</t>
        </is>
      </c>
      <c r="AB674" s="27" t="inlineStr"/>
      <c r="AC674" s="28">
        <f>IF(A674="","",IF(COUNTIF($H$5:$H$1004,H674)&gt;1,"DUPLICATE","UNIQUE"))</f>
        <v/>
      </c>
      <c r="AD674" s="28">
        <f>IF(A674="","",IF(AA674="Rejected",IF(AB674&lt;&gt;"","REJECTED","ADD REASON"),IF(AND(B674&lt;&gt;"",C674&lt;&gt;"",D674&lt;&gt;"",E674&lt;&gt;"",F674&lt;&gt;"",G674&lt;&gt;"",H674&lt;&gt;"",J674&lt;&gt;"",K674&lt;&gt;"",N674&lt;&gt;"",O674&lt;&gt;"",P674&lt;&gt;"",Q674&lt;&gt;"",R674&lt;&gt;"",S674&lt;&gt;"",T674&lt;&gt;"",V674&lt;&gt;"",W674&lt;&gt;"",X674&lt;&gt;"",Y674&lt;&gt;""),"COMPLETE","MISSING FIELDS")))</f>
        <v/>
      </c>
    </row>
    <row r="675" ht="15" customHeight="1" s="15">
      <c r="A675" s="27" t="inlineStr">
        <is>
          <t>LEAD-0671</t>
        </is>
      </c>
      <c r="B675" s="27" t="inlineStr">
        <is>
          <t>Quinn Fairchild</t>
        </is>
      </c>
      <c r="C675" s="27" t="inlineStr">
        <is>
          <t>Podcaster</t>
        </is>
      </c>
      <c r="D675" s="27" t="inlineStr">
        <is>
          <t>GB</t>
        </is>
      </c>
      <c r="E675" s="27" t="inlineStr">
        <is>
          <t>English</t>
        </is>
      </c>
      <c r="F675" s="27" t="inlineStr">
        <is>
          <t>Apple Podcasts</t>
        </is>
      </c>
      <c r="G675" s="27" t="inlineStr">
        <is>
          <t>https://podcasts.apple.com/gb/podcast/quinnfairchild/id1000671</t>
        </is>
      </c>
      <c r="H675" s="27" t="inlineStr">
        <is>
          <t>AP-GB-1000671</t>
        </is>
      </c>
      <c r="I675" s="27" t="inlineStr">
        <is>
          <t>264,000</t>
        </is>
      </c>
      <c r="J675" s="27" t="inlineStr">
        <is>
          <t>2026-10-17</t>
        </is>
      </c>
      <c r="K675" s="27" t="inlineStr">
        <is>
          <t>https://quinnfairchild.com/episodes/72</t>
        </is>
      </c>
      <c r="L675" s="27" t="n">
        <v>9</v>
      </c>
      <c r="M675" s="27" t="n">
        <v>21</v>
      </c>
      <c r="N675" s="27" t="inlineStr">
        <is>
          <t>Affiliate</t>
        </is>
      </c>
      <c r="O675" s="27" t="inlineStr">
        <is>
          <t>https://quinnfairchild.com/resources</t>
        </is>
      </c>
      <c r="P675" s="27" t="inlineStr">
        <is>
          <t>Missing Video Captions &amp; Retention Clips</t>
        </is>
      </c>
      <c r="Q675" s="27" t="inlineStr">
        <is>
          <t>https://quinnfairchild.com/highlights</t>
        </is>
      </c>
      <c r="R675" s="27" t="inlineStr">
        <is>
          <t>Email</t>
        </is>
      </c>
      <c r="S675" s="27" t="inlineStr">
        <is>
          <t>hello@quinnfairchild.com</t>
        </is>
      </c>
      <c r="T675" s="27" t="inlineStr">
        <is>
          <t>https://quinnfairchild.com/work-with-me</t>
        </is>
      </c>
      <c r="U675" s="27" t="inlineStr">
        <is>
          <t>LinkedIn</t>
        </is>
      </c>
      <c r="V675" s="27" t="inlineStr">
        <is>
          <t>saas &amp; product growth frameworks, specifically regarding episode 22 on SaaS &amp; Product Growth workflow optimization</t>
        </is>
      </c>
      <c r="W675" s="27" t="inlineStr">
        <is>
          <t>Hi Quinn, loved your recent piece on 'saas &amp; product growth frameworks, specifically regarding episode 22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75" s="27" t="inlineStr">
        <is>
          <t>2026-10-18</t>
        </is>
      </c>
      <c r="Y675" s="27" t="inlineStr">
        <is>
          <t>C</t>
        </is>
      </c>
      <c r="Z675" s="27" t="n">
        <v>79.7</v>
      </c>
      <c r="AA675" s="27" t="inlineStr">
        <is>
          <t>Qualified</t>
        </is>
      </c>
      <c r="AB675" s="27" t="inlineStr"/>
      <c r="AC675" s="28">
        <f>IF(A675="","",IF(COUNTIF($H$5:$H$1004,H675)&gt;1,"DUPLICATE","UNIQUE"))</f>
        <v/>
      </c>
      <c r="AD675" s="28">
        <f>IF(A675="","",IF(AA675="Rejected",IF(AB675&lt;&gt;"","REJECTED","ADD REASON"),IF(AND(B675&lt;&gt;"",C675&lt;&gt;"",D675&lt;&gt;"",E675&lt;&gt;"",F675&lt;&gt;"",G675&lt;&gt;"",H675&lt;&gt;"",J675&lt;&gt;"",K675&lt;&gt;"",N675&lt;&gt;"",O675&lt;&gt;"",P675&lt;&gt;"",Q675&lt;&gt;"",R675&lt;&gt;"",S675&lt;&gt;"",T675&lt;&gt;"",V675&lt;&gt;"",W675&lt;&gt;"",X675&lt;&gt;"",Y675&lt;&gt;""),"COMPLETE","MISSING FIELDS")))</f>
        <v/>
      </c>
    </row>
    <row r="676" ht="15" customHeight="1" s="15">
      <c r="A676" s="27" t="inlineStr">
        <is>
          <t>LEAD-0672</t>
        </is>
      </c>
      <c r="B676" s="27" t="inlineStr">
        <is>
          <t>Quinn Gallagher</t>
        </is>
      </c>
      <c r="C676" s="27" t="inlineStr">
        <is>
          <t>Expert-Led Creator</t>
        </is>
      </c>
      <c r="D676" s="27" t="inlineStr">
        <is>
          <t>GB</t>
        </is>
      </c>
      <c r="E676" s="27" t="inlineStr">
        <is>
          <t>English</t>
        </is>
      </c>
      <c r="F676" s="27" t="inlineStr">
        <is>
          <t>YouTube</t>
        </is>
      </c>
      <c r="G676" s="27" t="inlineStr">
        <is>
          <t>https://www.youtube.com/@quinngallagher</t>
        </is>
      </c>
      <c r="H676" s="27" t="inlineStr">
        <is>
          <t>UCGB00672161709</t>
        </is>
      </c>
      <c r="I676" s="27" t="inlineStr">
        <is>
          <t>160,000</t>
        </is>
      </c>
      <c r="J676" s="27" t="inlineStr">
        <is>
          <t>2026-10-10</t>
        </is>
      </c>
      <c r="K676" s="27" t="inlineStr">
        <is>
          <t>https://www.youtube.com/watch?v=gb00672</t>
        </is>
      </c>
      <c r="L676" s="27" t="n">
        <v>10</v>
      </c>
      <c r="M676" s="27" t="n">
        <v>22</v>
      </c>
      <c r="N676" s="27" t="inlineStr">
        <is>
          <t>Course</t>
        </is>
      </c>
      <c r="O676" s="27" t="inlineStr">
        <is>
          <t>https://quinngallagher.com/academy</t>
        </is>
      </c>
      <c r="P676" s="27" t="inlineStr">
        <is>
          <t>Editing Backlog &amp; Team Workflow Overhead</t>
        </is>
      </c>
      <c r="Q676" s="27" t="inlineStr">
        <is>
          <t>https://quinngallagher.com/highlights</t>
        </is>
      </c>
      <c r="R676" s="27" t="inlineStr">
        <is>
          <t>Email</t>
        </is>
      </c>
      <c r="S676" s="27" t="inlineStr">
        <is>
          <t>contact@quinngallagher.com</t>
        </is>
      </c>
      <c r="T676" s="27" t="inlineStr">
        <is>
          <t>https://quinngallagher.com/contact</t>
        </is>
      </c>
      <c r="U676" s="27" t="inlineStr">
        <is>
          <t>LinkedIn</t>
        </is>
      </c>
      <c r="V676" s="27" t="inlineStr">
        <is>
          <t>creator business &amp; monetization frameworks, specifically regarding episode 23 on Creator Business &amp; Monetization workflow optimization</t>
        </is>
      </c>
      <c r="W676" s="27" t="inlineStr">
        <is>
          <t>Hi Quinn, loved your recent piece on 'creator business &amp; monetization frameworks, specifically regarding episode 23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76" s="27" t="inlineStr">
        <is>
          <t>2026-10-18</t>
        </is>
      </c>
      <c r="Y676" s="27" t="inlineStr">
        <is>
          <t>C</t>
        </is>
      </c>
      <c r="Z676" s="27" t="n">
        <v>79.7</v>
      </c>
      <c r="AA676" s="27" t="inlineStr">
        <is>
          <t>Qualified</t>
        </is>
      </c>
      <c r="AB676" s="27" t="inlineStr"/>
      <c r="AC676" s="28">
        <f>IF(A676="","",IF(COUNTIF($H$5:$H$1004,H676)&gt;1,"DUPLICATE","UNIQUE"))</f>
        <v/>
      </c>
      <c r="AD676" s="28">
        <f>IF(A676="","",IF(AA676="Rejected",IF(AB676&lt;&gt;"","REJECTED","ADD REASON"),IF(AND(B676&lt;&gt;"",C676&lt;&gt;"",D676&lt;&gt;"",E676&lt;&gt;"",F676&lt;&gt;"",G676&lt;&gt;"",H676&lt;&gt;"",J676&lt;&gt;"",K676&lt;&gt;"",N676&lt;&gt;"",O676&lt;&gt;"",P676&lt;&gt;"",Q676&lt;&gt;"",R676&lt;&gt;"",S676&lt;&gt;"",T676&lt;&gt;"",V676&lt;&gt;"",W676&lt;&gt;"",X676&lt;&gt;"",Y676&lt;&gt;""),"COMPLETE","MISSING FIELDS")))</f>
        <v/>
      </c>
    </row>
    <row r="677" ht="15" customHeight="1" s="15">
      <c r="A677" s="27" t="inlineStr">
        <is>
          <t>LEAD-0673</t>
        </is>
      </c>
      <c r="B677" s="27" t="inlineStr">
        <is>
          <t>Quinn Hawthorne</t>
        </is>
      </c>
      <c r="C677" s="27" t="inlineStr">
        <is>
          <t>YouTuber</t>
        </is>
      </c>
      <c r="D677" s="27" t="inlineStr">
        <is>
          <t>GB</t>
        </is>
      </c>
      <c r="E677" s="27" t="inlineStr">
        <is>
          <t>English</t>
        </is>
      </c>
      <c r="F677" s="27" t="inlineStr">
        <is>
          <t>YouTube</t>
        </is>
      </c>
      <c r="G677" s="27" t="inlineStr">
        <is>
          <t>https://www.youtube.com/@quinnhawthorne</t>
        </is>
      </c>
      <c r="H677" s="27" t="inlineStr">
        <is>
          <t>UCGB00673344503</t>
        </is>
      </c>
      <c r="I677" s="27" t="inlineStr">
        <is>
          <t>180,000</t>
        </is>
      </c>
      <c r="J677" s="27" t="inlineStr">
        <is>
          <t>2026-10-11</t>
        </is>
      </c>
      <c r="K677" s="27" t="inlineStr">
        <is>
          <t>https://www.youtube.com/watch?v=gb00673</t>
        </is>
      </c>
      <c r="L677" s="27" t="n">
        <v>11</v>
      </c>
      <c r="M677" s="27" t="n">
        <v>23</v>
      </c>
      <c r="N677" s="27" t="inlineStr">
        <is>
          <t>Sponsor</t>
        </is>
      </c>
      <c r="O677" s="27" t="inlineStr">
        <is>
          <t>https://quinnhawthorne.com/partners</t>
        </is>
      </c>
      <c r="P677" s="27" t="inlineStr">
        <is>
          <t>Shorts Repurposing Bottleneck</t>
        </is>
      </c>
      <c r="Q677" s="27" t="inlineStr">
        <is>
          <t>https://quinnhawthorne.com/highlights</t>
        </is>
      </c>
      <c r="R677" s="27" t="inlineStr">
        <is>
          <t>LinkedIn</t>
        </is>
      </c>
      <c r="S677" s="27" t="inlineStr">
        <is>
          <t>https://linkedin.com/in/quinnhawthorne</t>
        </is>
      </c>
      <c r="T677" s="27" t="inlineStr">
        <is>
          <t>https://quinnhawthorne.com/about</t>
        </is>
      </c>
      <c r="U677" s="27" t="inlineStr">
        <is>
          <t>Email</t>
        </is>
      </c>
      <c r="V677" s="27" t="inlineStr">
        <is>
          <t>productivity &amp; personal systems frameworks, specifically regarding episode 24 on Productivity &amp; Personal Systems workflow optimization</t>
        </is>
      </c>
      <c r="W677" s="27" t="inlineStr">
        <is>
          <t>Hi Quinn, loved your recent piece on 'productivity &amp; personal systems frameworks, specifically regarding episode 24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77" s="27" t="inlineStr">
        <is>
          <t>2026-10-18</t>
        </is>
      </c>
      <c r="Y677" s="27" t="inlineStr">
        <is>
          <t>C</t>
        </is>
      </c>
      <c r="Z677" s="27" t="n">
        <v>79.59999999999999</v>
      </c>
      <c r="AA677" s="27" t="inlineStr">
        <is>
          <t>Qualified</t>
        </is>
      </c>
      <c r="AB677" s="27" t="inlineStr"/>
      <c r="AC677" s="28">
        <f>IF(A677="","",IF(COUNTIF($H$5:$H$1004,H677)&gt;1,"DUPLICATE","UNIQUE"))</f>
        <v/>
      </c>
      <c r="AD677" s="28">
        <f>IF(A677="","",IF(AA677="Rejected",IF(AB677&lt;&gt;"","REJECTED","ADD REASON"),IF(AND(B677&lt;&gt;"",C677&lt;&gt;"",D677&lt;&gt;"",E677&lt;&gt;"",F677&lt;&gt;"",G677&lt;&gt;"",H677&lt;&gt;"",J677&lt;&gt;"",K677&lt;&gt;"",N677&lt;&gt;"",O677&lt;&gt;"",P677&lt;&gt;"",Q677&lt;&gt;"",R677&lt;&gt;"",S677&lt;&gt;"",T677&lt;&gt;"",V677&lt;&gt;"",W677&lt;&gt;"",X677&lt;&gt;"",Y677&lt;&gt;""),"COMPLETE","MISSING FIELDS")))</f>
        <v/>
      </c>
    </row>
    <row r="678" ht="15" customHeight="1" s="15">
      <c r="A678" s="27" t="inlineStr">
        <is>
          <t>LEAD-0674</t>
        </is>
      </c>
      <c r="B678" s="27" t="inlineStr">
        <is>
          <t>Quinn Ingram</t>
        </is>
      </c>
      <c r="C678" s="27" t="inlineStr">
        <is>
          <t>Podcaster</t>
        </is>
      </c>
      <c r="D678" s="27" t="inlineStr">
        <is>
          <t>GB</t>
        </is>
      </c>
      <c r="E678" s="27" t="inlineStr">
        <is>
          <t>English</t>
        </is>
      </c>
      <c r="F678" s="27" t="inlineStr">
        <is>
          <t>Apple Podcasts</t>
        </is>
      </c>
      <c r="G678" s="27" t="inlineStr">
        <is>
          <t>https://podcasts.apple.com/gb/podcast/quinningram/id1000674</t>
        </is>
      </c>
      <c r="H678" s="27" t="inlineStr">
        <is>
          <t>AP-GB-1000674</t>
        </is>
      </c>
      <c r="I678" s="27" t="inlineStr">
        <is>
          <t>300,000</t>
        </is>
      </c>
      <c r="J678" s="27" t="inlineStr">
        <is>
          <t>2026-10-12</t>
        </is>
      </c>
      <c r="K678" s="27" t="inlineStr">
        <is>
          <t>https://quinningram.com/episodes/75</t>
        </is>
      </c>
      <c r="L678" s="27" t="n">
        <v>12</v>
      </c>
      <c r="M678" s="27" t="n">
        <v>24</v>
      </c>
      <c r="N678" s="27" t="inlineStr">
        <is>
          <t>Membership</t>
        </is>
      </c>
      <c r="O678" s="27" t="inlineStr">
        <is>
          <t>https://quinningram.com/community</t>
        </is>
      </c>
      <c r="P678" s="27" t="inlineStr">
        <is>
          <t>Inconsistent Cross-Platform Publishing</t>
        </is>
      </c>
      <c r="Q678" s="27" t="inlineStr">
        <is>
          <t>https://quinningram.com/highlights</t>
        </is>
      </c>
      <c r="R678" s="27" t="inlineStr">
        <is>
          <t>X (Twitter)</t>
        </is>
      </c>
      <c r="S678" s="27" t="inlineStr">
        <is>
          <t>https://x.com/quinningram</t>
        </is>
      </c>
      <c r="T678" s="27" t="inlineStr">
        <is>
          <t>https://quinningram.com/links</t>
        </is>
      </c>
      <c r="U678" s="27" t="inlineStr">
        <is>
          <t>LinkedIn</t>
        </is>
      </c>
      <c r="V678" s="27" t="inlineStr">
        <is>
          <t>leadership &amp; team ops frameworks, specifically regarding episode 25 on Leadership &amp; Team Ops workflow optimization</t>
        </is>
      </c>
      <c r="W678" s="27" t="inlineStr">
        <is>
          <t>Hi Quinn, loved your recent piece on 'leadership &amp; team ops frameworks, specifically regarding episode 25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78" s="27" t="inlineStr">
        <is>
          <t>2026-10-18</t>
        </is>
      </c>
      <c r="Y678" s="27" t="inlineStr">
        <is>
          <t>C</t>
        </is>
      </c>
      <c r="Z678" s="27" t="n">
        <v>79.59999999999999</v>
      </c>
      <c r="AA678" s="27" t="inlineStr">
        <is>
          <t>Qualified</t>
        </is>
      </c>
      <c r="AB678" s="27" t="inlineStr"/>
      <c r="AC678" s="28">
        <f>IF(A678="","",IF(COUNTIF($H$5:$H$1004,H678)&gt;1,"DUPLICATE","UNIQUE"))</f>
        <v/>
      </c>
      <c r="AD678" s="28">
        <f>IF(A678="","",IF(AA678="Rejected",IF(AB678&lt;&gt;"","REJECTED","ADD REASON"),IF(AND(B678&lt;&gt;"",C678&lt;&gt;"",D678&lt;&gt;"",E678&lt;&gt;"",F678&lt;&gt;"",G678&lt;&gt;"",H678&lt;&gt;"",J678&lt;&gt;"",K678&lt;&gt;"",N678&lt;&gt;"",O678&lt;&gt;"",P678&lt;&gt;"",Q678&lt;&gt;"",R678&lt;&gt;"",S678&lt;&gt;"",T678&lt;&gt;"",V678&lt;&gt;"",W678&lt;&gt;"",X678&lt;&gt;"",Y678&lt;&gt;""),"COMPLETE","MISSING FIELDS")))</f>
        <v/>
      </c>
    </row>
    <row r="679" ht="15" customHeight="1" s="15">
      <c r="A679" s="27" t="inlineStr">
        <is>
          <t>LEAD-0675</t>
        </is>
      </c>
      <c r="B679" s="27" t="inlineStr">
        <is>
          <t>Quinn Jennings</t>
        </is>
      </c>
      <c r="C679" s="27" t="inlineStr">
        <is>
          <t>Expert-Led Creator</t>
        </is>
      </c>
      <c r="D679" s="27" t="inlineStr">
        <is>
          <t>GB</t>
        </is>
      </c>
      <c r="E679" s="27" t="inlineStr">
        <is>
          <t>English</t>
        </is>
      </c>
      <c r="F679" s="27" t="inlineStr">
        <is>
          <t>LinkedIn</t>
        </is>
      </c>
      <c r="G679" s="27" t="inlineStr">
        <is>
          <t>https://www.linkedin.com/in/quinnjennings</t>
        </is>
      </c>
      <c r="H679" s="27" t="inlineStr">
        <is>
          <t>LI-quinnjennings-0675</t>
        </is>
      </c>
      <c r="I679" s="27" t="inlineStr">
        <is>
          <t>96,000</t>
        </is>
      </c>
      <c r="J679" s="27" t="inlineStr">
        <is>
          <t>2026-10-13</t>
        </is>
      </c>
      <c r="K679" s="27" t="inlineStr">
        <is>
          <t>https://quinnjennings.com/posts/76</t>
        </is>
      </c>
      <c r="L679" s="27" t="n">
        <v>13</v>
      </c>
      <c r="M679" s="27" t="n">
        <v>25</v>
      </c>
      <c r="N679" s="27" t="inlineStr">
        <is>
          <t>Product</t>
        </is>
      </c>
      <c r="O679" s="27" t="inlineStr">
        <is>
          <t>https://quinnjennings.com/shop</t>
        </is>
      </c>
      <c r="P679" s="27" t="inlineStr">
        <is>
          <t>Editing Backlog &amp; Team Workflow Overhead</t>
        </is>
      </c>
      <c r="Q679" s="27" t="inlineStr">
        <is>
          <t>https://quinnjennings.com/highlights</t>
        </is>
      </c>
      <c r="R679" s="27" t="inlineStr">
        <is>
          <t>Email</t>
        </is>
      </c>
      <c r="S679" s="27" t="inlineStr">
        <is>
          <t>hello@quinnjennings.com</t>
        </is>
      </c>
      <c r="T679" s="27" t="inlineStr">
        <is>
          <t>https://quinnjennings.com/work-with-me</t>
        </is>
      </c>
      <c r="U679" s="27" t="inlineStr">
        <is>
          <t>LinkedIn</t>
        </is>
      </c>
      <c r="V679" s="27" t="inlineStr">
        <is>
          <t>b2b marketing &amp; sales frameworks, specifically regarding episode 26 on B2B Marketing &amp; Sales workflow optimization</t>
        </is>
      </c>
      <c r="W679" s="27" t="inlineStr">
        <is>
          <t>Hi Quinn, loved your recent piece on 'b2b marketing &amp; sales frameworks, specifically regarding episode 26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79" s="27" t="inlineStr">
        <is>
          <t>2026-10-18</t>
        </is>
      </c>
      <c r="Y679" s="27" t="inlineStr">
        <is>
          <t>C</t>
        </is>
      </c>
      <c r="Z679" s="27" t="n">
        <v>79.5</v>
      </c>
      <c r="AA679" s="27" t="inlineStr">
        <is>
          <t>Qualified</t>
        </is>
      </c>
      <c r="AB679" s="27" t="inlineStr"/>
      <c r="AC679" s="28">
        <f>IF(A679="","",IF(COUNTIF($H$5:$H$1004,H679)&gt;1,"DUPLICATE","UNIQUE"))</f>
        <v/>
      </c>
      <c r="AD679" s="28">
        <f>IF(A679="","",IF(AA679="Rejected",IF(AB679&lt;&gt;"","REJECTED","ADD REASON"),IF(AND(B679&lt;&gt;"",C679&lt;&gt;"",D679&lt;&gt;"",E679&lt;&gt;"",F679&lt;&gt;"",G679&lt;&gt;"",H679&lt;&gt;"",J679&lt;&gt;"",K679&lt;&gt;"",N679&lt;&gt;"",O679&lt;&gt;"",P679&lt;&gt;"",Q679&lt;&gt;"",R679&lt;&gt;"",S679&lt;&gt;"",T679&lt;&gt;"",V679&lt;&gt;"",W679&lt;&gt;"",X679&lt;&gt;"",Y679&lt;&gt;""),"COMPLETE","MISSING FIELDS")))</f>
        <v/>
      </c>
    </row>
    <row r="680" ht="15" customHeight="1" s="15">
      <c r="A680" s="27" t="inlineStr">
        <is>
          <t>LEAD-0676</t>
        </is>
      </c>
      <c r="B680" s="27" t="inlineStr">
        <is>
          <t>Quinn Kingsley</t>
        </is>
      </c>
      <c r="C680" s="27" t="inlineStr">
        <is>
          <t>YouTuber</t>
        </is>
      </c>
      <c r="D680" s="27" t="inlineStr">
        <is>
          <t>GB</t>
        </is>
      </c>
      <c r="E680" s="27" t="inlineStr">
        <is>
          <t>English</t>
        </is>
      </c>
      <c r="F680" s="27" t="inlineStr">
        <is>
          <t>YouTube</t>
        </is>
      </c>
      <c r="G680" s="27" t="inlineStr">
        <is>
          <t>https://www.youtube.com/@quinnkingsley</t>
        </is>
      </c>
      <c r="H680" s="27" t="inlineStr">
        <is>
          <t>UCGB00676046143</t>
        </is>
      </c>
      <c r="I680" s="27" t="inlineStr">
        <is>
          <t>240,000</t>
        </is>
      </c>
      <c r="J680" s="27" t="inlineStr">
        <is>
          <t>2026-10-14</t>
        </is>
      </c>
      <c r="K680" s="27" t="inlineStr">
        <is>
          <t>https://www.youtube.com/watch?v=gb00676</t>
        </is>
      </c>
      <c r="L680" s="27" t="n">
        <v>14</v>
      </c>
      <c r="M680" s="27" t="n">
        <v>26</v>
      </c>
      <c r="N680" s="27" t="inlineStr">
        <is>
          <t>Consulting</t>
        </is>
      </c>
      <c r="O680" s="27" t="inlineStr">
        <is>
          <t>https://quinnkingsley.com/advisory</t>
        </is>
      </c>
      <c r="P680" s="27" t="inlineStr">
        <is>
          <t>Multilingual Audio Dubbing</t>
        </is>
      </c>
      <c r="Q680" s="27" t="inlineStr">
        <is>
          <t>https://quinnkingsley.com/highlights</t>
        </is>
      </c>
      <c r="R680" s="27" t="inlineStr">
        <is>
          <t>Email</t>
        </is>
      </c>
      <c r="S680" s="27" t="inlineStr">
        <is>
          <t>contact@quinnkingsley.com</t>
        </is>
      </c>
      <c r="T680" s="27" t="inlineStr">
        <is>
          <t>https://quinnkingsley.com/contact</t>
        </is>
      </c>
      <c r="U680" s="27" t="inlineStr">
        <is>
          <t>LinkedIn</t>
        </is>
      </c>
      <c r="V680" s="27" t="inlineStr">
        <is>
          <t>finance &amp; wealth engineering frameworks, specifically regarding episode 27 on Finance &amp; Wealth Engineering workflow optimization</t>
        </is>
      </c>
      <c r="W680" s="27" t="inlineStr">
        <is>
          <t>Hi Quinn,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80" s="27" t="inlineStr">
        <is>
          <t>2026-10-18</t>
        </is>
      </c>
      <c r="Y680" s="27" t="inlineStr">
        <is>
          <t>C</t>
        </is>
      </c>
      <c r="Z680" s="27" t="n">
        <v>79.40000000000001</v>
      </c>
      <c r="AA680" s="27" t="inlineStr">
        <is>
          <t>Qualified</t>
        </is>
      </c>
      <c r="AB680" s="27" t="inlineStr"/>
      <c r="AC680" s="28">
        <f>IF(A680="","",IF(COUNTIF($H$5:$H$1004,H680)&gt;1,"DUPLICATE","UNIQUE"))</f>
        <v/>
      </c>
      <c r="AD680" s="28">
        <f>IF(A680="","",IF(AA680="Rejected",IF(AB680&lt;&gt;"","REJECTED","ADD REASON"),IF(AND(B680&lt;&gt;"",C680&lt;&gt;"",D680&lt;&gt;"",E680&lt;&gt;"",F680&lt;&gt;"",G680&lt;&gt;"",H680&lt;&gt;"",J680&lt;&gt;"",K680&lt;&gt;"",N680&lt;&gt;"",O680&lt;&gt;"",P680&lt;&gt;"",Q680&lt;&gt;"",R680&lt;&gt;"",S680&lt;&gt;"",T680&lt;&gt;"",V680&lt;&gt;"",W680&lt;&gt;"",X680&lt;&gt;"",Y680&lt;&gt;""),"COMPLETE","MISSING FIELDS")))</f>
        <v/>
      </c>
    </row>
    <row r="681" ht="15" customHeight="1" s="15">
      <c r="A681" s="27" t="inlineStr">
        <is>
          <t>LEAD-0677</t>
        </is>
      </c>
      <c r="B681" s="27" t="inlineStr">
        <is>
          <t>Quinn Lockwood</t>
        </is>
      </c>
      <c r="C681" s="27" t="inlineStr">
        <is>
          <t>Podcaster</t>
        </is>
      </c>
      <c r="D681" s="27" t="inlineStr">
        <is>
          <t>GB</t>
        </is>
      </c>
      <c r="E681" s="27" t="inlineStr">
        <is>
          <t>English</t>
        </is>
      </c>
      <c r="F681" s="27" t="inlineStr">
        <is>
          <t>Apple Podcasts</t>
        </is>
      </c>
      <c r="G681" s="27" t="inlineStr">
        <is>
          <t>https://podcasts.apple.com/gb/podcast/quinnlockwood/id1000677</t>
        </is>
      </c>
      <c r="H681" s="27" t="inlineStr">
        <is>
          <t>AP-GB-1000677</t>
        </is>
      </c>
      <c r="I681" s="27" t="inlineStr">
        <is>
          <t>36,000</t>
        </is>
      </c>
      <c r="J681" s="27" t="inlineStr">
        <is>
          <t>2026-10-15</t>
        </is>
      </c>
      <c r="K681" s="27" t="inlineStr">
        <is>
          <t>https://quinnlockwood.com/episodes/78</t>
        </is>
      </c>
      <c r="L681" s="27" t="n">
        <v>15</v>
      </c>
      <c r="M681" s="27" t="n">
        <v>27</v>
      </c>
      <c r="N681" s="27" t="inlineStr">
        <is>
          <t>Newsletter Subscription</t>
        </is>
      </c>
      <c r="O681" s="27" t="inlineStr">
        <is>
          <t>https://quinnlockwood.com/subscribe</t>
        </is>
      </c>
      <c r="P681" s="27" t="inlineStr">
        <is>
          <t>Multilingual Audio Dubbing</t>
        </is>
      </c>
      <c r="Q681" s="27" t="inlineStr">
        <is>
          <t>https://quinnlockwood.com/highlights</t>
        </is>
      </c>
      <c r="R681" s="27" t="inlineStr">
        <is>
          <t>LinkedIn</t>
        </is>
      </c>
      <c r="S681" s="27" t="inlineStr">
        <is>
          <t>https://linkedin.com/in/quinnlockwood</t>
        </is>
      </c>
      <c r="T681" s="27" t="inlineStr">
        <is>
          <t>https://quinnlockwood.com/about</t>
        </is>
      </c>
      <c r="U681" s="27" t="inlineStr">
        <is>
          <t>Email</t>
        </is>
      </c>
      <c r="V681" s="27" t="inlineStr">
        <is>
          <t>health &amp; longevity science frameworks, specifically regarding episode 28 on Health &amp; Longevity Science workflow optimization</t>
        </is>
      </c>
      <c r="W681" s="27" t="inlineStr">
        <is>
          <t>Hi Quinn,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81" s="27" t="inlineStr">
        <is>
          <t>2026-10-18</t>
        </is>
      </c>
      <c r="Y681" s="27" t="inlineStr">
        <is>
          <t>C</t>
        </is>
      </c>
      <c r="Z681" s="27" t="n">
        <v>79.40000000000001</v>
      </c>
      <c r="AA681" s="27" t="inlineStr">
        <is>
          <t>Qualified</t>
        </is>
      </c>
      <c r="AB681" s="27" t="inlineStr"/>
      <c r="AC681" s="28">
        <f>IF(A681="","",IF(COUNTIF($H$5:$H$1004,H681)&gt;1,"DUPLICATE","UNIQUE"))</f>
        <v/>
      </c>
      <c r="AD681" s="28">
        <f>IF(A681="","",IF(AA681="Rejected",IF(AB681&lt;&gt;"","REJECTED","ADD REASON"),IF(AND(B681&lt;&gt;"",C681&lt;&gt;"",D681&lt;&gt;"",E681&lt;&gt;"",F681&lt;&gt;"",G681&lt;&gt;"",H681&lt;&gt;"",J681&lt;&gt;"",K681&lt;&gt;"",N681&lt;&gt;"",O681&lt;&gt;"",P681&lt;&gt;"",Q681&lt;&gt;"",R681&lt;&gt;"",S681&lt;&gt;"",T681&lt;&gt;"",V681&lt;&gt;"",W681&lt;&gt;"",X681&lt;&gt;"",Y681&lt;&gt;""),"COMPLETE","MISSING FIELDS")))</f>
        <v/>
      </c>
    </row>
    <row r="682" ht="15" customHeight="1" s="15">
      <c r="A682" s="27" t="inlineStr">
        <is>
          <t>LEAD-0678</t>
        </is>
      </c>
      <c r="B682" s="27" t="inlineStr">
        <is>
          <t>Quinn Montague</t>
        </is>
      </c>
      <c r="C682" s="27" t="inlineStr">
        <is>
          <t>YouTuber</t>
        </is>
      </c>
      <c r="D682" s="27" t="inlineStr">
        <is>
          <t>GB</t>
        </is>
      </c>
      <c r="E682" s="27" t="inlineStr">
        <is>
          <t>English</t>
        </is>
      </c>
      <c r="F682" s="27" t="inlineStr">
        <is>
          <t>YouTube</t>
        </is>
      </c>
      <c r="G682" s="27" t="inlineStr">
        <is>
          <t>https://www.youtube.com/@quinnmontague</t>
        </is>
      </c>
      <c r="H682" s="27" t="inlineStr">
        <is>
          <t>UCGB00678385251</t>
        </is>
      </c>
      <c r="I682" s="27" t="inlineStr">
        <is>
          <t>280,000</t>
        </is>
      </c>
      <c r="J682" s="27" t="inlineStr">
        <is>
          <t>2026-10-16</t>
        </is>
      </c>
      <c r="K682" s="27" t="inlineStr">
        <is>
          <t>https://www.youtube.com/watch?v=gb00678</t>
        </is>
      </c>
      <c r="L682" s="27" t="n">
        <v>16</v>
      </c>
      <c r="M682" s="27" t="n">
        <v>28</v>
      </c>
      <c r="N682" s="27" t="inlineStr">
        <is>
          <t>Affiliate</t>
        </is>
      </c>
      <c r="O682" s="27" t="inlineStr">
        <is>
          <t>https://quinnmontague.com/resources</t>
        </is>
      </c>
      <c r="P682" s="27" t="inlineStr">
        <is>
          <t>Missing Video Captions &amp; Retention Clips</t>
        </is>
      </c>
      <c r="Q682" s="27" t="inlineStr">
        <is>
          <t>https://quinnmontague.com/highlights</t>
        </is>
      </c>
      <c r="R682" s="27" t="inlineStr">
        <is>
          <t>X (Twitter)</t>
        </is>
      </c>
      <c r="S682" s="27" t="inlineStr">
        <is>
          <t>https://x.com/quinnmontague</t>
        </is>
      </c>
      <c r="T682" s="27" t="inlineStr">
        <is>
          <t>https://quinnmontague.com/links</t>
        </is>
      </c>
      <c r="U682" s="27" t="inlineStr">
        <is>
          <t>LinkedIn</t>
        </is>
      </c>
      <c r="V682" s="27" t="inlineStr">
        <is>
          <t>education &amp; applied coding frameworks, specifically regarding episode 29 on Education &amp; Applied Coding workflow optimization</t>
        </is>
      </c>
      <c r="W682" s="27" t="inlineStr">
        <is>
          <t>Hi Quinn,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82" s="27" t="inlineStr">
        <is>
          <t>2026-10-18</t>
        </is>
      </c>
      <c r="Y682" s="27" t="inlineStr">
        <is>
          <t>C</t>
        </is>
      </c>
      <c r="Z682" s="27" t="n">
        <v>79.3</v>
      </c>
      <c r="AA682" s="27" t="inlineStr">
        <is>
          <t>Qualified</t>
        </is>
      </c>
      <c r="AB682" s="27" t="inlineStr"/>
      <c r="AC682" s="28">
        <f>IF(A682="","",IF(COUNTIF($H$5:$H$1004,H682)&gt;1,"DUPLICATE","UNIQUE"))</f>
        <v/>
      </c>
      <c r="AD682" s="28">
        <f>IF(A682="","",IF(AA682="Rejected",IF(AB682&lt;&gt;"","REJECTED","ADD REASON"),IF(AND(B682&lt;&gt;"",C682&lt;&gt;"",D682&lt;&gt;"",E682&lt;&gt;"",F682&lt;&gt;"",G682&lt;&gt;"",H682&lt;&gt;"",J682&lt;&gt;"",K682&lt;&gt;"",N682&lt;&gt;"",O682&lt;&gt;"",P682&lt;&gt;"",Q682&lt;&gt;"",R682&lt;&gt;"",S682&lt;&gt;"",T682&lt;&gt;"",V682&lt;&gt;"",W682&lt;&gt;"",X682&lt;&gt;"",Y682&lt;&gt;""),"COMPLETE","MISSING FIELDS")))</f>
        <v/>
      </c>
    </row>
    <row r="683" ht="15" customHeight="1" s="15">
      <c r="A683" s="27" t="inlineStr">
        <is>
          <t>LEAD-0679</t>
        </is>
      </c>
      <c r="B683" s="27" t="inlineStr">
        <is>
          <t>Quinn Northwood</t>
        </is>
      </c>
      <c r="C683" s="27" t="inlineStr">
        <is>
          <t>Podcaster</t>
        </is>
      </c>
      <c r="D683" s="27" t="inlineStr">
        <is>
          <t>GB</t>
        </is>
      </c>
      <c r="E683" s="27" t="inlineStr">
        <is>
          <t>English</t>
        </is>
      </c>
      <c r="F683" s="27" t="inlineStr">
        <is>
          <t>Apple Podcasts</t>
        </is>
      </c>
      <c r="G683" s="27" t="inlineStr">
        <is>
          <t>https://podcasts.apple.com/gb/podcast/quinnnorthwood/id1000679</t>
        </is>
      </c>
      <c r="H683" s="27" t="inlineStr">
        <is>
          <t>AP-GB-1000679</t>
        </is>
      </c>
      <c r="I683" s="27" t="inlineStr">
        <is>
          <t>60,000</t>
        </is>
      </c>
      <c r="J683" s="27" t="inlineStr">
        <is>
          <t>2026-10-17</t>
        </is>
      </c>
      <c r="K683" s="27" t="inlineStr">
        <is>
          <t>https://quinnnorthwood.com/episodes/80</t>
        </is>
      </c>
      <c r="L683" s="27" t="n">
        <v>17</v>
      </c>
      <c r="M683" s="27" t="n">
        <v>29</v>
      </c>
      <c r="N683" s="27" t="inlineStr">
        <is>
          <t>Course</t>
        </is>
      </c>
      <c r="O683" s="27" t="inlineStr">
        <is>
          <t>https://quinnnorthwood.com/academy</t>
        </is>
      </c>
      <c r="P683" s="27" t="inlineStr">
        <is>
          <t>Shorts Repurposing Bottleneck</t>
        </is>
      </c>
      <c r="Q683" s="27" t="inlineStr">
        <is>
          <t>https://quinnnorthwood.com/highlights</t>
        </is>
      </c>
      <c r="R683" s="27" t="inlineStr">
        <is>
          <t>Email</t>
        </is>
      </c>
      <c r="S683" s="27" t="inlineStr">
        <is>
          <t>hello@quinnnorthwood.com</t>
        </is>
      </c>
      <c r="T683" s="27" t="inlineStr">
        <is>
          <t>https://quinnnorthwood.com/work-with-me</t>
        </is>
      </c>
      <c r="U683" s="27" t="inlineStr">
        <is>
          <t>LinkedIn</t>
        </is>
      </c>
      <c r="V683" s="27" t="inlineStr">
        <is>
          <t>e-commerce &amp; digital brands frameworks, specifically regarding episode 30 on E-Commerce &amp; Digital Brands workflow optimization</t>
        </is>
      </c>
      <c r="W683" s="27" t="inlineStr">
        <is>
          <t>Hi Quinn,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83" s="27" t="inlineStr">
        <is>
          <t>2026-10-18</t>
        </is>
      </c>
      <c r="Y683" s="27" t="inlineStr">
        <is>
          <t>C</t>
        </is>
      </c>
      <c r="Z683" s="27" t="n">
        <v>79.3</v>
      </c>
      <c r="AA683" s="27" t="inlineStr">
        <is>
          <t>Qualified</t>
        </is>
      </c>
      <c r="AB683" s="27" t="inlineStr"/>
      <c r="AC683" s="28">
        <f>IF(A683="","",IF(COUNTIF($H$5:$H$1004,H683)&gt;1,"DUPLICATE","UNIQUE"))</f>
        <v/>
      </c>
      <c r="AD683" s="28">
        <f>IF(A683="","",IF(AA683="Rejected",IF(AB683&lt;&gt;"","REJECTED","ADD REASON"),IF(AND(B683&lt;&gt;"",C683&lt;&gt;"",D683&lt;&gt;"",E683&lt;&gt;"",F683&lt;&gt;"",G683&lt;&gt;"",H683&lt;&gt;"",J683&lt;&gt;"",K683&lt;&gt;"",N683&lt;&gt;"",O683&lt;&gt;"",P683&lt;&gt;"",Q683&lt;&gt;"",R683&lt;&gt;"",S683&lt;&gt;"",T683&lt;&gt;"",V683&lt;&gt;"",W683&lt;&gt;"",X683&lt;&gt;"",Y683&lt;&gt;""),"COMPLETE","MISSING FIELDS")))</f>
        <v/>
      </c>
    </row>
    <row r="684" ht="15" customHeight="1" s="15">
      <c r="A684" s="27" t="inlineStr">
        <is>
          <t>LEAD-0680</t>
        </is>
      </c>
      <c r="B684" s="27" t="inlineStr">
        <is>
          <t>Quinn Oakley</t>
        </is>
      </c>
      <c r="C684" s="27" t="inlineStr">
        <is>
          <t>YouTuber</t>
        </is>
      </c>
      <c r="D684" s="27" t="inlineStr">
        <is>
          <t>GB</t>
        </is>
      </c>
      <c r="E684" s="27" t="inlineStr">
        <is>
          <t>English</t>
        </is>
      </c>
      <c r="F684" s="27" t="inlineStr">
        <is>
          <t>YouTube</t>
        </is>
      </c>
      <c r="G684" s="27" t="inlineStr">
        <is>
          <t>https://www.youtube.com/@quinnoakley</t>
        </is>
      </c>
      <c r="H684" s="27" t="inlineStr">
        <is>
          <t>UCGB00680119512</t>
        </is>
      </c>
      <c r="I684" s="27" t="inlineStr">
        <is>
          <t>320,000</t>
        </is>
      </c>
      <c r="J684" s="27" t="inlineStr">
        <is>
          <t>2026-10-10</t>
        </is>
      </c>
      <c r="K684" s="27" t="inlineStr">
        <is>
          <t>https://www.youtube.com/watch?v=gb00680</t>
        </is>
      </c>
      <c r="L684" s="27" t="n">
        <v>8</v>
      </c>
      <c r="M684" s="27" t="n">
        <v>30</v>
      </c>
      <c r="N684" s="27" t="inlineStr">
        <is>
          <t>Sponsor</t>
        </is>
      </c>
      <c r="O684" s="27" t="inlineStr">
        <is>
          <t>https://quinnoakley.com/partners</t>
        </is>
      </c>
      <c r="P684" s="27" t="inlineStr">
        <is>
          <t>Shorts Repurposing Bottleneck</t>
        </is>
      </c>
      <c r="Q684" s="27" t="inlineStr">
        <is>
          <t>https://quinnoakley.com/highlights</t>
        </is>
      </c>
      <c r="R684" s="27" t="inlineStr">
        <is>
          <t>Email</t>
        </is>
      </c>
      <c r="S684" s="27" t="inlineStr">
        <is>
          <t>contact@quinnoakley.com</t>
        </is>
      </c>
      <c r="T684" s="27" t="inlineStr">
        <is>
          <t>https://quinnoakley.com/contact</t>
        </is>
      </c>
      <c r="U684" s="27" t="inlineStr">
        <is>
          <t>LinkedIn</t>
        </is>
      </c>
      <c r="V684" s="27" t="inlineStr">
        <is>
          <t>tech &amp; ai frameworks, specifically regarding episode 31 on Tech &amp; AI workflow optimization</t>
        </is>
      </c>
      <c r="W684" s="27" t="inlineStr">
        <is>
          <t>Hi Quinn,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84" s="27" t="inlineStr">
        <is>
          <t>2026-10-18</t>
        </is>
      </c>
      <c r="Y684" s="27" t="inlineStr">
        <is>
          <t>C</t>
        </is>
      </c>
      <c r="Z684" s="27" t="n">
        <v>79.2</v>
      </c>
      <c r="AA684" s="27" t="inlineStr">
        <is>
          <t>Qualified</t>
        </is>
      </c>
      <c r="AB684" s="27" t="inlineStr"/>
      <c r="AC684" s="28">
        <f>IF(A684="","",IF(COUNTIF($H$5:$H$1004,H684)&gt;1,"DUPLICATE","UNIQUE"))</f>
        <v/>
      </c>
      <c r="AD684" s="28">
        <f>IF(A684="","",IF(AA684="Rejected",IF(AB684&lt;&gt;"","REJECTED","ADD REASON"),IF(AND(B684&lt;&gt;"",C684&lt;&gt;"",D684&lt;&gt;"",E684&lt;&gt;"",F684&lt;&gt;"",G684&lt;&gt;"",H684&lt;&gt;"",J684&lt;&gt;"",K684&lt;&gt;"",N684&lt;&gt;"",O684&lt;&gt;"",P684&lt;&gt;"",Q684&lt;&gt;"",R684&lt;&gt;"",S684&lt;&gt;"",T684&lt;&gt;"",V684&lt;&gt;"",W684&lt;&gt;"",X684&lt;&gt;"",Y684&lt;&gt;""),"COMPLETE","MISSING FIELDS")))</f>
        <v/>
      </c>
    </row>
    <row r="685" ht="15" customHeight="1" s="15">
      <c r="A685" s="27" t="inlineStr">
        <is>
          <t>LEAD-0681</t>
        </is>
      </c>
      <c r="B685" s="27" t="inlineStr">
        <is>
          <t>Quinn Pemberton</t>
        </is>
      </c>
      <c r="C685" s="27" t="inlineStr">
        <is>
          <t>Podcaster</t>
        </is>
      </c>
      <c r="D685" s="27" t="inlineStr">
        <is>
          <t>GB</t>
        </is>
      </c>
      <c r="E685" s="27" t="inlineStr">
        <is>
          <t>English</t>
        </is>
      </c>
      <c r="F685" s="27" t="inlineStr">
        <is>
          <t>Apple Podcasts</t>
        </is>
      </c>
      <c r="G685" s="27" t="inlineStr">
        <is>
          <t>https://podcasts.apple.com/gb/podcast/quinnpemberton/id1000681</t>
        </is>
      </c>
      <c r="H685" s="27" t="inlineStr">
        <is>
          <t>AP-GB-1000681</t>
        </is>
      </c>
      <c r="I685" s="27" t="inlineStr">
        <is>
          <t>84,000</t>
        </is>
      </c>
      <c r="J685" s="27" t="inlineStr">
        <is>
          <t>2026-10-11</t>
        </is>
      </c>
      <c r="K685" s="27" t="inlineStr">
        <is>
          <t>https://quinnpemberton.com/episodes/82</t>
        </is>
      </c>
      <c r="L685" s="27" t="n">
        <v>9</v>
      </c>
      <c r="M685" s="27" t="n">
        <v>31</v>
      </c>
      <c r="N685" s="27" t="inlineStr">
        <is>
          <t>Membership</t>
        </is>
      </c>
      <c r="O685" s="27" t="inlineStr">
        <is>
          <t>https://quinnpemberton.com/community</t>
        </is>
      </c>
      <c r="P685" s="27" t="inlineStr">
        <is>
          <t>Missing Video Captions &amp; Retention Clips</t>
        </is>
      </c>
      <c r="Q685" s="27" t="inlineStr">
        <is>
          <t>https://quinnpemberton.com/highlights</t>
        </is>
      </c>
      <c r="R685" s="27" t="inlineStr">
        <is>
          <t>LinkedIn</t>
        </is>
      </c>
      <c r="S685" s="27" t="inlineStr">
        <is>
          <t>https://linkedin.com/in/quinnpemberton</t>
        </is>
      </c>
      <c r="T685" s="27" t="inlineStr">
        <is>
          <t>https://quinnpemberton.com/about</t>
        </is>
      </c>
      <c r="U685" s="27" t="inlineStr">
        <is>
          <t>Email</t>
        </is>
      </c>
      <c r="V685" s="27" t="inlineStr">
        <is>
          <t>saas &amp; product growth frameworks, specifically regarding episode 32 on SaaS &amp; Product Growth workflow optimization</t>
        </is>
      </c>
      <c r="W685" s="27" t="inlineStr">
        <is>
          <t>Hi Quinn,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85" s="27" t="inlineStr">
        <is>
          <t>2026-10-18</t>
        </is>
      </c>
      <c r="Y685" s="27" t="inlineStr">
        <is>
          <t>C</t>
        </is>
      </c>
      <c r="Z685" s="27" t="n">
        <v>79.09999999999999</v>
      </c>
      <c r="AA685" s="27" t="inlineStr">
        <is>
          <t>Qualified</t>
        </is>
      </c>
      <c r="AB685" s="27" t="inlineStr"/>
      <c r="AC685" s="28">
        <f>IF(A685="","",IF(COUNTIF($H$5:$H$1004,H685)&gt;1,"DUPLICATE","UNIQUE"))</f>
        <v/>
      </c>
      <c r="AD685" s="28">
        <f>IF(A685="","",IF(AA685="Rejected",IF(AB685&lt;&gt;"","REJECTED","ADD REASON"),IF(AND(B685&lt;&gt;"",C685&lt;&gt;"",D685&lt;&gt;"",E685&lt;&gt;"",F685&lt;&gt;"",G685&lt;&gt;"",H685&lt;&gt;"",J685&lt;&gt;"",K685&lt;&gt;"",N685&lt;&gt;"",O685&lt;&gt;"",P685&lt;&gt;"",Q685&lt;&gt;"",R685&lt;&gt;"",S685&lt;&gt;"",T685&lt;&gt;"",V685&lt;&gt;"",W685&lt;&gt;"",X685&lt;&gt;"",Y685&lt;&gt;""),"COMPLETE","MISSING FIELDS")))</f>
        <v/>
      </c>
    </row>
    <row r="686" ht="15" customHeight="1" s="15">
      <c r="A686" s="27" t="inlineStr">
        <is>
          <t>LEAD-0682</t>
        </is>
      </c>
      <c r="B686" s="27" t="inlineStr">
        <is>
          <t>Quinn Quatermain</t>
        </is>
      </c>
      <c r="C686" s="27" t="inlineStr">
        <is>
          <t>Expert-Led Creator</t>
        </is>
      </c>
      <c r="D686" s="27" t="inlineStr">
        <is>
          <t>GB</t>
        </is>
      </c>
      <c r="E686" s="27" t="inlineStr">
        <is>
          <t>English</t>
        </is>
      </c>
      <c r="F686" s="27" t="inlineStr">
        <is>
          <t>YouTube</t>
        </is>
      </c>
      <c r="G686" s="27" t="inlineStr">
        <is>
          <t>https://www.youtube.com/@quinnquatermain</t>
        </is>
      </c>
      <c r="H686" s="27" t="inlineStr">
        <is>
          <t>UCGB00682683365</t>
        </is>
      </c>
      <c r="I686" s="27" t="inlineStr">
        <is>
          <t>360,000</t>
        </is>
      </c>
      <c r="J686" s="27" t="inlineStr">
        <is>
          <t>2026-10-12</t>
        </is>
      </c>
      <c r="K686" s="27" t="inlineStr">
        <is>
          <t>https://www.youtube.com/watch?v=gb00682</t>
        </is>
      </c>
      <c r="L686" s="27" t="n">
        <v>10</v>
      </c>
      <c r="M686" s="27" t="n">
        <v>32</v>
      </c>
      <c r="N686" s="27" t="inlineStr">
        <is>
          <t>Product</t>
        </is>
      </c>
      <c r="O686" s="27" t="inlineStr">
        <is>
          <t>https://quinnquatermain.com/shop</t>
        </is>
      </c>
      <c r="P686" s="27" t="inlineStr">
        <is>
          <t>Editing Backlog &amp; Team Workflow Overhead</t>
        </is>
      </c>
      <c r="Q686" s="27" t="inlineStr">
        <is>
          <t>https://quinnquatermain.com/highlights</t>
        </is>
      </c>
      <c r="R686" s="27" t="inlineStr">
        <is>
          <t>X (Twitter)</t>
        </is>
      </c>
      <c r="S686" s="27" t="inlineStr">
        <is>
          <t>https://x.com/quinnquatermain</t>
        </is>
      </c>
      <c r="T686" s="27" t="inlineStr">
        <is>
          <t>https://quinnquatermain.com/links</t>
        </is>
      </c>
      <c r="U686" s="27" t="inlineStr">
        <is>
          <t>LinkedIn</t>
        </is>
      </c>
      <c r="V686" s="27" t="inlineStr">
        <is>
          <t>creator business &amp; monetization frameworks, specifically regarding episode 33 on Creator Business &amp; Monetization workflow optimization</t>
        </is>
      </c>
      <c r="W686" s="27" t="inlineStr">
        <is>
          <t>Hi Quinn,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86" s="27" t="inlineStr">
        <is>
          <t>2026-10-18</t>
        </is>
      </c>
      <c r="Y686" s="27" t="inlineStr">
        <is>
          <t>C</t>
        </is>
      </c>
      <c r="Z686" s="27" t="n">
        <v>79.09999999999999</v>
      </c>
      <c r="AA686" s="27" t="inlineStr">
        <is>
          <t>Qualified</t>
        </is>
      </c>
      <c r="AB686" s="27" t="inlineStr"/>
      <c r="AC686" s="28">
        <f>IF(A686="","",IF(COUNTIF($H$5:$H$1004,H686)&gt;1,"DUPLICATE","UNIQUE"))</f>
        <v/>
      </c>
      <c r="AD686" s="28">
        <f>IF(A686="","",IF(AA686="Rejected",IF(AB686&lt;&gt;"","REJECTED","ADD REASON"),IF(AND(B686&lt;&gt;"",C686&lt;&gt;"",D686&lt;&gt;"",E686&lt;&gt;"",F686&lt;&gt;"",G686&lt;&gt;"",H686&lt;&gt;"",J686&lt;&gt;"",K686&lt;&gt;"",N686&lt;&gt;"",O686&lt;&gt;"",P686&lt;&gt;"",Q686&lt;&gt;"",R686&lt;&gt;"",S686&lt;&gt;"",T686&lt;&gt;"",V686&lt;&gt;"",W686&lt;&gt;"",X686&lt;&gt;"",Y686&lt;&gt;""),"COMPLETE","MISSING FIELDS")))</f>
        <v/>
      </c>
    </row>
    <row r="687" ht="15" customHeight="1" s="15">
      <c r="A687" s="27" t="inlineStr">
        <is>
          <t>LEAD-0683</t>
        </is>
      </c>
      <c r="B687" s="27" t="inlineStr">
        <is>
          <t>Quinn Radcliffe</t>
        </is>
      </c>
      <c r="C687" s="27" t="inlineStr">
        <is>
          <t>YouTuber</t>
        </is>
      </c>
      <c r="D687" s="27" t="inlineStr">
        <is>
          <t>GB</t>
        </is>
      </c>
      <c r="E687" s="27" t="inlineStr">
        <is>
          <t>English</t>
        </is>
      </c>
      <c r="F687" s="27" t="inlineStr">
        <is>
          <t>YouTube</t>
        </is>
      </c>
      <c r="G687" s="27" t="inlineStr">
        <is>
          <t>https://www.youtube.com/@quinnradcliffe</t>
        </is>
      </c>
      <c r="H687" s="27" t="inlineStr">
        <is>
          <t>UCGB00683866978</t>
        </is>
      </c>
      <c r="I687" s="27" t="inlineStr">
        <is>
          <t>380,000</t>
        </is>
      </c>
      <c r="J687" s="27" t="inlineStr">
        <is>
          <t>2026-10-13</t>
        </is>
      </c>
      <c r="K687" s="27" t="inlineStr">
        <is>
          <t>https://www.youtube.com/watch?v=gb00683</t>
        </is>
      </c>
      <c r="L687" s="27" t="n">
        <v>11</v>
      </c>
      <c r="M687" s="27" t="n">
        <v>33</v>
      </c>
      <c r="N687" s="27" t="inlineStr">
        <is>
          <t>Consulting</t>
        </is>
      </c>
      <c r="O687" s="27" t="inlineStr">
        <is>
          <t>https://quinnradcliffe.com/advisory</t>
        </is>
      </c>
      <c r="P687" s="27" t="inlineStr">
        <is>
          <t>Shorts Repurposing Bottleneck</t>
        </is>
      </c>
      <c r="Q687" s="27" t="inlineStr">
        <is>
          <t>https://quinnradcliffe.com/highlights</t>
        </is>
      </c>
      <c r="R687" s="27" t="inlineStr">
        <is>
          <t>Email</t>
        </is>
      </c>
      <c r="S687" s="27" t="inlineStr">
        <is>
          <t>hello@quinnradcliffe.com</t>
        </is>
      </c>
      <c r="T687" s="27" t="inlineStr">
        <is>
          <t>https://quinnradcliffe.com/work-with-me</t>
        </is>
      </c>
      <c r="U687" s="27" t="inlineStr">
        <is>
          <t>LinkedIn</t>
        </is>
      </c>
      <c r="V687" s="27" t="inlineStr">
        <is>
          <t>productivity &amp; personal systems frameworks, specifically regarding episode 34 on Productivity &amp; Personal Systems workflow optimization</t>
        </is>
      </c>
      <c r="W687" s="27" t="inlineStr">
        <is>
          <t>Hi Quinn,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87" s="27" t="inlineStr">
        <is>
          <t>2026-10-18</t>
        </is>
      </c>
      <c r="Y687" s="27" t="inlineStr">
        <is>
          <t>C</t>
        </is>
      </c>
      <c r="Z687" s="27" t="n">
        <v>79</v>
      </c>
      <c r="AA687" s="27" t="inlineStr">
        <is>
          <t>Qualified</t>
        </is>
      </c>
      <c r="AB687" s="27" t="inlineStr"/>
      <c r="AC687" s="28">
        <f>IF(A687="","",IF(COUNTIF($H$5:$H$1004,H687)&gt;1,"DUPLICATE","UNIQUE"))</f>
        <v/>
      </c>
      <c r="AD687" s="28">
        <f>IF(A687="","",IF(AA687="Rejected",IF(AB687&lt;&gt;"","REJECTED","ADD REASON"),IF(AND(B687&lt;&gt;"",C687&lt;&gt;"",D687&lt;&gt;"",E687&lt;&gt;"",F687&lt;&gt;"",G687&lt;&gt;"",H687&lt;&gt;"",J687&lt;&gt;"",K687&lt;&gt;"",N687&lt;&gt;"",O687&lt;&gt;"",P687&lt;&gt;"",Q687&lt;&gt;"",R687&lt;&gt;"",S687&lt;&gt;"",T687&lt;&gt;"",V687&lt;&gt;"",W687&lt;&gt;"",X687&lt;&gt;"",Y687&lt;&gt;""),"COMPLETE","MISSING FIELDS")))</f>
        <v/>
      </c>
    </row>
    <row r="688" ht="15" customHeight="1" s="15">
      <c r="A688" s="27" t="inlineStr">
        <is>
          <t>LEAD-0684</t>
        </is>
      </c>
      <c r="B688" s="27" t="inlineStr">
        <is>
          <t>Quinn Stanhope</t>
        </is>
      </c>
      <c r="C688" s="27" t="inlineStr">
        <is>
          <t>Podcaster</t>
        </is>
      </c>
      <c r="D688" s="27" t="inlineStr">
        <is>
          <t>GB</t>
        </is>
      </c>
      <c r="E688" s="27" t="inlineStr">
        <is>
          <t>English</t>
        </is>
      </c>
      <c r="F688" s="27" t="inlineStr">
        <is>
          <t>Apple Podcasts</t>
        </is>
      </c>
      <c r="G688" s="27" t="inlineStr">
        <is>
          <t>https://podcasts.apple.com/gb/podcast/quinnstanhope/id1000684</t>
        </is>
      </c>
      <c r="H688" s="27" t="inlineStr">
        <is>
          <t>AP-GB-1000684</t>
        </is>
      </c>
      <c r="I688" s="27" t="inlineStr">
        <is>
          <t>120,000</t>
        </is>
      </c>
      <c r="J688" s="27" t="inlineStr">
        <is>
          <t>2026-10-14</t>
        </is>
      </c>
      <c r="K688" s="27" t="inlineStr">
        <is>
          <t>https://quinnstanhope.com/episodes/85</t>
        </is>
      </c>
      <c r="L688" s="27" t="n">
        <v>12</v>
      </c>
      <c r="M688" s="27" t="n">
        <v>16</v>
      </c>
      <c r="N688" s="27" t="inlineStr">
        <is>
          <t>Newsletter Subscription</t>
        </is>
      </c>
      <c r="O688" s="27" t="inlineStr">
        <is>
          <t>https://quinnstanhope.com/subscribe</t>
        </is>
      </c>
      <c r="P688" s="27" t="inlineStr">
        <is>
          <t>Inconsistent Cross-Platform Publishing</t>
        </is>
      </c>
      <c r="Q688" s="27" t="inlineStr">
        <is>
          <t>https://quinnstanhope.com/highlights</t>
        </is>
      </c>
      <c r="R688" s="27" t="inlineStr">
        <is>
          <t>Email</t>
        </is>
      </c>
      <c r="S688" s="27" t="inlineStr">
        <is>
          <t>contact@quinnstanhope.com</t>
        </is>
      </c>
      <c r="T688" s="27" t="inlineStr">
        <is>
          <t>https://quinnstanhope.com/contact</t>
        </is>
      </c>
      <c r="U688" s="27" t="inlineStr">
        <is>
          <t>LinkedIn</t>
        </is>
      </c>
      <c r="V688" s="27" t="inlineStr">
        <is>
          <t>leadership &amp; team ops frameworks, specifically regarding episode 35 on Leadership &amp; Team Ops workflow optimization</t>
        </is>
      </c>
      <c r="W688" s="27" t="inlineStr">
        <is>
          <t>Hi Quinn,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88" s="27" t="inlineStr">
        <is>
          <t>2026-10-18</t>
        </is>
      </c>
      <c r="Y688" s="27" t="inlineStr">
        <is>
          <t>C</t>
        </is>
      </c>
      <c r="Z688" s="27" t="n">
        <v>79</v>
      </c>
      <c r="AA688" s="27" t="inlineStr">
        <is>
          <t>Qualified</t>
        </is>
      </c>
      <c r="AB688" s="27" t="inlineStr"/>
      <c r="AC688" s="28">
        <f>IF(A688="","",IF(COUNTIF($H$5:$H$1004,H688)&gt;1,"DUPLICATE","UNIQUE"))</f>
        <v/>
      </c>
      <c r="AD688" s="28">
        <f>IF(A688="","",IF(AA688="Rejected",IF(AB688&lt;&gt;"","REJECTED","ADD REASON"),IF(AND(B688&lt;&gt;"",C688&lt;&gt;"",D688&lt;&gt;"",E688&lt;&gt;"",F688&lt;&gt;"",G688&lt;&gt;"",H688&lt;&gt;"",J688&lt;&gt;"",K688&lt;&gt;"",N688&lt;&gt;"",O688&lt;&gt;"",P688&lt;&gt;"",Q688&lt;&gt;"",R688&lt;&gt;"",S688&lt;&gt;"",T688&lt;&gt;"",V688&lt;&gt;"",W688&lt;&gt;"",X688&lt;&gt;"",Y688&lt;&gt;""),"COMPLETE","MISSING FIELDS")))</f>
        <v/>
      </c>
    </row>
    <row r="689" ht="15" customHeight="1" s="15">
      <c r="A689" s="27" t="inlineStr">
        <is>
          <t>LEAD-0685</t>
        </is>
      </c>
      <c r="B689" s="27" t="inlineStr">
        <is>
          <t>Quinn Thackery</t>
        </is>
      </c>
      <c r="C689" s="27" t="inlineStr">
        <is>
          <t>Expert-Led Creator</t>
        </is>
      </c>
      <c r="D689" s="27" t="inlineStr">
        <is>
          <t>GB</t>
        </is>
      </c>
      <c r="E689" s="27" t="inlineStr">
        <is>
          <t>English</t>
        </is>
      </c>
      <c r="F689" s="27" t="inlineStr">
        <is>
          <t>LinkedIn</t>
        </is>
      </c>
      <c r="G689" s="27" t="inlineStr">
        <is>
          <t>https://www.linkedin.com/in/quinnthackery</t>
        </is>
      </c>
      <c r="H689" s="27" t="inlineStr">
        <is>
          <t>LI-quinnthackery-0685</t>
        </is>
      </c>
      <c r="I689" s="27" t="inlineStr">
        <is>
          <t>156,000</t>
        </is>
      </c>
      <c r="J689" s="27" t="inlineStr">
        <is>
          <t>2026-10-15</t>
        </is>
      </c>
      <c r="K689" s="27" t="inlineStr">
        <is>
          <t>https://quinnthackery.com/posts/86</t>
        </is>
      </c>
      <c r="L689" s="27" t="n">
        <v>13</v>
      </c>
      <c r="M689" s="27" t="n">
        <v>17</v>
      </c>
      <c r="N689" s="27" t="inlineStr">
        <is>
          <t>Affiliate</t>
        </is>
      </c>
      <c r="O689" s="27" t="inlineStr">
        <is>
          <t>https://quinnthackery.com/resources</t>
        </is>
      </c>
      <c r="P689" s="27" t="inlineStr">
        <is>
          <t>Editing Backlog &amp; Team Workflow Overhead</t>
        </is>
      </c>
      <c r="Q689" s="27" t="inlineStr">
        <is>
          <t>https://quinnthackery.com/highlights</t>
        </is>
      </c>
      <c r="R689" s="27" t="inlineStr">
        <is>
          <t>LinkedIn</t>
        </is>
      </c>
      <c r="S689" s="27" t="inlineStr">
        <is>
          <t>https://linkedin.com/in/quinnthackery</t>
        </is>
      </c>
      <c r="T689" s="27" t="inlineStr">
        <is>
          <t>https://quinnthackery.com/about</t>
        </is>
      </c>
      <c r="U689" s="27" t="inlineStr">
        <is>
          <t>Email</t>
        </is>
      </c>
      <c r="V689" s="27" t="inlineStr">
        <is>
          <t>b2b marketing &amp; sales frameworks, specifically regarding episode 36 on B2B Marketing &amp; Sales workflow optimization</t>
        </is>
      </c>
      <c r="W689" s="27" t="inlineStr">
        <is>
          <t>Hi Quinn,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89" s="27" t="inlineStr">
        <is>
          <t>2026-10-18</t>
        </is>
      </c>
      <c r="Y689" s="27" t="inlineStr">
        <is>
          <t>C</t>
        </is>
      </c>
      <c r="Z689" s="27" t="n">
        <v>78.90000000000001</v>
      </c>
      <c r="AA689" s="27" t="inlineStr">
        <is>
          <t>Qualified</t>
        </is>
      </c>
      <c r="AB689" s="27" t="inlineStr"/>
      <c r="AC689" s="28">
        <f>IF(A689="","",IF(COUNTIF($H$5:$H$1004,H689)&gt;1,"DUPLICATE","UNIQUE"))</f>
        <v/>
      </c>
      <c r="AD689" s="28">
        <f>IF(A689="","",IF(AA689="Rejected",IF(AB689&lt;&gt;"","REJECTED","ADD REASON"),IF(AND(B689&lt;&gt;"",C689&lt;&gt;"",D689&lt;&gt;"",E689&lt;&gt;"",F689&lt;&gt;"",G689&lt;&gt;"",H689&lt;&gt;"",J689&lt;&gt;"",K689&lt;&gt;"",N689&lt;&gt;"",O689&lt;&gt;"",P689&lt;&gt;"",Q689&lt;&gt;"",R689&lt;&gt;"",S689&lt;&gt;"",T689&lt;&gt;"",V689&lt;&gt;"",W689&lt;&gt;"",X689&lt;&gt;"",Y689&lt;&gt;""),"COMPLETE","MISSING FIELDS")))</f>
        <v/>
      </c>
    </row>
    <row r="690" ht="15" customHeight="1" s="15">
      <c r="A690" s="27" t="inlineStr">
        <is>
          <t>LEAD-0686</t>
        </is>
      </c>
      <c r="B690" s="27" t="inlineStr">
        <is>
          <t>Quinn Underwood</t>
        </is>
      </c>
      <c r="C690" s="27" t="inlineStr">
        <is>
          <t>YouTuber</t>
        </is>
      </c>
      <c r="D690" s="27" t="inlineStr">
        <is>
          <t>GB</t>
        </is>
      </c>
      <c r="E690" s="27" t="inlineStr">
        <is>
          <t>English</t>
        </is>
      </c>
      <c r="F690" s="27" t="inlineStr">
        <is>
          <t>YouTube</t>
        </is>
      </c>
      <c r="G690" s="27" t="inlineStr">
        <is>
          <t>https://www.youtube.com/@quinnunderwood</t>
        </is>
      </c>
      <c r="H690" s="27" t="inlineStr">
        <is>
          <t>UCGB00686796031</t>
        </is>
      </c>
      <c r="I690" s="27" t="inlineStr">
        <is>
          <t>440,000</t>
        </is>
      </c>
      <c r="J690" s="27" t="inlineStr">
        <is>
          <t>2026-10-16</t>
        </is>
      </c>
      <c r="K690" s="27" t="inlineStr">
        <is>
          <t>https://www.youtube.com/watch?v=gb00686</t>
        </is>
      </c>
      <c r="L690" s="27" t="n">
        <v>14</v>
      </c>
      <c r="M690" s="27" t="n">
        <v>18</v>
      </c>
      <c r="N690" s="27" t="inlineStr">
        <is>
          <t>Course</t>
        </is>
      </c>
      <c r="O690" s="27" t="inlineStr">
        <is>
          <t>https://quinnunderwood.com/academy</t>
        </is>
      </c>
      <c r="P690" s="27" t="inlineStr">
        <is>
          <t>Multilingual Audio Dubbing</t>
        </is>
      </c>
      <c r="Q690" s="27" t="inlineStr">
        <is>
          <t>https://quinnunderwood.com/highlights</t>
        </is>
      </c>
      <c r="R690" s="27" t="inlineStr">
        <is>
          <t>X (Twitter)</t>
        </is>
      </c>
      <c r="S690" s="27" t="inlineStr">
        <is>
          <t>https://x.com/quinnunderwood</t>
        </is>
      </c>
      <c r="T690" s="27" t="inlineStr">
        <is>
          <t>https://quinnunderwood.com/links</t>
        </is>
      </c>
      <c r="U690" s="27" t="inlineStr">
        <is>
          <t>LinkedIn</t>
        </is>
      </c>
      <c r="V690" s="27" t="inlineStr">
        <is>
          <t>finance &amp; wealth engineering frameworks, specifically regarding episode 37 on Finance &amp; Wealth Engineering workflow optimization</t>
        </is>
      </c>
      <c r="W690" s="27" t="inlineStr">
        <is>
          <t>Hi Quinn,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90" s="27" t="inlineStr">
        <is>
          <t>2026-10-18</t>
        </is>
      </c>
      <c r="Y690" s="27" t="inlineStr">
        <is>
          <t>C</t>
        </is>
      </c>
      <c r="Z690" s="27" t="n">
        <v>78.8</v>
      </c>
      <c r="AA690" s="27" t="inlineStr">
        <is>
          <t>Qualified</t>
        </is>
      </c>
      <c r="AB690" s="27" t="inlineStr"/>
      <c r="AC690" s="28">
        <f>IF(A690="","",IF(COUNTIF($H$5:$H$1004,H690)&gt;1,"DUPLICATE","UNIQUE"))</f>
        <v/>
      </c>
      <c r="AD690" s="28">
        <f>IF(A690="","",IF(AA690="Rejected",IF(AB690&lt;&gt;"","REJECTED","ADD REASON"),IF(AND(B690&lt;&gt;"",C690&lt;&gt;"",D690&lt;&gt;"",E690&lt;&gt;"",F690&lt;&gt;"",G690&lt;&gt;"",H690&lt;&gt;"",J690&lt;&gt;"",K690&lt;&gt;"",N690&lt;&gt;"",O690&lt;&gt;"",P690&lt;&gt;"",Q690&lt;&gt;"",R690&lt;&gt;"",S690&lt;&gt;"",T690&lt;&gt;"",V690&lt;&gt;"",W690&lt;&gt;"",X690&lt;&gt;"",Y690&lt;&gt;""),"COMPLETE","MISSING FIELDS")))</f>
        <v/>
      </c>
    </row>
    <row r="691" ht="15" customHeight="1" s="15">
      <c r="A691" s="27" t="inlineStr">
        <is>
          <t>LEAD-0687</t>
        </is>
      </c>
      <c r="B691" s="27" t="inlineStr">
        <is>
          <t>Quinn Vanguard</t>
        </is>
      </c>
      <c r="C691" s="27" t="inlineStr">
        <is>
          <t>Podcaster</t>
        </is>
      </c>
      <c r="D691" s="27" t="inlineStr">
        <is>
          <t>GB</t>
        </is>
      </c>
      <c r="E691" s="27" t="inlineStr">
        <is>
          <t>English</t>
        </is>
      </c>
      <c r="F691" s="27" t="inlineStr">
        <is>
          <t>Apple Podcasts</t>
        </is>
      </c>
      <c r="G691" s="27" t="inlineStr">
        <is>
          <t>https://podcasts.apple.com/gb/podcast/quinnvanguard/id1000687</t>
        </is>
      </c>
      <c r="H691" s="27" t="inlineStr">
        <is>
          <t>AP-GB-1000687</t>
        </is>
      </c>
      <c r="I691" s="27" t="inlineStr">
        <is>
          <t>156,000</t>
        </is>
      </c>
      <c r="J691" s="27" t="inlineStr">
        <is>
          <t>2026-10-17</t>
        </is>
      </c>
      <c r="K691" s="27" t="inlineStr">
        <is>
          <t>https://quinnvanguard.com/episodes/88</t>
        </is>
      </c>
      <c r="L691" s="27" t="n">
        <v>15</v>
      </c>
      <c r="M691" s="27" t="n">
        <v>19</v>
      </c>
      <c r="N691" s="27" t="inlineStr">
        <is>
          <t>Sponsor</t>
        </is>
      </c>
      <c r="O691" s="27" t="inlineStr">
        <is>
          <t>https://quinnvanguard.com/partners</t>
        </is>
      </c>
      <c r="P691" s="27" t="inlineStr">
        <is>
          <t>Multilingual Audio Dubbing</t>
        </is>
      </c>
      <c r="Q691" s="27" t="inlineStr">
        <is>
          <t>https://quinnvanguard.com/highlights</t>
        </is>
      </c>
      <c r="R691" s="27" t="inlineStr">
        <is>
          <t>Email</t>
        </is>
      </c>
      <c r="S691" s="27" t="inlineStr">
        <is>
          <t>hello@quinnvanguard.com</t>
        </is>
      </c>
      <c r="T691" s="27" t="inlineStr">
        <is>
          <t>https://quinnvanguard.com/work-with-me</t>
        </is>
      </c>
      <c r="U691" s="27" t="inlineStr">
        <is>
          <t>LinkedIn</t>
        </is>
      </c>
      <c r="V691" s="27" t="inlineStr">
        <is>
          <t>health &amp; longevity science frameworks, specifically regarding episode 38 on Health &amp; Longevity Science workflow optimization</t>
        </is>
      </c>
      <c r="W691" s="27" t="inlineStr">
        <is>
          <t>Hi Quinn,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91" s="27" t="inlineStr">
        <is>
          <t>2026-10-18</t>
        </is>
      </c>
      <c r="Y691" s="27" t="inlineStr">
        <is>
          <t>C</t>
        </is>
      </c>
      <c r="Z691" s="27" t="n">
        <v>78.8</v>
      </c>
      <c r="AA691" s="27" t="inlineStr">
        <is>
          <t>Qualified</t>
        </is>
      </c>
      <c r="AB691" s="27" t="inlineStr"/>
      <c r="AC691" s="28">
        <f>IF(A691="","",IF(COUNTIF($H$5:$H$1004,H691)&gt;1,"DUPLICATE","UNIQUE"))</f>
        <v/>
      </c>
      <c r="AD691" s="28">
        <f>IF(A691="","",IF(AA691="Rejected",IF(AB691&lt;&gt;"","REJECTED","ADD REASON"),IF(AND(B691&lt;&gt;"",C691&lt;&gt;"",D691&lt;&gt;"",E691&lt;&gt;"",F691&lt;&gt;"",G691&lt;&gt;"",H691&lt;&gt;"",J691&lt;&gt;"",K691&lt;&gt;"",N691&lt;&gt;"",O691&lt;&gt;"",P691&lt;&gt;"",Q691&lt;&gt;"",R691&lt;&gt;"",S691&lt;&gt;"",T691&lt;&gt;"",V691&lt;&gt;"",W691&lt;&gt;"",X691&lt;&gt;"",Y691&lt;&gt;""),"COMPLETE","MISSING FIELDS")))</f>
        <v/>
      </c>
    </row>
    <row r="692" ht="15" customHeight="1" s="15">
      <c r="A692" s="27" t="inlineStr">
        <is>
          <t>LEAD-0688</t>
        </is>
      </c>
      <c r="B692" s="27" t="inlineStr">
        <is>
          <t>Quinn Waverly</t>
        </is>
      </c>
      <c r="C692" s="27" t="inlineStr">
        <is>
          <t>YouTuber</t>
        </is>
      </c>
      <c r="D692" s="27" t="inlineStr">
        <is>
          <t>GB</t>
        </is>
      </c>
      <c r="E692" s="27" t="inlineStr">
        <is>
          <t>English</t>
        </is>
      </c>
      <c r="F692" s="27" t="inlineStr">
        <is>
          <t>YouTube</t>
        </is>
      </c>
      <c r="G692" s="27" t="inlineStr">
        <is>
          <t>https://www.youtube.com/@quinnwaverly</t>
        </is>
      </c>
      <c r="H692" s="27" t="inlineStr">
        <is>
          <t>UCGB00688709185</t>
        </is>
      </c>
      <c r="I692" s="27" t="inlineStr">
        <is>
          <t>480,000</t>
        </is>
      </c>
      <c r="J692" s="27" t="inlineStr">
        <is>
          <t>2026-10-10</t>
        </is>
      </c>
      <c r="K692" s="27" t="inlineStr">
        <is>
          <t>https://www.youtube.com/watch?v=gb00688</t>
        </is>
      </c>
      <c r="L692" s="27" t="n">
        <v>16</v>
      </c>
      <c r="M692" s="27" t="n">
        <v>20</v>
      </c>
      <c r="N692" s="27" t="inlineStr">
        <is>
          <t>Membership</t>
        </is>
      </c>
      <c r="O692" s="27" t="inlineStr">
        <is>
          <t>https://quinnwaverly.com/community</t>
        </is>
      </c>
      <c r="P692" s="27" t="inlineStr">
        <is>
          <t>Missing Video Captions &amp; Retention Clips</t>
        </is>
      </c>
      <c r="Q692" s="27" t="inlineStr">
        <is>
          <t>https://quinnwaverly.com/highlights</t>
        </is>
      </c>
      <c r="R692" s="27" t="inlineStr">
        <is>
          <t>Email</t>
        </is>
      </c>
      <c r="S692" s="27" t="inlineStr">
        <is>
          <t>contact@quinnwaverly.com</t>
        </is>
      </c>
      <c r="T692" s="27" t="inlineStr">
        <is>
          <t>https://quinnwaverly.com/contact</t>
        </is>
      </c>
      <c r="U692" s="27" t="inlineStr">
        <is>
          <t>LinkedIn</t>
        </is>
      </c>
      <c r="V692" s="27" t="inlineStr">
        <is>
          <t>education &amp; applied coding frameworks, specifically regarding episode 39 on Education &amp; Applied Coding workflow optimization</t>
        </is>
      </c>
      <c r="W692" s="27" t="inlineStr">
        <is>
          <t>Hi Quinn,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92" s="27" t="inlineStr">
        <is>
          <t>2026-10-18</t>
        </is>
      </c>
      <c r="Y692" s="27" t="inlineStr">
        <is>
          <t>C</t>
        </is>
      </c>
      <c r="Z692" s="27" t="n">
        <v>78.7</v>
      </c>
      <c r="AA692" s="27" t="inlineStr">
        <is>
          <t>Qualified</t>
        </is>
      </c>
      <c r="AB692" s="27" t="inlineStr"/>
      <c r="AC692" s="28">
        <f>IF(A692="","",IF(COUNTIF($H$5:$H$1004,H692)&gt;1,"DUPLICATE","UNIQUE"))</f>
        <v/>
      </c>
      <c r="AD692" s="28">
        <f>IF(A692="","",IF(AA692="Rejected",IF(AB692&lt;&gt;"","REJECTED","ADD REASON"),IF(AND(B692&lt;&gt;"",C692&lt;&gt;"",D692&lt;&gt;"",E692&lt;&gt;"",F692&lt;&gt;"",G692&lt;&gt;"",H692&lt;&gt;"",J692&lt;&gt;"",K692&lt;&gt;"",N692&lt;&gt;"",O692&lt;&gt;"",P692&lt;&gt;"",Q692&lt;&gt;"",R692&lt;&gt;"",S692&lt;&gt;"",T692&lt;&gt;"",V692&lt;&gt;"",W692&lt;&gt;"",X692&lt;&gt;"",Y692&lt;&gt;""),"COMPLETE","MISSING FIELDS")))</f>
        <v/>
      </c>
    </row>
    <row r="693" ht="15" customHeight="1" s="15">
      <c r="A693" s="27" t="inlineStr">
        <is>
          <t>LEAD-0689</t>
        </is>
      </c>
      <c r="B693" s="27" t="inlineStr">
        <is>
          <t>Quinn Yardley</t>
        </is>
      </c>
      <c r="C693" s="27" t="inlineStr">
        <is>
          <t>Podcaster</t>
        </is>
      </c>
      <c r="D693" s="27" t="inlineStr">
        <is>
          <t>GB</t>
        </is>
      </c>
      <c r="E693" s="27" t="inlineStr">
        <is>
          <t>English</t>
        </is>
      </c>
      <c r="F693" s="27" t="inlineStr">
        <is>
          <t>Apple Podcasts</t>
        </is>
      </c>
      <c r="G693" s="27" t="inlineStr">
        <is>
          <t>https://podcasts.apple.com/gb/podcast/quinnyardley/id1000689</t>
        </is>
      </c>
      <c r="H693" s="27" t="inlineStr">
        <is>
          <t>AP-GB-1000689</t>
        </is>
      </c>
      <c r="I693" s="27" t="inlineStr">
        <is>
          <t>180,000</t>
        </is>
      </c>
      <c r="J693" s="27" t="inlineStr">
        <is>
          <t>2026-10-11</t>
        </is>
      </c>
      <c r="K693" s="27" t="inlineStr">
        <is>
          <t>https://quinnyardley.com/episodes/90</t>
        </is>
      </c>
      <c r="L693" s="27" t="n">
        <v>17</v>
      </c>
      <c r="M693" s="27" t="n">
        <v>21</v>
      </c>
      <c r="N693" s="27" t="inlineStr">
        <is>
          <t>Product</t>
        </is>
      </c>
      <c r="O693" s="27" t="inlineStr">
        <is>
          <t>https://quinnyardley.com/shop</t>
        </is>
      </c>
      <c r="P693" s="27" t="inlineStr">
        <is>
          <t>Shorts Repurposing Bottleneck</t>
        </is>
      </c>
      <c r="Q693" s="27" t="inlineStr">
        <is>
          <t>https://quinnyardley.com/highlights</t>
        </is>
      </c>
      <c r="R693" s="27" t="inlineStr">
        <is>
          <t>LinkedIn</t>
        </is>
      </c>
      <c r="S693" s="27" t="inlineStr">
        <is>
          <t>https://linkedin.com/in/quinnyardley</t>
        </is>
      </c>
      <c r="T693" s="27" t="inlineStr">
        <is>
          <t>https://quinnyardley.com/about</t>
        </is>
      </c>
      <c r="U693" s="27" t="inlineStr">
        <is>
          <t>Email</t>
        </is>
      </c>
      <c r="V693" s="27" t="inlineStr">
        <is>
          <t>e-commerce &amp; digital brands frameworks, specifically regarding episode 40 on E-Commerce &amp; Digital Brands workflow optimization</t>
        </is>
      </c>
      <c r="W693" s="27" t="inlineStr">
        <is>
          <t>Hi Quinn,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93" s="27" t="inlineStr">
        <is>
          <t>2026-10-18</t>
        </is>
      </c>
      <c r="Y693" s="27" t="inlineStr">
        <is>
          <t>C</t>
        </is>
      </c>
      <c r="Z693" s="27" t="n">
        <v>78.7</v>
      </c>
      <c r="AA693" s="27" t="inlineStr">
        <is>
          <t>Qualified</t>
        </is>
      </c>
      <c r="AB693" s="27" t="inlineStr"/>
      <c r="AC693" s="28">
        <f>IF(A693="","",IF(COUNTIF($H$5:$H$1004,H693)&gt;1,"DUPLICATE","UNIQUE"))</f>
        <v/>
      </c>
      <c r="AD693" s="28">
        <f>IF(A693="","",IF(AA693="Rejected",IF(AB693&lt;&gt;"","REJECTED","ADD REASON"),IF(AND(B693&lt;&gt;"",C693&lt;&gt;"",D693&lt;&gt;"",E693&lt;&gt;"",F693&lt;&gt;"",G693&lt;&gt;"",H693&lt;&gt;"",J693&lt;&gt;"",K693&lt;&gt;"",N693&lt;&gt;"",O693&lt;&gt;"",P693&lt;&gt;"",Q693&lt;&gt;"",R693&lt;&gt;"",S693&lt;&gt;"",T693&lt;&gt;"",V693&lt;&gt;"",W693&lt;&gt;"",X693&lt;&gt;"",Y693&lt;&gt;""),"COMPLETE","MISSING FIELDS")))</f>
        <v/>
      </c>
    </row>
    <row r="694" ht="15" customHeight="1" s="15">
      <c r="A694" s="27" t="inlineStr">
        <is>
          <t>LEAD-0690</t>
        </is>
      </c>
      <c r="B694" s="27" t="inlineStr">
        <is>
          <t>Quinn Zimmerman</t>
        </is>
      </c>
      <c r="C694" s="27" t="inlineStr">
        <is>
          <t>YouTuber</t>
        </is>
      </c>
      <c r="D694" s="27" t="inlineStr">
        <is>
          <t>GB</t>
        </is>
      </c>
      <c r="E694" s="27" t="inlineStr">
        <is>
          <t>English</t>
        </is>
      </c>
      <c r="F694" s="27" t="inlineStr">
        <is>
          <t>YouTube</t>
        </is>
      </c>
      <c r="G694" s="27" t="inlineStr">
        <is>
          <t>https://www.youtube.com/@quinnzimmerman</t>
        </is>
      </c>
      <c r="H694" s="27" t="inlineStr">
        <is>
          <t>UCGB00690455263</t>
        </is>
      </c>
      <c r="I694" s="27" t="inlineStr">
        <is>
          <t>520,000</t>
        </is>
      </c>
      <c r="J694" s="27" t="inlineStr">
        <is>
          <t>2026-10-12</t>
        </is>
      </c>
      <c r="K694" s="27" t="inlineStr">
        <is>
          <t>https://www.youtube.com/watch?v=gb00690</t>
        </is>
      </c>
      <c r="L694" s="27" t="n">
        <v>8</v>
      </c>
      <c r="M694" s="27" t="n">
        <v>22</v>
      </c>
      <c r="N694" s="27" t="inlineStr">
        <is>
          <t>Consulting</t>
        </is>
      </c>
      <c r="O694" s="27" t="inlineStr">
        <is>
          <t>https://quinnzimmerman.com/advisory</t>
        </is>
      </c>
      <c r="P694" s="27" t="inlineStr">
        <is>
          <t>Shorts Repurposing Bottleneck</t>
        </is>
      </c>
      <c r="Q694" s="27" t="inlineStr">
        <is>
          <t>https://quinnzimmerman.com/highlights</t>
        </is>
      </c>
      <c r="R694" s="27" t="inlineStr">
        <is>
          <t>X (Twitter)</t>
        </is>
      </c>
      <c r="S694" s="27" t="inlineStr">
        <is>
          <t>https://x.com/quinnzimmerman</t>
        </is>
      </c>
      <c r="T694" s="27" t="inlineStr">
        <is>
          <t>https://quinnzimmerman.com/links</t>
        </is>
      </c>
      <c r="U694" s="27" t="inlineStr">
        <is>
          <t>LinkedIn</t>
        </is>
      </c>
      <c r="V694" s="27" t="inlineStr">
        <is>
          <t>tech &amp; ai frameworks, specifically regarding episode 41 on Tech &amp; AI workflow optimization</t>
        </is>
      </c>
      <c r="W694" s="27" t="inlineStr">
        <is>
          <t>Hi Quinn,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94" s="27" t="inlineStr">
        <is>
          <t>2026-10-18</t>
        </is>
      </c>
      <c r="Y694" s="27" t="inlineStr">
        <is>
          <t>C</t>
        </is>
      </c>
      <c r="Z694" s="27" t="n">
        <v>78.59999999999999</v>
      </c>
      <c r="AA694" s="27" t="inlineStr">
        <is>
          <t>Qualified</t>
        </is>
      </c>
      <c r="AB694" s="27" t="inlineStr"/>
      <c r="AC694" s="28">
        <f>IF(A694="","",IF(COUNTIF($H$5:$H$1004,H694)&gt;1,"DUPLICATE","UNIQUE"))</f>
        <v/>
      </c>
      <c r="AD694" s="28">
        <f>IF(A694="","",IF(AA694="Rejected",IF(AB694&lt;&gt;"","REJECTED","ADD REASON"),IF(AND(B694&lt;&gt;"",C694&lt;&gt;"",D694&lt;&gt;"",E694&lt;&gt;"",F694&lt;&gt;"",G694&lt;&gt;"",H694&lt;&gt;"",J694&lt;&gt;"",K694&lt;&gt;"",N694&lt;&gt;"",O694&lt;&gt;"",P694&lt;&gt;"",Q694&lt;&gt;"",R694&lt;&gt;"",S694&lt;&gt;"",T694&lt;&gt;"",V694&lt;&gt;"",W694&lt;&gt;"",X694&lt;&gt;"",Y694&lt;&gt;""),"COMPLETE","MISSING FIELDS")))</f>
        <v/>
      </c>
    </row>
    <row r="695" ht="15" customHeight="1" s="15">
      <c r="A695" s="27" t="inlineStr">
        <is>
          <t>LEAD-0691</t>
        </is>
      </c>
      <c r="B695" s="27" t="inlineStr">
        <is>
          <t>Quinn Sterling</t>
        </is>
      </c>
      <c r="C695" s="27" t="inlineStr">
        <is>
          <t>Podcaster</t>
        </is>
      </c>
      <c r="D695" s="27" t="inlineStr">
        <is>
          <t>GB</t>
        </is>
      </c>
      <c r="E695" s="27" t="inlineStr">
        <is>
          <t>English</t>
        </is>
      </c>
      <c r="F695" s="27" t="inlineStr">
        <is>
          <t>Apple Podcasts</t>
        </is>
      </c>
      <c r="G695" s="27" t="inlineStr">
        <is>
          <t>https://podcasts.apple.com/gb/podcast/quinnsterling/id1000691</t>
        </is>
      </c>
      <c r="H695" s="27" t="inlineStr">
        <is>
          <t>AP-GB-1000691</t>
        </is>
      </c>
      <c r="I695" s="27" t="inlineStr">
        <is>
          <t>204,000</t>
        </is>
      </c>
      <c r="J695" s="27" t="inlineStr">
        <is>
          <t>2026-10-13</t>
        </is>
      </c>
      <c r="K695" s="27" t="inlineStr">
        <is>
          <t>https://quinnsterling.com/episodes/92</t>
        </is>
      </c>
      <c r="L695" s="27" t="n">
        <v>9</v>
      </c>
      <c r="M695" s="27" t="n">
        <v>23</v>
      </c>
      <c r="N695" s="27" t="inlineStr">
        <is>
          <t>Newsletter Subscription</t>
        </is>
      </c>
      <c r="O695" s="27" t="inlineStr">
        <is>
          <t>https://quinnsterling.com/subscribe</t>
        </is>
      </c>
      <c r="P695" s="27" t="inlineStr">
        <is>
          <t>Missing Video Captions &amp; Retention Clips</t>
        </is>
      </c>
      <c r="Q695" s="27" t="inlineStr">
        <is>
          <t>https://quinnsterling.com/highlights</t>
        </is>
      </c>
      <c r="R695" s="27" t="inlineStr">
        <is>
          <t>Email</t>
        </is>
      </c>
      <c r="S695" s="27" t="inlineStr">
        <is>
          <t>hello@quinnsterling.com</t>
        </is>
      </c>
      <c r="T695" s="27" t="inlineStr">
        <is>
          <t>https://quinnsterling.com/work-with-me</t>
        </is>
      </c>
      <c r="U695" s="27" t="inlineStr">
        <is>
          <t>LinkedIn</t>
        </is>
      </c>
      <c r="V695" s="27" t="inlineStr">
        <is>
          <t>saas &amp; product growth frameworks, specifically regarding episode 42 on SaaS &amp; Product Growth workflow optimization</t>
        </is>
      </c>
      <c r="W695" s="27" t="inlineStr">
        <is>
          <t>Hi Quinn,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95" s="27" t="inlineStr">
        <is>
          <t>2026-10-18</t>
        </is>
      </c>
      <c r="Y695" s="27" t="inlineStr">
        <is>
          <t>C</t>
        </is>
      </c>
      <c r="Z695" s="27" t="n">
        <v>78.5</v>
      </c>
      <c r="AA695" s="27" t="inlineStr">
        <is>
          <t>Qualified</t>
        </is>
      </c>
      <c r="AB695" s="27" t="inlineStr"/>
      <c r="AC695" s="28">
        <f>IF(A695="","",IF(COUNTIF($H$5:$H$1004,H695)&gt;1,"DUPLICATE","UNIQUE"))</f>
        <v/>
      </c>
      <c r="AD695" s="28">
        <f>IF(A695="","",IF(AA695="Rejected",IF(AB695&lt;&gt;"","REJECTED","ADD REASON"),IF(AND(B695&lt;&gt;"",C695&lt;&gt;"",D695&lt;&gt;"",E695&lt;&gt;"",F695&lt;&gt;"",G695&lt;&gt;"",H695&lt;&gt;"",J695&lt;&gt;"",K695&lt;&gt;"",N695&lt;&gt;"",O695&lt;&gt;"",P695&lt;&gt;"",Q695&lt;&gt;"",R695&lt;&gt;"",S695&lt;&gt;"",T695&lt;&gt;"",V695&lt;&gt;"",W695&lt;&gt;"",X695&lt;&gt;"",Y695&lt;&gt;""),"COMPLETE","MISSING FIELDS")))</f>
        <v/>
      </c>
    </row>
    <row r="696" ht="15" customHeight="1" s="15">
      <c r="A696" s="27" t="inlineStr">
        <is>
          <t>LEAD-0692</t>
        </is>
      </c>
      <c r="B696" s="27" t="inlineStr">
        <is>
          <t>Quinn Cross</t>
        </is>
      </c>
      <c r="C696" s="27" t="inlineStr">
        <is>
          <t>Expert-Led Creator</t>
        </is>
      </c>
      <c r="D696" s="27" t="inlineStr">
        <is>
          <t>GB</t>
        </is>
      </c>
      <c r="E696" s="27" t="inlineStr">
        <is>
          <t>English</t>
        </is>
      </c>
      <c r="F696" s="27" t="inlineStr">
        <is>
          <t>YouTube</t>
        </is>
      </c>
      <c r="G696" s="27" t="inlineStr">
        <is>
          <t>https://www.youtube.com/@quinncross</t>
        </is>
      </c>
      <c r="H696" s="27" t="inlineStr">
        <is>
          <t>UCGB00692346074</t>
        </is>
      </c>
      <c r="I696" s="27" t="inlineStr">
        <is>
          <t>560,000</t>
        </is>
      </c>
      <c r="J696" s="27" t="inlineStr">
        <is>
          <t>2026-10-14</t>
        </is>
      </c>
      <c r="K696" s="27" t="inlineStr">
        <is>
          <t>https://www.youtube.com/watch?v=gb00692</t>
        </is>
      </c>
      <c r="L696" s="27" t="n">
        <v>10</v>
      </c>
      <c r="M696" s="27" t="n">
        <v>24</v>
      </c>
      <c r="N696" s="27" t="inlineStr">
        <is>
          <t>Affiliate</t>
        </is>
      </c>
      <c r="O696" s="27" t="inlineStr">
        <is>
          <t>https://quinncross.com/resources</t>
        </is>
      </c>
      <c r="P696" s="27" t="inlineStr">
        <is>
          <t>Editing Backlog &amp; Team Workflow Overhead</t>
        </is>
      </c>
      <c r="Q696" s="27" t="inlineStr">
        <is>
          <t>https://quinncross.com/highlights</t>
        </is>
      </c>
      <c r="R696" s="27" t="inlineStr">
        <is>
          <t>Email</t>
        </is>
      </c>
      <c r="S696" s="27" t="inlineStr">
        <is>
          <t>contact@quinncross.com</t>
        </is>
      </c>
      <c r="T696" s="27" t="inlineStr">
        <is>
          <t>https://quinncross.com/contact</t>
        </is>
      </c>
      <c r="U696" s="27" t="inlineStr">
        <is>
          <t>LinkedIn</t>
        </is>
      </c>
      <c r="V696" s="27" t="inlineStr">
        <is>
          <t>creator business &amp; monetization frameworks, specifically regarding episode 43 on Creator Business &amp; Monetization workflow optimization</t>
        </is>
      </c>
      <c r="W696" s="27" t="inlineStr">
        <is>
          <t>Hi Quinn,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96" s="27" t="inlineStr">
        <is>
          <t>2026-10-18</t>
        </is>
      </c>
      <c r="Y696" s="27" t="inlineStr">
        <is>
          <t>C</t>
        </is>
      </c>
      <c r="Z696" s="27" t="n">
        <v>78.5</v>
      </c>
      <c r="AA696" s="27" t="inlineStr">
        <is>
          <t>Qualified</t>
        </is>
      </c>
      <c r="AB696" s="27" t="inlineStr"/>
      <c r="AC696" s="28">
        <f>IF(A696="","",IF(COUNTIF($H$5:$H$1004,H696)&gt;1,"DUPLICATE","UNIQUE"))</f>
        <v/>
      </c>
      <c r="AD696" s="28">
        <f>IF(A696="","",IF(AA696="Rejected",IF(AB696&lt;&gt;"","REJECTED","ADD REASON"),IF(AND(B696&lt;&gt;"",C696&lt;&gt;"",D696&lt;&gt;"",E696&lt;&gt;"",F696&lt;&gt;"",G696&lt;&gt;"",H696&lt;&gt;"",J696&lt;&gt;"",K696&lt;&gt;"",N696&lt;&gt;"",O696&lt;&gt;"",P696&lt;&gt;"",Q696&lt;&gt;"",R696&lt;&gt;"",S696&lt;&gt;"",T696&lt;&gt;"",V696&lt;&gt;"",W696&lt;&gt;"",X696&lt;&gt;"",Y696&lt;&gt;""),"COMPLETE","MISSING FIELDS")))</f>
        <v/>
      </c>
    </row>
    <row r="697" ht="15" customHeight="1" s="15">
      <c r="A697" s="27" t="inlineStr">
        <is>
          <t>LEAD-0693</t>
        </is>
      </c>
      <c r="B697" s="27" t="inlineStr">
        <is>
          <t>Quinn Vance</t>
        </is>
      </c>
      <c r="C697" s="27" t="inlineStr">
        <is>
          <t>YouTuber</t>
        </is>
      </c>
      <c r="D697" s="27" t="inlineStr">
        <is>
          <t>GB</t>
        </is>
      </c>
      <c r="E697" s="27" t="inlineStr">
        <is>
          <t>English</t>
        </is>
      </c>
      <c r="F697" s="27" t="inlineStr">
        <is>
          <t>YouTube</t>
        </is>
      </c>
      <c r="G697" s="27" t="inlineStr">
        <is>
          <t>https://www.youtube.com/@quinnvance</t>
        </is>
      </c>
      <c r="H697" s="27" t="inlineStr">
        <is>
          <t>UCGB00693333901</t>
        </is>
      </c>
      <c r="I697" s="27" t="inlineStr">
        <is>
          <t>580,000</t>
        </is>
      </c>
      <c r="J697" s="27" t="inlineStr">
        <is>
          <t>2026-10-15</t>
        </is>
      </c>
      <c r="K697" s="27" t="inlineStr">
        <is>
          <t>https://www.youtube.com/watch?v=gb00693</t>
        </is>
      </c>
      <c r="L697" s="27" t="n">
        <v>11</v>
      </c>
      <c r="M697" s="27" t="n">
        <v>25</v>
      </c>
      <c r="N697" s="27" t="inlineStr">
        <is>
          <t>Course</t>
        </is>
      </c>
      <c r="O697" s="27" t="inlineStr">
        <is>
          <t>https://quinnvance.com/academy</t>
        </is>
      </c>
      <c r="P697" s="27" t="inlineStr">
        <is>
          <t>Shorts Repurposing Bottleneck</t>
        </is>
      </c>
      <c r="Q697" s="27" t="inlineStr">
        <is>
          <t>https://quinnvance.com/highlights</t>
        </is>
      </c>
      <c r="R697" s="27" t="inlineStr">
        <is>
          <t>LinkedIn</t>
        </is>
      </c>
      <c r="S697" s="27" t="inlineStr">
        <is>
          <t>https://linkedin.com/in/quinnvance</t>
        </is>
      </c>
      <c r="T697" s="27" t="inlineStr">
        <is>
          <t>https://quinnvance.com/about</t>
        </is>
      </c>
      <c r="U697" s="27" t="inlineStr">
        <is>
          <t>Email</t>
        </is>
      </c>
      <c r="V697" s="27" t="inlineStr">
        <is>
          <t>productivity &amp; personal systems frameworks, specifically regarding episode 44 on Productivity &amp; Personal Systems workflow optimization</t>
        </is>
      </c>
      <c r="W697" s="27" t="inlineStr">
        <is>
          <t>Hi Quinn,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97" s="27" t="inlineStr">
        <is>
          <t>2026-10-18</t>
        </is>
      </c>
      <c r="Y697" s="27" t="inlineStr">
        <is>
          <t>C</t>
        </is>
      </c>
      <c r="Z697" s="27" t="n">
        <v>78.40000000000001</v>
      </c>
      <c r="AA697" s="27" t="inlineStr">
        <is>
          <t>Qualified</t>
        </is>
      </c>
      <c r="AB697" s="27" t="inlineStr"/>
      <c r="AC697" s="28">
        <f>IF(A697="","",IF(COUNTIF($H$5:$H$1004,H697)&gt;1,"DUPLICATE","UNIQUE"))</f>
        <v/>
      </c>
      <c r="AD697" s="28">
        <f>IF(A697="","",IF(AA697="Rejected",IF(AB697&lt;&gt;"","REJECTED","ADD REASON"),IF(AND(B697&lt;&gt;"",C697&lt;&gt;"",D697&lt;&gt;"",E697&lt;&gt;"",F697&lt;&gt;"",G697&lt;&gt;"",H697&lt;&gt;"",J697&lt;&gt;"",K697&lt;&gt;"",N697&lt;&gt;"",O697&lt;&gt;"",P697&lt;&gt;"",Q697&lt;&gt;"",R697&lt;&gt;"",S697&lt;&gt;"",T697&lt;&gt;"",V697&lt;&gt;"",W697&lt;&gt;"",X697&lt;&gt;"",Y697&lt;&gt;""),"COMPLETE","MISSING FIELDS")))</f>
        <v/>
      </c>
    </row>
    <row r="698" ht="15" customHeight="1" s="15">
      <c r="A698" s="27" t="inlineStr">
        <is>
          <t>LEAD-0694</t>
        </is>
      </c>
      <c r="B698" s="27" t="inlineStr">
        <is>
          <t>Quinn Mercer</t>
        </is>
      </c>
      <c r="C698" s="27" t="inlineStr">
        <is>
          <t>Podcaster</t>
        </is>
      </c>
      <c r="D698" s="27" t="inlineStr">
        <is>
          <t>GB</t>
        </is>
      </c>
      <c r="E698" s="27" t="inlineStr">
        <is>
          <t>English</t>
        </is>
      </c>
      <c r="F698" s="27" t="inlineStr">
        <is>
          <t>Apple Podcasts</t>
        </is>
      </c>
      <c r="G698" s="27" t="inlineStr">
        <is>
          <t>https://podcasts.apple.com/gb/podcast/quinnmercer/id1000694</t>
        </is>
      </c>
      <c r="H698" s="27" t="inlineStr">
        <is>
          <t>AP-GB-1000694</t>
        </is>
      </c>
      <c r="I698" s="27" t="inlineStr">
        <is>
          <t>240,000</t>
        </is>
      </c>
      <c r="J698" s="27" t="inlineStr">
        <is>
          <t>2026-10-16</t>
        </is>
      </c>
      <c r="K698" s="27" t="inlineStr">
        <is>
          <t>https://quinnmercer.com/episodes/95</t>
        </is>
      </c>
      <c r="L698" s="27" t="n">
        <v>12</v>
      </c>
      <c r="M698" s="27" t="n">
        <v>26</v>
      </c>
      <c r="N698" s="27" t="inlineStr">
        <is>
          <t>Sponsor</t>
        </is>
      </c>
      <c r="O698" s="27" t="inlineStr">
        <is>
          <t>https://quinnmercer.com/partners</t>
        </is>
      </c>
      <c r="P698" s="27" t="inlineStr">
        <is>
          <t>Inconsistent Cross-Platform Publishing</t>
        </is>
      </c>
      <c r="Q698" s="27" t="inlineStr">
        <is>
          <t>https://quinnmercer.com/highlights</t>
        </is>
      </c>
      <c r="R698" s="27" t="inlineStr">
        <is>
          <t>X (Twitter)</t>
        </is>
      </c>
      <c r="S698" s="27" t="inlineStr">
        <is>
          <t>https://x.com/quinnmercer</t>
        </is>
      </c>
      <c r="T698" s="27" t="inlineStr">
        <is>
          <t>https://quinnmercer.com/links</t>
        </is>
      </c>
      <c r="U698" s="27" t="inlineStr">
        <is>
          <t>LinkedIn</t>
        </is>
      </c>
      <c r="V698" s="27" t="inlineStr">
        <is>
          <t>leadership &amp; team ops frameworks, specifically regarding episode 45 on Leadership &amp; Team Ops workflow optimization</t>
        </is>
      </c>
      <c r="W698" s="27" t="inlineStr">
        <is>
          <t>Hi Quinn,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98" s="27" t="inlineStr">
        <is>
          <t>2026-10-18</t>
        </is>
      </c>
      <c r="Y698" s="27" t="inlineStr">
        <is>
          <t>C</t>
        </is>
      </c>
      <c r="Z698" s="27" t="n">
        <v>78.40000000000001</v>
      </c>
      <c r="AA698" s="27" t="inlineStr">
        <is>
          <t>Qualified</t>
        </is>
      </c>
      <c r="AB698" s="27" t="inlineStr"/>
      <c r="AC698" s="28">
        <f>IF(A698="","",IF(COUNTIF($H$5:$H$1004,H698)&gt;1,"DUPLICATE","UNIQUE"))</f>
        <v/>
      </c>
      <c r="AD698" s="28">
        <f>IF(A698="","",IF(AA698="Rejected",IF(AB698&lt;&gt;"","REJECTED","ADD REASON"),IF(AND(B698&lt;&gt;"",C698&lt;&gt;"",D698&lt;&gt;"",E698&lt;&gt;"",F698&lt;&gt;"",G698&lt;&gt;"",H698&lt;&gt;"",J698&lt;&gt;"",K698&lt;&gt;"",N698&lt;&gt;"",O698&lt;&gt;"",P698&lt;&gt;"",Q698&lt;&gt;"",R698&lt;&gt;"",S698&lt;&gt;"",T698&lt;&gt;"",V698&lt;&gt;"",W698&lt;&gt;"",X698&lt;&gt;"",Y698&lt;&gt;""),"COMPLETE","MISSING FIELDS")))</f>
        <v/>
      </c>
    </row>
    <row r="699" ht="15" customHeight="1" s="15">
      <c r="A699" s="27" t="inlineStr">
        <is>
          <t>LEAD-0695</t>
        </is>
      </c>
      <c r="B699" s="27" t="inlineStr">
        <is>
          <t>Quinn Sinclair</t>
        </is>
      </c>
      <c r="C699" s="27" t="inlineStr">
        <is>
          <t>Expert-Led Creator</t>
        </is>
      </c>
      <c r="D699" s="27" t="inlineStr">
        <is>
          <t>GB</t>
        </is>
      </c>
      <c r="E699" s="27" t="inlineStr">
        <is>
          <t>English</t>
        </is>
      </c>
      <c r="F699" s="27" t="inlineStr">
        <is>
          <t>LinkedIn</t>
        </is>
      </c>
      <c r="G699" s="27" t="inlineStr">
        <is>
          <t>https://www.linkedin.com/in/quinnsinclair</t>
        </is>
      </c>
      <c r="H699" s="27" t="inlineStr">
        <is>
          <t>LI-quinnsinclair-0695</t>
        </is>
      </c>
      <c r="I699" s="27" t="inlineStr">
        <is>
          <t>36,000</t>
        </is>
      </c>
      <c r="J699" s="27" t="inlineStr">
        <is>
          <t>2026-10-17</t>
        </is>
      </c>
      <c r="K699" s="27" t="inlineStr">
        <is>
          <t>https://quinnsinclair.com/posts/96</t>
        </is>
      </c>
      <c r="L699" s="27" t="n">
        <v>13</v>
      </c>
      <c r="M699" s="27" t="n">
        <v>27</v>
      </c>
      <c r="N699" s="27" t="inlineStr">
        <is>
          <t>Membership</t>
        </is>
      </c>
      <c r="O699" s="27" t="inlineStr">
        <is>
          <t>https://quinnsinclair.com/community</t>
        </is>
      </c>
      <c r="P699" s="27" t="inlineStr">
        <is>
          <t>Editing Backlog &amp; Team Workflow Overhead</t>
        </is>
      </c>
      <c r="Q699" s="27" t="inlineStr">
        <is>
          <t>https://quinnsinclair.com/highlights</t>
        </is>
      </c>
      <c r="R699" s="27" t="inlineStr">
        <is>
          <t>Email</t>
        </is>
      </c>
      <c r="S699" s="27" t="inlineStr">
        <is>
          <t>hello@quinnsinclair.com</t>
        </is>
      </c>
      <c r="T699" s="27" t="inlineStr">
        <is>
          <t>https://quinnsinclair.com/work-with-me</t>
        </is>
      </c>
      <c r="U699" s="27" t="inlineStr">
        <is>
          <t>LinkedIn</t>
        </is>
      </c>
      <c r="V699" s="27" t="inlineStr">
        <is>
          <t>b2b marketing &amp; sales frameworks, specifically regarding episode 46 on B2B Marketing &amp; Sales workflow optimization</t>
        </is>
      </c>
      <c r="W699" s="27" t="inlineStr">
        <is>
          <t>Hi Quinn,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699" s="27" t="inlineStr">
        <is>
          <t>2026-10-18</t>
        </is>
      </c>
      <c r="Y699" s="27" t="inlineStr">
        <is>
          <t>C</t>
        </is>
      </c>
      <c r="Z699" s="27" t="n">
        <v>78.3</v>
      </c>
      <c r="AA699" s="27" t="inlineStr">
        <is>
          <t>Qualified</t>
        </is>
      </c>
      <c r="AB699" s="27" t="inlineStr"/>
      <c r="AC699" s="28">
        <f>IF(A699="","",IF(COUNTIF($H$5:$H$1004,H699)&gt;1,"DUPLICATE","UNIQUE"))</f>
        <v/>
      </c>
      <c r="AD699" s="28">
        <f>IF(A699="","",IF(AA699="Rejected",IF(AB699&lt;&gt;"","REJECTED","ADD REASON"),IF(AND(B699&lt;&gt;"",C699&lt;&gt;"",D699&lt;&gt;"",E699&lt;&gt;"",F699&lt;&gt;"",G699&lt;&gt;"",H699&lt;&gt;"",J699&lt;&gt;"",K699&lt;&gt;"",N699&lt;&gt;"",O699&lt;&gt;"",P699&lt;&gt;"",Q699&lt;&gt;"",R699&lt;&gt;"",S699&lt;&gt;"",T699&lt;&gt;"",V699&lt;&gt;"",W699&lt;&gt;"",X699&lt;&gt;"",Y699&lt;&gt;""),"COMPLETE","MISSING FIELDS")))</f>
        <v/>
      </c>
    </row>
    <row r="700" ht="15" customHeight="1" s="15">
      <c r="A700" s="27" t="inlineStr">
        <is>
          <t>LEAD-0696</t>
        </is>
      </c>
      <c r="B700" s="27" t="inlineStr">
        <is>
          <t>Quinn Carrington</t>
        </is>
      </c>
      <c r="C700" s="27" t="inlineStr">
        <is>
          <t>YouTuber</t>
        </is>
      </c>
      <c r="D700" s="27" t="inlineStr">
        <is>
          <t>GB</t>
        </is>
      </c>
      <c r="E700" s="27" t="inlineStr">
        <is>
          <t>English</t>
        </is>
      </c>
      <c r="F700" s="27" t="inlineStr">
        <is>
          <t>YouTube</t>
        </is>
      </c>
      <c r="G700" s="27" t="inlineStr">
        <is>
          <t>https://www.youtube.com/@quinncarrington</t>
        </is>
      </c>
      <c r="H700" s="27" t="inlineStr">
        <is>
          <t>UCGB00696686164</t>
        </is>
      </c>
      <c r="I700" s="27" t="inlineStr">
        <is>
          <t>640,000</t>
        </is>
      </c>
      <c r="J700" s="27" t="inlineStr">
        <is>
          <t>2026-10-10</t>
        </is>
      </c>
      <c r="K700" s="27" t="inlineStr">
        <is>
          <t>https://www.youtube.com/watch?v=gb00696</t>
        </is>
      </c>
      <c r="L700" s="27" t="n">
        <v>14</v>
      </c>
      <c r="M700" s="27" t="n">
        <v>28</v>
      </c>
      <c r="N700" s="27" t="inlineStr">
        <is>
          <t>Product</t>
        </is>
      </c>
      <c r="O700" s="27" t="inlineStr">
        <is>
          <t>https://quinncarrington.com/shop</t>
        </is>
      </c>
      <c r="P700" s="27" t="inlineStr">
        <is>
          <t>Multilingual Audio Dubbing</t>
        </is>
      </c>
      <c r="Q700" s="27" t="inlineStr">
        <is>
          <t>https://quinncarrington.com/highlights</t>
        </is>
      </c>
      <c r="R700" s="27" t="inlineStr">
        <is>
          <t>Email</t>
        </is>
      </c>
      <c r="S700" s="27" t="inlineStr">
        <is>
          <t>contact@quinncarrington.com</t>
        </is>
      </c>
      <c r="T700" s="27" t="inlineStr">
        <is>
          <t>https://quinncarrington.com/contact</t>
        </is>
      </c>
      <c r="U700" s="27" t="inlineStr">
        <is>
          <t>LinkedIn</t>
        </is>
      </c>
      <c r="V700" s="27" t="inlineStr">
        <is>
          <t>finance &amp; wealth engineering frameworks, specifically regarding episode 47 on Finance &amp; Wealth Engineering workflow optimization</t>
        </is>
      </c>
      <c r="W700" s="27" t="inlineStr">
        <is>
          <t>Hi Quinn,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00" s="27" t="inlineStr">
        <is>
          <t>2026-10-18</t>
        </is>
      </c>
      <c r="Y700" s="27" t="inlineStr">
        <is>
          <t>C</t>
        </is>
      </c>
      <c r="Z700" s="27" t="n">
        <v>78.2</v>
      </c>
      <c r="AA700" s="27" t="inlineStr">
        <is>
          <t>Qualified</t>
        </is>
      </c>
      <c r="AB700" s="27" t="inlineStr"/>
      <c r="AC700" s="28">
        <f>IF(A700="","",IF(COUNTIF($H$5:$H$1004,H700)&gt;1,"DUPLICATE","UNIQUE"))</f>
        <v/>
      </c>
      <c r="AD700" s="28">
        <f>IF(A700="","",IF(AA700="Rejected",IF(AB700&lt;&gt;"","REJECTED","ADD REASON"),IF(AND(B700&lt;&gt;"",C700&lt;&gt;"",D700&lt;&gt;"",E700&lt;&gt;"",F700&lt;&gt;"",G700&lt;&gt;"",H700&lt;&gt;"",J700&lt;&gt;"",K700&lt;&gt;"",N700&lt;&gt;"",O700&lt;&gt;"",P700&lt;&gt;"",Q700&lt;&gt;"",R700&lt;&gt;"",S700&lt;&gt;"",T700&lt;&gt;"",V700&lt;&gt;"",W700&lt;&gt;"",X700&lt;&gt;"",Y700&lt;&gt;""),"COMPLETE","MISSING FIELDS")))</f>
        <v/>
      </c>
    </row>
    <row r="701" ht="15" customHeight="1" s="15">
      <c r="A701" s="27" t="inlineStr">
        <is>
          <t>LEAD-0697</t>
        </is>
      </c>
      <c r="B701" s="27" t="inlineStr">
        <is>
          <t>Quinn Prescott</t>
        </is>
      </c>
      <c r="C701" s="27" t="inlineStr">
        <is>
          <t>Podcaster</t>
        </is>
      </c>
      <c r="D701" s="27" t="inlineStr">
        <is>
          <t>GB</t>
        </is>
      </c>
      <c r="E701" s="27" t="inlineStr">
        <is>
          <t>English</t>
        </is>
      </c>
      <c r="F701" s="27" t="inlineStr">
        <is>
          <t>Apple Podcasts</t>
        </is>
      </c>
      <c r="G701" s="27" t="inlineStr">
        <is>
          <t>https://podcasts.apple.com/gb/podcast/quinnprescott/id1000697</t>
        </is>
      </c>
      <c r="H701" s="27" t="inlineStr">
        <is>
          <t>AP-GB-1000697</t>
        </is>
      </c>
      <c r="I701" s="27" t="inlineStr">
        <is>
          <t>276,000</t>
        </is>
      </c>
      <c r="J701" s="27" t="inlineStr">
        <is>
          <t>2026-10-11</t>
        </is>
      </c>
      <c r="K701" s="27" t="inlineStr">
        <is>
          <t>https://quinnprescott.com/episodes/98</t>
        </is>
      </c>
      <c r="L701" s="27" t="n">
        <v>15</v>
      </c>
      <c r="M701" s="27" t="n">
        <v>29</v>
      </c>
      <c r="N701" s="27" t="inlineStr">
        <is>
          <t>Consulting</t>
        </is>
      </c>
      <c r="O701" s="27" t="inlineStr">
        <is>
          <t>https://quinnprescott.com/advisory</t>
        </is>
      </c>
      <c r="P701" s="27" t="inlineStr">
        <is>
          <t>Multilingual Audio Dubbing</t>
        </is>
      </c>
      <c r="Q701" s="27" t="inlineStr">
        <is>
          <t>https://quinnprescott.com/highlights</t>
        </is>
      </c>
      <c r="R701" s="27" t="inlineStr">
        <is>
          <t>LinkedIn</t>
        </is>
      </c>
      <c r="S701" s="27" t="inlineStr">
        <is>
          <t>https://linkedin.com/in/quinnprescott</t>
        </is>
      </c>
      <c r="T701" s="27" t="inlineStr">
        <is>
          <t>https://quinnprescott.com/about</t>
        </is>
      </c>
      <c r="U701" s="27" t="inlineStr">
        <is>
          <t>Email</t>
        </is>
      </c>
      <c r="V701" s="27" t="inlineStr">
        <is>
          <t>health &amp; longevity science frameworks, specifically regarding episode 48 on Health &amp; Longevity Science workflow optimization</t>
        </is>
      </c>
      <c r="W701" s="27" t="inlineStr">
        <is>
          <t>Hi Quinn,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01" s="27" t="inlineStr">
        <is>
          <t>2026-10-18</t>
        </is>
      </c>
      <c r="Y701" s="27" t="inlineStr">
        <is>
          <t>C</t>
        </is>
      </c>
      <c r="Z701" s="27" t="n">
        <v>78.2</v>
      </c>
      <c r="AA701" s="27" t="inlineStr">
        <is>
          <t>Qualified</t>
        </is>
      </c>
      <c r="AB701" s="27" t="inlineStr"/>
      <c r="AC701" s="28">
        <f>IF(A701="","",IF(COUNTIF($H$5:$H$1004,H701)&gt;1,"DUPLICATE","UNIQUE"))</f>
        <v/>
      </c>
      <c r="AD701" s="28">
        <f>IF(A701="","",IF(AA701="Rejected",IF(AB701&lt;&gt;"","REJECTED","ADD REASON"),IF(AND(B701&lt;&gt;"",C701&lt;&gt;"",D701&lt;&gt;"",E701&lt;&gt;"",F701&lt;&gt;"",G701&lt;&gt;"",H701&lt;&gt;"",J701&lt;&gt;"",K701&lt;&gt;"",N701&lt;&gt;"",O701&lt;&gt;"",P701&lt;&gt;"",Q701&lt;&gt;"",R701&lt;&gt;"",S701&lt;&gt;"",T701&lt;&gt;"",V701&lt;&gt;"",W701&lt;&gt;"",X701&lt;&gt;"",Y701&lt;&gt;""),"COMPLETE","MISSING FIELDS")))</f>
        <v/>
      </c>
    </row>
    <row r="702" ht="15" customHeight="1" s="15">
      <c r="A702" s="27" t="inlineStr">
        <is>
          <t>LEAD-0698</t>
        </is>
      </c>
      <c r="B702" s="27" t="inlineStr">
        <is>
          <t>Quinn Winslow</t>
        </is>
      </c>
      <c r="C702" s="27" t="inlineStr">
        <is>
          <t>YouTuber</t>
        </is>
      </c>
      <c r="D702" s="27" t="inlineStr">
        <is>
          <t>GB</t>
        </is>
      </c>
      <c r="E702" s="27" t="inlineStr">
        <is>
          <t>English</t>
        </is>
      </c>
      <c r="F702" s="27" t="inlineStr">
        <is>
          <t>YouTube</t>
        </is>
      </c>
      <c r="G702" s="27" t="inlineStr">
        <is>
          <t>https://www.youtube.com/@quinnwinslow</t>
        </is>
      </c>
      <c r="H702" s="27" t="inlineStr">
        <is>
          <t>UCGB00698410604</t>
        </is>
      </c>
      <c r="I702" s="27" t="inlineStr">
        <is>
          <t>680,000</t>
        </is>
      </c>
      <c r="J702" s="27" t="inlineStr">
        <is>
          <t>2026-10-12</t>
        </is>
      </c>
      <c r="K702" s="27" t="inlineStr">
        <is>
          <t>https://www.youtube.com/watch?v=gb00698</t>
        </is>
      </c>
      <c r="L702" s="27" t="n">
        <v>16</v>
      </c>
      <c r="M702" s="27" t="n">
        <v>30</v>
      </c>
      <c r="N702" s="27" t="inlineStr">
        <is>
          <t>Newsletter Subscription</t>
        </is>
      </c>
      <c r="O702" s="27" t="inlineStr">
        <is>
          <t>https://quinnwinslow.com/subscribe</t>
        </is>
      </c>
      <c r="P702" s="27" t="inlineStr">
        <is>
          <t>Missing Video Captions &amp; Retention Clips</t>
        </is>
      </c>
      <c r="Q702" s="27" t="inlineStr">
        <is>
          <t>https://quinnwinslow.com/highlights</t>
        </is>
      </c>
      <c r="R702" s="27" t="inlineStr">
        <is>
          <t>X (Twitter)</t>
        </is>
      </c>
      <c r="S702" s="27" t="inlineStr">
        <is>
          <t>https://x.com/quinnwinslow</t>
        </is>
      </c>
      <c r="T702" s="27" t="inlineStr">
        <is>
          <t>https://quinnwinslow.com/links</t>
        </is>
      </c>
      <c r="U702" s="27" t="inlineStr">
        <is>
          <t>LinkedIn</t>
        </is>
      </c>
      <c r="V702" s="27" t="inlineStr">
        <is>
          <t>education &amp; applied coding frameworks, specifically regarding episode 49 on Education &amp; Applied Coding workflow optimization</t>
        </is>
      </c>
      <c r="W702" s="27" t="inlineStr">
        <is>
          <t>Hi Quinn,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02" s="27" t="inlineStr">
        <is>
          <t>2026-10-18</t>
        </is>
      </c>
      <c r="Y702" s="27" t="inlineStr">
        <is>
          <t>C</t>
        </is>
      </c>
      <c r="Z702" s="27" t="n">
        <v>78.09999999999999</v>
      </c>
      <c r="AA702" s="27" t="inlineStr">
        <is>
          <t>Qualified</t>
        </is>
      </c>
      <c r="AB702" s="27" t="inlineStr"/>
      <c r="AC702" s="28">
        <f>IF(A702="","",IF(COUNTIF($H$5:$H$1004,H702)&gt;1,"DUPLICATE","UNIQUE"))</f>
        <v/>
      </c>
      <c r="AD702" s="28">
        <f>IF(A702="","",IF(AA702="Rejected",IF(AB702&lt;&gt;"","REJECTED","ADD REASON"),IF(AND(B702&lt;&gt;"",C702&lt;&gt;"",D702&lt;&gt;"",E702&lt;&gt;"",F702&lt;&gt;"",G702&lt;&gt;"",H702&lt;&gt;"",J702&lt;&gt;"",K702&lt;&gt;"",N702&lt;&gt;"",O702&lt;&gt;"",P702&lt;&gt;"",Q702&lt;&gt;"",R702&lt;&gt;"",S702&lt;&gt;"",T702&lt;&gt;"",V702&lt;&gt;"",W702&lt;&gt;"",X702&lt;&gt;"",Y702&lt;&gt;""),"COMPLETE","MISSING FIELDS")))</f>
        <v/>
      </c>
    </row>
    <row r="703" ht="15" customHeight="1" s="15">
      <c r="A703" s="27" t="inlineStr">
        <is>
          <t>LEAD-0699</t>
        </is>
      </c>
      <c r="B703" s="27" t="inlineStr">
        <is>
          <t>Quinn Bradford</t>
        </is>
      </c>
      <c r="C703" s="27" t="inlineStr">
        <is>
          <t>Podcaster</t>
        </is>
      </c>
      <c r="D703" s="27" t="inlineStr">
        <is>
          <t>GB</t>
        </is>
      </c>
      <c r="E703" s="27" t="inlineStr">
        <is>
          <t>English</t>
        </is>
      </c>
      <c r="F703" s="27" t="inlineStr">
        <is>
          <t>Apple Podcasts</t>
        </is>
      </c>
      <c r="G703" s="27" t="inlineStr">
        <is>
          <t>https://podcasts.apple.com/gb/podcast/quinnbradford/id1000699</t>
        </is>
      </c>
      <c r="H703" s="27" t="inlineStr">
        <is>
          <t>AP-GB-1000699</t>
        </is>
      </c>
      <c r="I703" s="27" t="inlineStr">
        <is>
          <t>300,000</t>
        </is>
      </c>
      <c r="J703" s="27" t="inlineStr">
        <is>
          <t>2026-10-13</t>
        </is>
      </c>
      <c r="K703" s="27" t="inlineStr">
        <is>
          <t>https://quinnbradford.com/episodes/100</t>
        </is>
      </c>
      <c r="L703" s="27" t="n">
        <v>17</v>
      </c>
      <c r="M703" s="27" t="n">
        <v>31</v>
      </c>
      <c r="N703" s="27" t="inlineStr">
        <is>
          <t>Affiliate</t>
        </is>
      </c>
      <c r="O703" s="27" t="inlineStr">
        <is>
          <t>https://quinnbradford.com/resources</t>
        </is>
      </c>
      <c r="P703" s="27" t="inlineStr">
        <is>
          <t>Shorts Repurposing Bottleneck</t>
        </is>
      </c>
      <c r="Q703" s="27" t="inlineStr">
        <is>
          <t>https://quinnbradford.com/highlights</t>
        </is>
      </c>
      <c r="R703" s="27" t="inlineStr">
        <is>
          <t>Email</t>
        </is>
      </c>
      <c r="S703" s="27" t="inlineStr">
        <is>
          <t>hello@quinnbradford.com</t>
        </is>
      </c>
      <c r="T703" s="27" t="inlineStr">
        <is>
          <t>https://quinnbradford.com/work-with-me</t>
        </is>
      </c>
      <c r="U703" s="27" t="inlineStr">
        <is>
          <t>LinkedIn</t>
        </is>
      </c>
      <c r="V703" s="27" t="inlineStr">
        <is>
          <t>e-commerce &amp; digital brands frameworks, specifically regarding episode 50 on E-Commerce &amp; Digital Brands workflow optimization</t>
        </is>
      </c>
      <c r="W703" s="27" t="inlineStr">
        <is>
          <t>Hi Quinn,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03" s="27" t="inlineStr">
        <is>
          <t>2026-10-18</t>
        </is>
      </c>
      <c r="Y703" s="27" t="inlineStr">
        <is>
          <t>C</t>
        </is>
      </c>
      <c r="Z703" s="27" t="n">
        <v>78.09999999999999</v>
      </c>
      <c r="AA703" s="27" t="inlineStr">
        <is>
          <t>Qualified</t>
        </is>
      </c>
      <c r="AB703" s="27" t="inlineStr"/>
      <c r="AC703" s="28">
        <f>IF(A703="","",IF(COUNTIF($H$5:$H$1004,H703)&gt;1,"DUPLICATE","UNIQUE"))</f>
        <v/>
      </c>
      <c r="AD703" s="28">
        <f>IF(A703="","",IF(AA703="Rejected",IF(AB703&lt;&gt;"","REJECTED","ADD REASON"),IF(AND(B703&lt;&gt;"",C703&lt;&gt;"",D703&lt;&gt;"",E703&lt;&gt;"",F703&lt;&gt;"",G703&lt;&gt;"",H703&lt;&gt;"",J703&lt;&gt;"",K703&lt;&gt;"",N703&lt;&gt;"",O703&lt;&gt;"",P703&lt;&gt;"",Q703&lt;&gt;"",R703&lt;&gt;"",S703&lt;&gt;"",T703&lt;&gt;"",V703&lt;&gt;"",W703&lt;&gt;"",X703&lt;&gt;"",Y703&lt;&gt;""),"COMPLETE","MISSING FIELDS")))</f>
        <v/>
      </c>
    </row>
    <row r="704" ht="15" customHeight="1" s="15">
      <c r="A704" s="27" t="inlineStr">
        <is>
          <t>LEAD-0700</t>
        </is>
      </c>
      <c r="B704" s="27" t="inlineStr">
        <is>
          <t>Quinn Kensington</t>
        </is>
      </c>
      <c r="C704" s="27" t="inlineStr">
        <is>
          <t>YouTuber</t>
        </is>
      </c>
      <c r="D704" s="27" t="inlineStr">
        <is>
          <t>GB</t>
        </is>
      </c>
      <c r="E704" s="27" t="inlineStr">
        <is>
          <t>English</t>
        </is>
      </c>
      <c r="F704" s="27" t="inlineStr">
        <is>
          <t>YouTube</t>
        </is>
      </c>
      <c r="G704" s="27" t="inlineStr">
        <is>
          <t>https://www.youtube.com/@quinnkensington</t>
        </is>
      </c>
      <c r="H704" s="27" t="inlineStr">
        <is>
          <t>UCGB00700259845</t>
        </is>
      </c>
      <c r="I704" s="27" t="inlineStr">
        <is>
          <t>20,000</t>
        </is>
      </c>
      <c r="J704" s="27" t="inlineStr">
        <is>
          <t>2026-10-14</t>
        </is>
      </c>
      <c r="K704" s="27" t="inlineStr">
        <is>
          <t>https://www.youtube.com/watch?v=gb00700</t>
        </is>
      </c>
      <c r="L704" s="27" t="n">
        <v>8</v>
      </c>
      <c r="M704" s="27" t="n">
        <v>32</v>
      </c>
      <c r="N704" s="27" t="inlineStr">
        <is>
          <t>Course</t>
        </is>
      </c>
      <c r="O704" s="27" t="inlineStr">
        <is>
          <t>https://quinnkensington.com/academy</t>
        </is>
      </c>
      <c r="P704" s="27" t="inlineStr">
        <is>
          <t>Shorts Repurposing Bottleneck</t>
        </is>
      </c>
      <c r="Q704" s="27" t="inlineStr">
        <is>
          <t>https://quinnkensington.com/highlights</t>
        </is>
      </c>
      <c r="R704" s="27" t="inlineStr">
        <is>
          <t>Email</t>
        </is>
      </c>
      <c r="S704" s="27" t="inlineStr">
        <is>
          <t>contact@quinnkensington.com</t>
        </is>
      </c>
      <c r="T704" s="27" t="inlineStr">
        <is>
          <t>https://quinnkensington.com/contact</t>
        </is>
      </c>
      <c r="U704" s="27" t="inlineStr">
        <is>
          <t>LinkedIn</t>
        </is>
      </c>
      <c r="V704" s="27" t="inlineStr">
        <is>
          <t>tech &amp; ai frameworks, specifically regarding episode 1 on Tech &amp; AI workflow optimization</t>
        </is>
      </c>
      <c r="W704" s="27" t="inlineStr">
        <is>
          <t>Hi Quinn,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04" s="27" t="inlineStr">
        <is>
          <t>2026-10-18</t>
        </is>
      </c>
      <c r="Y704" s="27" t="inlineStr">
        <is>
          <t>C</t>
        </is>
      </c>
      <c r="Z704" s="27" t="n">
        <v>78</v>
      </c>
      <c r="AA704" s="27" t="inlineStr">
        <is>
          <t>Qualified</t>
        </is>
      </c>
      <c r="AB704" s="27" t="inlineStr"/>
      <c r="AC704" s="28">
        <f>IF(A704="","",IF(COUNTIF($H$5:$H$1004,H704)&gt;1,"DUPLICATE","UNIQUE"))</f>
        <v/>
      </c>
      <c r="AD704" s="28">
        <f>IF(A704="","",IF(AA704="Rejected",IF(AB704&lt;&gt;"","REJECTED","ADD REASON"),IF(AND(B704&lt;&gt;"",C704&lt;&gt;"",D704&lt;&gt;"",E704&lt;&gt;"",F704&lt;&gt;"",G704&lt;&gt;"",H704&lt;&gt;"",J704&lt;&gt;"",K704&lt;&gt;"",N704&lt;&gt;"",O704&lt;&gt;"",P704&lt;&gt;"",Q704&lt;&gt;"",R704&lt;&gt;"",S704&lt;&gt;"",T704&lt;&gt;"",V704&lt;&gt;"",W704&lt;&gt;"",X704&lt;&gt;"",Y704&lt;&gt;""),"COMPLETE","MISSING FIELDS")))</f>
        <v/>
      </c>
    </row>
    <row r="705" ht="15" customHeight="1" s="15">
      <c r="A705" s="27" t="inlineStr">
        <is>
          <t>LEAD-0701</t>
        </is>
      </c>
      <c r="B705" s="27" t="inlineStr">
        <is>
          <t>Quinn Lancaster</t>
        </is>
      </c>
      <c r="C705" s="27" t="inlineStr">
        <is>
          <t>Podcaster</t>
        </is>
      </c>
      <c r="D705" s="27" t="inlineStr">
        <is>
          <t>GB</t>
        </is>
      </c>
      <c r="E705" s="27" t="inlineStr">
        <is>
          <t>English</t>
        </is>
      </c>
      <c r="F705" s="27" t="inlineStr">
        <is>
          <t>Apple Podcasts</t>
        </is>
      </c>
      <c r="G705" s="27" t="inlineStr">
        <is>
          <t>https://podcasts.apple.com/gb/podcast/quinnlancaster/id1000701</t>
        </is>
      </c>
      <c r="H705" s="27" t="inlineStr">
        <is>
          <t>AP-GB-1000701</t>
        </is>
      </c>
      <c r="I705" s="27" t="inlineStr">
        <is>
          <t>24,000</t>
        </is>
      </c>
      <c r="J705" s="27" t="inlineStr">
        <is>
          <t>2026-10-15</t>
        </is>
      </c>
      <c r="K705" s="27" t="inlineStr">
        <is>
          <t>https://quinnlancaster.com/episodes/102</t>
        </is>
      </c>
      <c r="L705" s="27" t="n">
        <v>9</v>
      </c>
      <c r="M705" s="27" t="n">
        <v>33</v>
      </c>
      <c r="N705" s="27" t="inlineStr">
        <is>
          <t>Sponsor</t>
        </is>
      </c>
      <c r="O705" s="27" t="inlineStr">
        <is>
          <t>https://quinnlancaster.com/partners</t>
        </is>
      </c>
      <c r="P705" s="27" t="inlineStr">
        <is>
          <t>Missing Video Captions &amp; Retention Clips</t>
        </is>
      </c>
      <c r="Q705" s="27" t="inlineStr">
        <is>
          <t>https://quinnlancaster.com/highlights</t>
        </is>
      </c>
      <c r="R705" s="27" t="inlineStr">
        <is>
          <t>LinkedIn</t>
        </is>
      </c>
      <c r="S705" s="27" t="inlineStr">
        <is>
          <t>https://linkedin.com/in/quinnlancaster</t>
        </is>
      </c>
      <c r="T705" s="27" t="inlineStr">
        <is>
          <t>https://quinnlancaster.com/about</t>
        </is>
      </c>
      <c r="U705" s="27" t="inlineStr">
        <is>
          <t>Email</t>
        </is>
      </c>
      <c r="V705" s="27" t="inlineStr">
        <is>
          <t>saas &amp; product growth frameworks, specifically regarding episode 2 on SaaS &amp; Product Growth workflow optimization</t>
        </is>
      </c>
      <c r="W705" s="27" t="inlineStr">
        <is>
          <t>Hi Quinn, loved your recent piece on 'saas &amp; product growth frameworks, specifically regarding episode 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05" s="27" t="inlineStr">
        <is>
          <t>2026-10-18</t>
        </is>
      </c>
      <c r="Y705" s="27" t="inlineStr">
        <is>
          <t>C</t>
        </is>
      </c>
      <c r="Z705" s="27" t="n">
        <v>77.90000000000001</v>
      </c>
      <c r="AA705" s="27" t="inlineStr">
        <is>
          <t>Qualified</t>
        </is>
      </c>
      <c r="AB705" s="27" t="inlineStr"/>
      <c r="AC705" s="28">
        <f>IF(A705="","",IF(COUNTIF($H$5:$H$1004,H705)&gt;1,"DUPLICATE","UNIQUE"))</f>
        <v/>
      </c>
      <c r="AD705" s="28">
        <f>IF(A705="","",IF(AA705="Rejected",IF(AB705&lt;&gt;"","REJECTED","ADD REASON"),IF(AND(B705&lt;&gt;"",C705&lt;&gt;"",D705&lt;&gt;"",E705&lt;&gt;"",F705&lt;&gt;"",G705&lt;&gt;"",H705&lt;&gt;"",J705&lt;&gt;"",K705&lt;&gt;"",N705&lt;&gt;"",O705&lt;&gt;"",P705&lt;&gt;"",Q705&lt;&gt;"",R705&lt;&gt;"",S705&lt;&gt;"",T705&lt;&gt;"",V705&lt;&gt;"",W705&lt;&gt;"",X705&lt;&gt;"",Y705&lt;&gt;""),"COMPLETE","MISSING FIELDS")))</f>
        <v/>
      </c>
    </row>
    <row r="706" ht="15" customHeight="1" s="15">
      <c r="A706" s="27" t="inlineStr">
        <is>
          <t>LEAD-0702</t>
        </is>
      </c>
      <c r="B706" s="27" t="inlineStr">
        <is>
          <t>Quinn Montgomery</t>
        </is>
      </c>
      <c r="C706" s="27" t="inlineStr">
        <is>
          <t>Expert-Led Creator</t>
        </is>
      </c>
      <c r="D706" s="27" t="inlineStr">
        <is>
          <t>GB</t>
        </is>
      </c>
      <c r="E706" s="27" t="inlineStr">
        <is>
          <t>English</t>
        </is>
      </c>
      <c r="F706" s="27" t="inlineStr">
        <is>
          <t>YouTube</t>
        </is>
      </c>
      <c r="G706" s="27" t="inlineStr">
        <is>
          <t>https://www.youtube.com/@quinnmontgomery</t>
        </is>
      </c>
      <c r="H706" s="27" t="inlineStr">
        <is>
          <t>UCGB00702104480</t>
        </is>
      </c>
      <c r="I706" s="27" t="inlineStr">
        <is>
          <t>60,000</t>
        </is>
      </c>
      <c r="J706" s="27" t="inlineStr">
        <is>
          <t>2026-10-16</t>
        </is>
      </c>
      <c r="K706" s="27" t="inlineStr">
        <is>
          <t>https://www.youtube.com/watch?v=gb00702</t>
        </is>
      </c>
      <c r="L706" s="27" t="n">
        <v>10</v>
      </c>
      <c r="M706" s="27" t="n">
        <v>16</v>
      </c>
      <c r="N706" s="27" t="inlineStr">
        <is>
          <t>Membership</t>
        </is>
      </c>
      <c r="O706" s="27" t="inlineStr">
        <is>
          <t>https://quinnmontgomery.com/community</t>
        </is>
      </c>
      <c r="P706" s="27" t="inlineStr">
        <is>
          <t>Editing Backlog &amp; Team Workflow Overhead</t>
        </is>
      </c>
      <c r="Q706" s="27" t="inlineStr">
        <is>
          <t>https://quinnmontgomery.com/highlights</t>
        </is>
      </c>
      <c r="R706" s="27" t="inlineStr">
        <is>
          <t>X (Twitter)</t>
        </is>
      </c>
      <c r="S706" s="27" t="inlineStr">
        <is>
          <t>https://x.com/quinnmontgomery</t>
        </is>
      </c>
      <c r="T706" s="27" t="inlineStr">
        <is>
          <t>https://quinnmontgomery.com/links</t>
        </is>
      </c>
      <c r="U706" s="27" t="inlineStr">
        <is>
          <t>LinkedIn</t>
        </is>
      </c>
      <c r="V706" s="27" t="inlineStr">
        <is>
          <t>creator business &amp; monetization frameworks, specifically regarding episode 3 on Creator Business &amp; Monetization workflow optimization</t>
        </is>
      </c>
      <c r="W706" s="27" t="inlineStr">
        <is>
          <t>Hi Quinn, loved your recent piece on 'creator business &amp; monetization frameworks, specifically regarding episode 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06" s="27" t="inlineStr">
        <is>
          <t>2026-10-18</t>
        </is>
      </c>
      <c r="Y706" s="27" t="inlineStr">
        <is>
          <t>C</t>
        </is>
      </c>
      <c r="Z706" s="27" t="n">
        <v>77.90000000000001</v>
      </c>
      <c r="AA706" s="27" t="inlineStr">
        <is>
          <t>Qualified</t>
        </is>
      </c>
      <c r="AB706" s="27" t="inlineStr"/>
      <c r="AC706" s="28">
        <f>IF(A706="","",IF(COUNTIF($H$5:$H$1004,H706)&gt;1,"DUPLICATE","UNIQUE"))</f>
        <v/>
      </c>
      <c r="AD706" s="28">
        <f>IF(A706="","",IF(AA706="Rejected",IF(AB706&lt;&gt;"","REJECTED","ADD REASON"),IF(AND(B706&lt;&gt;"",C706&lt;&gt;"",D706&lt;&gt;"",E706&lt;&gt;"",F706&lt;&gt;"",G706&lt;&gt;"",H706&lt;&gt;"",J706&lt;&gt;"",K706&lt;&gt;"",N706&lt;&gt;"",O706&lt;&gt;"",P706&lt;&gt;"",Q706&lt;&gt;"",R706&lt;&gt;"",S706&lt;&gt;"",T706&lt;&gt;"",V706&lt;&gt;"",W706&lt;&gt;"",X706&lt;&gt;"",Y706&lt;&gt;""),"COMPLETE","MISSING FIELDS")))</f>
        <v/>
      </c>
    </row>
    <row r="707" ht="15" customHeight="1" s="15">
      <c r="A707" s="27" t="inlineStr">
        <is>
          <t>LEAD-0703</t>
        </is>
      </c>
      <c r="B707" s="27" t="inlineStr">
        <is>
          <t>Quinn Barrington</t>
        </is>
      </c>
      <c r="C707" s="27" t="inlineStr">
        <is>
          <t>YouTuber</t>
        </is>
      </c>
      <c r="D707" s="27" t="inlineStr">
        <is>
          <t>GB</t>
        </is>
      </c>
      <c r="E707" s="27" t="inlineStr">
        <is>
          <t>English</t>
        </is>
      </c>
      <c r="F707" s="27" t="inlineStr">
        <is>
          <t>YouTube</t>
        </is>
      </c>
      <c r="G707" s="27" t="inlineStr">
        <is>
          <t>https://www.youtube.com/@quinnbarrington</t>
        </is>
      </c>
      <c r="H707" s="27" t="inlineStr">
        <is>
          <t>UCGB00703170267</t>
        </is>
      </c>
      <c r="I707" s="27" t="inlineStr">
        <is>
          <t>80,000</t>
        </is>
      </c>
      <c r="J707" s="27" t="inlineStr">
        <is>
          <t>2026-10-17</t>
        </is>
      </c>
      <c r="K707" s="27" t="inlineStr">
        <is>
          <t>https://www.youtube.com/watch?v=gb00703</t>
        </is>
      </c>
      <c r="L707" s="27" t="n">
        <v>11</v>
      </c>
      <c r="M707" s="27" t="n">
        <v>17</v>
      </c>
      <c r="N707" s="27" t="inlineStr">
        <is>
          <t>Product</t>
        </is>
      </c>
      <c r="O707" s="27" t="inlineStr">
        <is>
          <t>https://quinnbarrington.com/shop</t>
        </is>
      </c>
      <c r="P707" s="27" t="inlineStr">
        <is>
          <t>Shorts Repurposing Bottleneck</t>
        </is>
      </c>
      <c r="Q707" s="27" t="inlineStr">
        <is>
          <t>https://quinnbarrington.com/highlights</t>
        </is>
      </c>
      <c r="R707" s="27" t="inlineStr">
        <is>
          <t>Email</t>
        </is>
      </c>
      <c r="S707" s="27" t="inlineStr">
        <is>
          <t>hello@quinnbarrington.com</t>
        </is>
      </c>
      <c r="T707" s="27" t="inlineStr">
        <is>
          <t>https://quinnbarrington.com/work-with-me</t>
        </is>
      </c>
      <c r="U707" s="27" t="inlineStr">
        <is>
          <t>LinkedIn</t>
        </is>
      </c>
      <c r="V707" s="27" t="inlineStr">
        <is>
          <t>productivity &amp; personal systems frameworks, specifically regarding episode 4 on Productivity &amp; Personal Systems workflow optimization</t>
        </is>
      </c>
      <c r="W707" s="27" t="inlineStr">
        <is>
          <t>Hi Quinn, loved your recent piece on 'productivity &amp; personal systems frameworks, specifically regarding episode 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07" s="27" t="inlineStr">
        <is>
          <t>2026-10-18</t>
        </is>
      </c>
      <c r="Y707" s="27" t="inlineStr">
        <is>
          <t>C</t>
        </is>
      </c>
      <c r="Z707" s="27" t="n">
        <v>77.8</v>
      </c>
      <c r="AA707" s="27" t="inlineStr">
        <is>
          <t>Qualified</t>
        </is>
      </c>
      <c r="AB707" s="27" t="inlineStr"/>
      <c r="AC707" s="28">
        <f>IF(A707="","",IF(COUNTIF($H$5:$H$1004,H707)&gt;1,"DUPLICATE","UNIQUE"))</f>
        <v/>
      </c>
      <c r="AD707" s="28">
        <f>IF(A707="","",IF(AA707="Rejected",IF(AB707&lt;&gt;"","REJECTED","ADD REASON"),IF(AND(B707&lt;&gt;"",C707&lt;&gt;"",D707&lt;&gt;"",E707&lt;&gt;"",F707&lt;&gt;"",G707&lt;&gt;"",H707&lt;&gt;"",J707&lt;&gt;"",K707&lt;&gt;"",N707&lt;&gt;"",O707&lt;&gt;"",P707&lt;&gt;"",Q707&lt;&gt;"",R707&lt;&gt;"",S707&lt;&gt;"",T707&lt;&gt;"",V707&lt;&gt;"",W707&lt;&gt;"",X707&lt;&gt;"",Y707&lt;&gt;""),"COMPLETE","MISSING FIELDS")))</f>
        <v/>
      </c>
    </row>
    <row r="708" ht="15" customHeight="1" s="15">
      <c r="A708" s="27" t="inlineStr">
        <is>
          <t>LEAD-0704</t>
        </is>
      </c>
      <c r="B708" s="27" t="inlineStr">
        <is>
          <t>Quinn Thornton</t>
        </is>
      </c>
      <c r="C708" s="27" t="inlineStr">
        <is>
          <t>Podcaster</t>
        </is>
      </c>
      <c r="D708" s="27" t="inlineStr">
        <is>
          <t>GB</t>
        </is>
      </c>
      <c r="E708" s="27" t="inlineStr">
        <is>
          <t>English</t>
        </is>
      </c>
      <c r="F708" s="27" t="inlineStr">
        <is>
          <t>Apple Podcasts</t>
        </is>
      </c>
      <c r="G708" s="27" t="inlineStr">
        <is>
          <t>https://podcasts.apple.com/gb/podcast/quinnthornton/id1000704</t>
        </is>
      </c>
      <c r="H708" s="27" t="inlineStr">
        <is>
          <t>AP-GB-1000704</t>
        </is>
      </c>
      <c r="I708" s="27" t="inlineStr">
        <is>
          <t>60,000</t>
        </is>
      </c>
      <c r="J708" s="27" t="inlineStr">
        <is>
          <t>2026-10-10</t>
        </is>
      </c>
      <c r="K708" s="27" t="inlineStr">
        <is>
          <t>https://quinnthornton.com/episodes/105</t>
        </is>
      </c>
      <c r="L708" s="27" t="n">
        <v>12</v>
      </c>
      <c r="M708" s="27" t="n">
        <v>18</v>
      </c>
      <c r="N708" s="27" t="inlineStr">
        <is>
          <t>Consulting</t>
        </is>
      </c>
      <c r="O708" s="27" t="inlineStr">
        <is>
          <t>https://quinnthornton.com/advisory</t>
        </is>
      </c>
      <c r="P708" s="27" t="inlineStr">
        <is>
          <t>Inconsistent Cross-Platform Publishing</t>
        </is>
      </c>
      <c r="Q708" s="27" t="inlineStr">
        <is>
          <t>https://quinnthornton.com/highlights</t>
        </is>
      </c>
      <c r="R708" s="27" t="inlineStr">
        <is>
          <t>Email</t>
        </is>
      </c>
      <c r="S708" s="27" t="inlineStr">
        <is>
          <t>contact@quinnthornton.com</t>
        </is>
      </c>
      <c r="T708" s="27" t="inlineStr">
        <is>
          <t>https://quinnthornton.com/contact</t>
        </is>
      </c>
      <c r="U708" s="27" t="inlineStr">
        <is>
          <t>LinkedIn</t>
        </is>
      </c>
      <c r="V708" s="27" t="inlineStr">
        <is>
          <t>leadership &amp; team ops frameworks, specifically regarding episode 5 on Leadership &amp; Team Ops workflow optimization</t>
        </is>
      </c>
      <c r="W708" s="27" t="inlineStr">
        <is>
          <t>Hi Quinn, loved your recent piece on 'leadership &amp; team ops frameworks, specifically regarding episode 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08" s="27" t="inlineStr">
        <is>
          <t>2026-10-18</t>
        </is>
      </c>
      <c r="Y708" s="27" t="inlineStr">
        <is>
          <t>C</t>
        </is>
      </c>
      <c r="Z708" s="27" t="n">
        <v>77.8</v>
      </c>
      <c r="AA708" s="27" t="inlineStr">
        <is>
          <t>Qualified</t>
        </is>
      </c>
      <c r="AB708" s="27" t="inlineStr"/>
      <c r="AC708" s="28">
        <f>IF(A708="","",IF(COUNTIF($H$5:$H$1004,H708)&gt;1,"DUPLICATE","UNIQUE"))</f>
        <v/>
      </c>
      <c r="AD708" s="28">
        <f>IF(A708="","",IF(AA708="Rejected",IF(AB708&lt;&gt;"","REJECTED","ADD REASON"),IF(AND(B708&lt;&gt;"",C708&lt;&gt;"",D708&lt;&gt;"",E708&lt;&gt;"",F708&lt;&gt;"",G708&lt;&gt;"",H708&lt;&gt;"",J708&lt;&gt;"",K708&lt;&gt;"",N708&lt;&gt;"",O708&lt;&gt;"",P708&lt;&gt;"",Q708&lt;&gt;"",R708&lt;&gt;"",S708&lt;&gt;"",T708&lt;&gt;"",V708&lt;&gt;"",W708&lt;&gt;"",X708&lt;&gt;"",Y708&lt;&gt;""),"COMPLETE","MISSING FIELDS")))</f>
        <v/>
      </c>
    </row>
    <row r="709" ht="15" customHeight="1" s="15">
      <c r="A709" s="27" t="inlineStr">
        <is>
          <t>LEAD-0705</t>
        </is>
      </c>
      <c r="B709" s="27" t="inlineStr">
        <is>
          <t>Quinn Wellington</t>
        </is>
      </c>
      <c r="C709" s="27" t="inlineStr">
        <is>
          <t>Expert-Led Creator</t>
        </is>
      </c>
      <c r="D709" s="27" t="inlineStr">
        <is>
          <t>GB</t>
        </is>
      </c>
      <c r="E709" s="27" t="inlineStr">
        <is>
          <t>English</t>
        </is>
      </c>
      <c r="F709" s="27" t="inlineStr">
        <is>
          <t>LinkedIn</t>
        </is>
      </c>
      <c r="G709" s="27" t="inlineStr">
        <is>
          <t>https://www.linkedin.com/in/quinnwellington</t>
        </is>
      </c>
      <c r="H709" s="27" t="inlineStr">
        <is>
          <t>LI-quinnwellington-0705</t>
        </is>
      </c>
      <c r="I709" s="27" t="inlineStr">
        <is>
          <t>96,000</t>
        </is>
      </c>
      <c r="J709" s="27" t="inlineStr">
        <is>
          <t>2026-10-11</t>
        </is>
      </c>
      <c r="K709" s="27" t="inlineStr">
        <is>
          <t>https://quinnwellington.com/posts/106</t>
        </is>
      </c>
      <c r="L709" s="27" t="n">
        <v>13</v>
      </c>
      <c r="M709" s="27" t="n">
        <v>19</v>
      </c>
      <c r="N709" s="27" t="inlineStr">
        <is>
          <t>Newsletter Subscription</t>
        </is>
      </c>
      <c r="O709" s="27" t="inlineStr">
        <is>
          <t>https://quinnwellington.com/subscribe</t>
        </is>
      </c>
      <c r="P709" s="27" t="inlineStr">
        <is>
          <t>Editing Backlog &amp; Team Workflow Overhead</t>
        </is>
      </c>
      <c r="Q709" s="27" t="inlineStr">
        <is>
          <t>https://quinnwellington.com/highlights</t>
        </is>
      </c>
      <c r="R709" s="27" t="inlineStr">
        <is>
          <t>LinkedIn</t>
        </is>
      </c>
      <c r="S709" s="27" t="inlineStr">
        <is>
          <t>https://linkedin.com/in/quinnwellington</t>
        </is>
      </c>
      <c r="T709" s="27" t="inlineStr">
        <is>
          <t>https://quinnwellington.com/about</t>
        </is>
      </c>
      <c r="U709" s="27" t="inlineStr">
        <is>
          <t>Email</t>
        </is>
      </c>
      <c r="V709" s="27" t="inlineStr">
        <is>
          <t>b2b marketing &amp; sales frameworks, specifically regarding episode 6 on B2B Marketing &amp; Sales workflow optimization</t>
        </is>
      </c>
      <c r="W709" s="27" t="inlineStr">
        <is>
          <t>Hi Quinn, loved your recent piece on 'b2b marketing &amp; sales frameworks, specifically regarding episode 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09" s="27" t="inlineStr">
        <is>
          <t>2026-10-18</t>
        </is>
      </c>
      <c r="Y709" s="27" t="inlineStr">
        <is>
          <t>C</t>
        </is>
      </c>
      <c r="Z709" s="27" t="n">
        <v>77.7</v>
      </c>
      <c r="AA709" s="27" t="inlineStr">
        <is>
          <t>Qualified</t>
        </is>
      </c>
      <c r="AB709" s="27" t="inlineStr"/>
      <c r="AC709" s="28">
        <f>IF(A709="","",IF(COUNTIF($H$5:$H$1004,H709)&gt;1,"DUPLICATE","UNIQUE"))</f>
        <v/>
      </c>
      <c r="AD709" s="28">
        <f>IF(A709="","",IF(AA709="Rejected",IF(AB709&lt;&gt;"","REJECTED","ADD REASON"),IF(AND(B709&lt;&gt;"",C709&lt;&gt;"",D709&lt;&gt;"",E709&lt;&gt;"",F709&lt;&gt;"",G709&lt;&gt;"",H709&lt;&gt;"",J709&lt;&gt;"",K709&lt;&gt;"",N709&lt;&gt;"",O709&lt;&gt;"",P709&lt;&gt;"",Q709&lt;&gt;"",R709&lt;&gt;"",S709&lt;&gt;"",T709&lt;&gt;"",V709&lt;&gt;"",W709&lt;&gt;"",X709&lt;&gt;"",Y709&lt;&gt;""),"COMPLETE","MISSING FIELDS")))</f>
        <v/>
      </c>
    </row>
    <row r="710" ht="15" customHeight="1" s="15">
      <c r="A710" s="27" t="inlineStr">
        <is>
          <t>LEAD-0706</t>
        </is>
      </c>
      <c r="B710" s="27" t="inlineStr">
        <is>
          <t>Rowan Ashford</t>
        </is>
      </c>
      <c r="C710" s="27" t="inlineStr">
        <is>
          <t>YouTuber</t>
        </is>
      </c>
      <c r="D710" s="27" t="inlineStr">
        <is>
          <t>GB</t>
        </is>
      </c>
      <c r="E710" s="27" t="inlineStr">
        <is>
          <t>English</t>
        </is>
      </c>
      <c r="F710" s="27" t="inlineStr">
        <is>
          <t>YouTube</t>
        </is>
      </c>
      <c r="G710" s="27" t="inlineStr">
        <is>
          <t>https://www.youtube.com/@rowanashford</t>
        </is>
      </c>
      <c r="H710" s="27" t="inlineStr">
        <is>
          <t>UCGB00706128329</t>
        </is>
      </c>
      <c r="I710" s="27" t="inlineStr">
        <is>
          <t>140,000</t>
        </is>
      </c>
      <c r="J710" s="27" t="inlineStr">
        <is>
          <t>2026-10-12</t>
        </is>
      </c>
      <c r="K710" s="27" t="inlineStr">
        <is>
          <t>https://www.youtube.com/watch?v=gb00706</t>
        </is>
      </c>
      <c r="L710" s="27" t="n">
        <v>14</v>
      </c>
      <c r="M710" s="27" t="n">
        <v>20</v>
      </c>
      <c r="N710" s="27" t="inlineStr">
        <is>
          <t>Affiliate</t>
        </is>
      </c>
      <c r="O710" s="27" t="inlineStr">
        <is>
          <t>https://rowanashford.com/resources</t>
        </is>
      </c>
      <c r="P710" s="27" t="inlineStr">
        <is>
          <t>Multilingual Audio Dubbing</t>
        </is>
      </c>
      <c r="Q710" s="27" t="inlineStr">
        <is>
          <t>https://rowanashford.com/highlights</t>
        </is>
      </c>
      <c r="R710" s="27" t="inlineStr">
        <is>
          <t>X (Twitter)</t>
        </is>
      </c>
      <c r="S710" s="27" t="inlineStr">
        <is>
          <t>https://x.com/rowanashford</t>
        </is>
      </c>
      <c r="T710" s="27" t="inlineStr">
        <is>
          <t>https://rowanashford.com/links</t>
        </is>
      </c>
      <c r="U710" s="27" t="inlineStr">
        <is>
          <t>LinkedIn</t>
        </is>
      </c>
      <c r="V710" s="27" t="inlineStr">
        <is>
          <t>finance &amp; wealth engineering frameworks, specifically regarding episode 7 on Finance &amp; Wealth Engineering workflow optimization</t>
        </is>
      </c>
      <c r="W710" s="27" t="inlineStr">
        <is>
          <t>Hi Rowan, loved your recent piece on 'finance &amp; wealth engineering frameworks, specifically regarding episode 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10" s="27" t="inlineStr">
        <is>
          <t>2026-10-18</t>
        </is>
      </c>
      <c r="Y710" s="27" t="inlineStr">
        <is>
          <t>C</t>
        </is>
      </c>
      <c r="Z710" s="27" t="n">
        <v>77.59999999999999</v>
      </c>
      <c r="AA710" s="27" t="inlineStr">
        <is>
          <t>Qualified</t>
        </is>
      </c>
      <c r="AB710" s="27" t="inlineStr"/>
      <c r="AC710" s="28">
        <f>IF(A710="","",IF(COUNTIF($H$5:$H$1004,H710)&gt;1,"DUPLICATE","UNIQUE"))</f>
        <v/>
      </c>
      <c r="AD710" s="28">
        <f>IF(A710="","",IF(AA710="Rejected",IF(AB710&lt;&gt;"","REJECTED","ADD REASON"),IF(AND(B710&lt;&gt;"",C710&lt;&gt;"",D710&lt;&gt;"",E710&lt;&gt;"",F710&lt;&gt;"",G710&lt;&gt;"",H710&lt;&gt;"",J710&lt;&gt;"",K710&lt;&gt;"",N710&lt;&gt;"",O710&lt;&gt;"",P710&lt;&gt;"",Q710&lt;&gt;"",R710&lt;&gt;"",S710&lt;&gt;"",T710&lt;&gt;"",V710&lt;&gt;"",W710&lt;&gt;"",X710&lt;&gt;"",Y710&lt;&gt;""),"COMPLETE","MISSING FIELDS")))</f>
        <v/>
      </c>
    </row>
    <row r="711" ht="15" customHeight="1" s="15">
      <c r="A711" s="27" t="inlineStr">
        <is>
          <t>LEAD-0707</t>
        </is>
      </c>
      <c r="B711" s="27" t="inlineStr">
        <is>
          <t>Rowan Bancroft</t>
        </is>
      </c>
      <c r="C711" s="27" t="inlineStr">
        <is>
          <t>Podcaster</t>
        </is>
      </c>
      <c r="D711" s="27" t="inlineStr">
        <is>
          <t>GB</t>
        </is>
      </c>
      <c r="E711" s="27" t="inlineStr">
        <is>
          <t>English</t>
        </is>
      </c>
      <c r="F711" s="27" t="inlineStr">
        <is>
          <t>Apple Podcasts</t>
        </is>
      </c>
      <c r="G711" s="27" t="inlineStr">
        <is>
          <t>https://podcasts.apple.com/gb/podcast/rowanbancroft/id1000707</t>
        </is>
      </c>
      <c r="H711" s="27" t="inlineStr">
        <is>
          <t>AP-GB-1000707</t>
        </is>
      </c>
      <c r="I711" s="27" t="inlineStr">
        <is>
          <t>96,000</t>
        </is>
      </c>
      <c r="J711" s="27" t="inlineStr">
        <is>
          <t>2026-10-13</t>
        </is>
      </c>
      <c r="K711" s="27" t="inlineStr">
        <is>
          <t>https://rowanbancroft.com/episodes/108</t>
        </is>
      </c>
      <c r="L711" s="27" t="n">
        <v>15</v>
      </c>
      <c r="M711" s="27" t="n">
        <v>21</v>
      </c>
      <c r="N711" s="27" t="inlineStr">
        <is>
          <t>Course</t>
        </is>
      </c>
      <c r="O711" s="27" t="inlineStr">
        <is>
          <t>https://rowanbancroft.com/academy</t>
        </is>
      </c>
      <c r="P711" s="27" t="inlineStr">
        <is>
          <t>Multilingual Audio Dubbing</t>
        </is>
      </c>
      <c r="Q711" s="27" t="inlineStr">
        <is>
          <t>https://rowanbancroft.com/highlights</t>
        </is>
      </c>
      <c r="R711" s="27" t="inlineStr">
        <is>
          <t>Email</t>
        </is>
      </c>
      <c r="S711" s="27" t="inlineStr">
        <is>
          <t>hello@rowanbancroft.com</t>
        </is>
      </c>
      <c r="T711" s="27" t="inlineStr">
        <is>
          <t>https://rowanbancroft.com/work-with-me</t>
        </is>
      </c>
      <c r="U711" s="27" t="inlineStr">
        <is>
          <t>LinkedIn</t>
        </is>
      </c>
      <c r="V711" s="27" t="inlineStr">
        <is>
          <t>health &amp; longevity science frameworks, specifically regarding episode 8 on Health &amp; Longevity Science workflow optimization</t>
        </is>
      </c>
      <c r="W711" s="27" t="inlineStr">
        <is>
          <t>Hi Rowan, loved your recent piece on 'health &amp; longevity science frameworks, specifically regarding episode 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11" s="27" t="inlineStr">
        <is>
          <t>2026-10-18</t>
        </is>
      </c>
      <c r="Y711" s="27" t="inlineStr">
        <is>
          <t>C</t>
        </is>
      </c>
      <c r="Z711" s="27" t="n">
        <v>77.59999999999999</v>
      </c>
      <c r="AA711" s="27" t="inlineStr">
        <is>
          <t>Qualified</t>
        </is>
      </c>
      <c r="AB711" s="27" t="inlineStr"/>
      <c r="AC711" s="28">
        <f>IF(A711="","",IF(COUNTIF($H$5:$H$1004,H711)&gt;1,"DUPLICATE","UNIQUE"))</f>
        <v/>
      </c>
      <c r="AD711" s="28">
        <f>IF(A711="","",IF(AA711="Rejected",IF(AB711&lt;&gt;"","REJECTED","ADD REASON"),IF(AND(B711&lt;&gt;"",C711&lt;&gt;"",D711&lt;&gt;"",E711&lt;&gt;"",F711&lt;&gt;"",G711&lt;&gt;"",H711&lt;&gt;"",J711&lt;&gt;"",K711&lt;&gt;"",N711&lt;&gt;"",O711&lt;&gt;"",P711&lt;&gt;"",Q711&lt;&gt;"",R711&lt;&gt;"",S711&lt;&gt;"",T711&lt;&gt;"",V711&lt;&gt;"",W711&lt;&gt;"",X711&lt;&gt;"",Y711&lt;&gt;""),"COMPLETE","MISSING FIELDS")))</f>
        <v/>
      </c>
    </row>
    <row r="712" ht="15" customHeight="1" s="15">
      <c r="A712" s="27" t="inlineStr">
        <is>
          <t>LEAD-0708</t>
        </is>
      </c>
      <c r="B712" s="27" t="inlineStr">
        <is>
          <t>Rowan Calloway</t>
        </is>
      </c>
      <c r="C712" s="27" t="inlineStr">
        <is>
          <t>YouTuber</t>
        </is>
      </c>
      <c r="D712" s="27" t="inlineStr">
        <is>
          <t>GB</t>
        </is>
      </c>
      <c r="E712" s="27" t="inlineStr">
        <is>
          <t>English</t>
        </is>
      </c>
      <c r="F712" s="27" t="inlineStr">
        <is>
          <t>YouTube</t>
        </is>
      </c>
      <c r="G712" s="27" t="inlineStr">
        <is>
          <t>https://www.youtube.com/@rowancalloway</t>
        </is>
      </c>
      <c r="H712" s="27" t="inlineStr">
        <is>
          <t>UCGB00708881633</t>
        </is>
      </c>
      <c r="I712" s="27" t="inlineStr">
        <is>
          <t>180,000</t>
        </is>
      </c>
      <c r="J712" s="27" t="inlineStr">
        <is>
          <t>2026-10-14</t>
        </is>
      </c>
      <c r="K712" s="27" t="inlineStr">
        <is>
          <t>https://www.youtube.com/watch?v=gb00708</t>
        </is>
      </c>
      <c r="L712" s="27" t="n">
        <v>16</v>
      </c>
      <c r="M712" s="27" t="n">
        <v>22</v>
      </c>
      <c r="N712" s="27" t="inlineStr">
        <is>
          <t>Sponsor</t>
        </is>
      </c>
      <c r="O712" s="27" t="inlineStr">
        <is>
          <t>https://rowancalloway.com/partners</t>
        </is>
      </c>
      <c r="P712" s="27" t="inlineStr">
        <is>
          <t>Missing Video Captions &amp; Retention Clips</t>
        </is>
      </c>
      <c r="Q712" s="27" t="inlineStr">
        <is>
          <t>https://rowancalloway.com/highlights</t>
        </is>
      </c>
      <c r="R712" s="27" t="inlineStr">
        <is>
          <t>Email</t>
        </is>
      </c>
      <c r="S712" s="27" t="inlineStr">
        <is>
          <t>contact@rowancalloway.com</t>
        </is>
      </c>
      <c r="T712" s="27" t="inlineStr">
        <is>
          <t>https://rowancalloway.com/contact</t>
        </is>
      </c>
      <c r="U712" s="27" t="inlineStr">
        <is>
          <t>LinkedIn</t>
        </is>
      </c>
      <c r="V712" s="27" t="inlineStr">
        <is>
          <t>education &amp; applied coding frameworks, specifically regarding episode 9 on Education &amp; Applied Coding workflow optimization</t>
        </is>
      </c>
      <c r="W712" s="27" t="inlineStr">
        <is>
          <t>Hi Rowan, loved your recent piece on 'education &amp; applied coding frameworks, specifically regarding episode 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12" s="27" t="inlineStr">
        <is>
          <t>2026-10-18</t>
        </is>
      </c>
      <c r="Y712" s="27" t="inlineStr">
        <is>
          <t>C</t>
        </is>
      </c>
      <c r="Z712" s="27" t="n">
        <v>77.5</v>
      </c>
      <c r="AA712" s="27" t="inlineStr">
        <is>
          <t>Qualified</t>
        </is>
      </c>
      <c r="AB712" s="27" t="inlineStr"/>
      <c r="AC712" s="28">
        <f>IF(A712="","",IF(COUNTIF($H$5:$H$1004,H712)&gt;1,"DUPLICATE","UNIQUE"))</f>
        <v/>
      </c>
      <c r="AD712" s="28">
        <f>IF(A712="","",IF(AA712="Rejected",IF(AB712&lt;&gt;"","REJECTED","ADD REASON"),IF(AND(B712&lt;&gt;"",C712&lt;&gt;"",D712&lt;&gt;"",E712&lt;&gt;"",F712&lt;&gt;"",G712&lt;&gt;"",H712&lt;&gt;"",J712&lt;&gt;"",K712&lt;&gt;"",N712&lt;&gt;"",O712&lt;&gt;"",P712&lt;&gt;"",Q712&lt;&gt;"",R712&lt;&gt;"",S712&lt;&gt;"",T712&lt;&gt;"",V712&lt;&gt;"",W712&lt;&gt;"",X712&lt;&gt;"",Y712&lt;&gt;""),"COMPLETE","MISSING FIELDS")))</f>
        <v/>
      </c>
    </row>
    <row r="713" ht="15" customHeight="1" s="15">
      <c r="A713" s="27" t="inlineStr">
        <is>
          <t>LEAD-0709</t>
        </is>
      </c>
      <c r="B713" s="27" t="inlineStr">
        <is>
          <t>Rowan Delaney</t>
        </is>
      </c>
      <c r="C713" s="27" t="inlineStr">
        <is>
          <t>Podcaster</t>
        </is>
      </c>
      <c r="D713" s="27" t="inlineStr">
        <is>
          <t>GB</t>
        </is>
      </c>
      <c r="E713" s="27" t="inlineStr">
        <is>
          <t>English</t>
        </is>
      </c>
      <c r="F713" s="27" t="inlineStr">
        <is>
          <t>Apple Podcasts</t>
        </is>
      </c>
      <c r="G713" s="27" t="inlineStr">
        <is>
          <t>https://podcasts.apple.com/gb/podcast/rowandelaney/id1000709</t>
        </is>
      </c>
      <c r="H713" s="27" t="inlineStr">
        <is>
          <t>AP-GB-1000709</t>
        </is>
      </c>
      <c r="I713" s="27" t="inlineStr">
        <is>
          <t>120,000</t>
        </is>
      </c>
      <c r="J713" s="27" t="inlineStr">
        <is>
          <t>2026-10-15</t>
        </is>
      </c>
      <c r="K713" s="27" t="inlineStr">
        <is>
          <t>https://rowandelaney.com/episodes/110</t>
        </is>
      </c>
      <c r="L713" s="27" t="n">
        <v>17</v>
      </c>
      <c r="M713" s="27" t="n">
        <v>23</v>
      </c>
      <c r="N713" s="27" t="inlineStr">
        <is>
          <t>Membership</t>
        </is>
      </c>
      <c r="O713" s="27" t="inlineStr">
        <is>
          <t>https://rowandelaney.com/community</t>
        </is>
      </c>
      <c r="P713" s="27" t="inlineStr">
        <is>
          <t>Shorts Repurposing Bottleneck</t>
        </is>
      </c>
      <c r="Q713" s="27" t="inlineStr">
        <is>
          <t>https://rowandelaney.com/highlights</t>
        </is>
      </c>
      <c r="R713" s="27" t="inlineStr">
        <is>
          <t>LinkedIn</t>
        </is>
      </c>
      <c r="S713" s="27" t="inlineStr">
        <is>
          <t>https://linkedin.com/in/rowandelaney</t>
        </is>
      </c>
      <c r="T713" s="27" t="inlineStr">
        <is>
          <t>https://rowandelaney.com/about</t>
        </is>
      </c>
      <c r="U713" s="27" t="inlineStr">
        <is>
          <t>Email</t>
        </is>
      </c>
      <c r="V713" s="27" t="inlineStr">
        <is>
          <t>e-commerce &amp; digital brands frameworks, specifically regarding episode 10 on E-Commerce &amp; Digital Brands workflow optimization</t>
        </is>
      </c>
      <c r="W713" s="27" t="inlineStr">
        <is>
          <t>Hi Rowan, loved your recent piece on 'e-commerce &amp; digital brands frameworks, specifically regarding episode 10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13" s="27" t="inlineStr">
        <is>
          <t>2026-10-18</t>
        </is>
      </c>
      <c r="Y713" s="27" t="inlineStr">
        <is>
          <t>C</t>
        </is>
      </c>
      <c r="Z713" s="27" t="n">
        <v>77.5</v>
      </c>
      <c r="AA713" s="27" t="inlineStr">
        <is>
          <t>Qualified</t>
        </is>
      </c>
      <c r="AB713" s="27" t="inlineStr"/>
      <c r="AC713" s="28">
        <f>IF(A713="","",IF(COUNTIF($H$5:$H$1004,H713)&gt;1,"DUPLICATE","UNIQUE"))</f>
        <v/>
      </c>
      <c r="AD713" s="28">
        <f>IF(A713="","",IF(AA713="Rejected",IF(AB713&lt;&gt;"","REJECTED","ADD REASON"),IF(AND(B713&lt;&gt;"",C713&lt;&gt;"",D713&lt;&gt;"",E713&lt;&gt;"",F713&lt;&gt;"",G713&lt;&gt;"",H713&lt;&gt;"",J713&lt;&gt;"",K713&lt;&gt;"",N713&lt;&gt;"",O713&lt;&gt;"",P713&lt;&gt;"",Q713&lt;&gt;"",R713&lt;&gt;"",S713&lt;&gt;"",T713&lt;&gt;"",V713&lt;&gt;"",W713&lt;&gt;"",X713&lt;&gt;"",Y713&lt;&gt;""),"COMPLETE","MISSING FIELDS")))</f>
        <v/>
      </c>
    </row>
    <row r="714" ht="15" customHeight="1" s="15">
      <c r="A714" s="27" t="inlineStr">
        <is>
          <t>LEAD-0710</t>
        </is>
      </c>
      <c r="B714" s="27" t="inlineStr">
        <is>
          <t>Rowan Eastwood</t>
        </is>
      </c>
      <c r="C714" s="27" t="inlineStr">
        <is>
          <t>YouTuber</t>
        </is>
      </c>
      <c r="D714" s="27" t="inlineStr">
        <is>
          <t>GB</t>
        </is>
      </c>
      <c r="E714" s="27" t="inlineStr">
        <is>
          <t>English</t>
        </is>
      </c>
      <c r="F714" s="27" t="inlineStr">
        <is>
          <t>YouTube</t>
        </is>
      </c>
      <c r="G714" s="27" t="inlineStr">
        <is>
          <t>https://www.youtube.com/@rowaneastwood</t>
        </is>
      </c>
      <c r="H714" s="27" t="inlineStr">
        <is>
          <t>UCGB00710393042</t>
        </is>
      </c>
      <c r="I714" s="27" t="inlineStr">
        <is>
          <t>220,000</t>
        </is>
      </c>
      <c r="J714" s="27" t="inlineStr">
        <is>
          <t>2026-10-16</t>
        </is>
      </c>
      <c r="K714" s="27" t="inlineStr">
        <is>
          <t>https://www.youtube.com/watch?v=gb00710</t>
        </is>
      </c>
      <c r="L714" s="27" t="n">
        <v>8</v>
      </c>
      <c r="M714" s="27" t="n">
        <v>24</v>
      </c>
      <c r="N714" s="27" t="inlineStr">
        <is>
          <t>Product</t>
        </is>
      </c>
      <c r="O714" s="27" t="inlineStr">
        <is>
          <t>https://rowaneastwood.com/shop</t>
        </is>
      </c>
      <c r="P714" s="27" t="inlineStr">
        <is>
          <t>Shorts Repurposing Bottleneck</t>
        </is>
      </c>
      <c r="Q714" s="27" t="inlineStr">
        <is>
          <t>https://rowaneastwood.com/highlights</t>
        </is>
      </c>
      <c r="R714" s="27" t="inlineStr">
        <is>
          <t>X (Twitter)</t>
        </is>
      </c>
      <c r="S714" s="27" t="inlineStr">
        <is>
          <t>https://x.com/rowaneastwood</t>
        </is>
      </c>
      <c r="T714" s="27" t="inlineStr">
        <is>
          <t>https://rowaneastwood.com/links</t>
        </is>
      </c>
      <c r="U714" s="27" t="inlineStr">
        <is>
          <t>LinkedIn</t>
        </is>
      </c>
      <c r="V714" s="27" t="inlineStr">
        <is>
          <t>tech &amp; ai frameworks, specifically regarding episode 11 on Tech &amp; AI workflow optimization</t>
        </is>
      </c>
      <c r="W714" s="27" t="inlineStr">
        <is>
          <t>Hi Rowan, loved your recent piece on 'tech &amp; ai frameworks, specifically regarding episode 11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14" s="27" t="inlineStr">
        <is>
          <t>2026-10-18</t>
        </is>
      </c>
      <c r="Y714" s="27" t="inlineStr">
        <is>
          <t>C</t>
        </is>
      </c>
      <c r="Z714" s="27" t="n">
        <v>77.40000000000001</v>
      </c>
      <c r="AA714" s="27" t="inlineStr">
        <is>
          <t>Qualified</t>
        </is>
      </c>
      <c r="AB714" s="27" t="inlineStr"/>
      <c r="AC714" s="28">
        <f>IF(A714="","",IF(COUNTIF($H$5:$H$1004,H714)&gt;1,"DUPLICATE","UNIQUE"))</f>
        <v/>
      </c>
      <c r="AD714" s="28">
        <f>IF(A714="","",IF(AA714="Rejected",IF(AB714&lt;&gt;"","REJECTED","ADD REASON"),IF(AND(B714&lt;&gt;"",C714&lt;&gt;"",D714&lt;&gt;"",E714&lt;&gt;"",F714&lt;&gt;"",G714&lt;&gt;"",H714&lt;&gt;"",J714&lt;&gt;"",K714&lt;&gt;"",N714&lt;&gt;"",O714&lt;&gt;"",P714&lt;&gt;"",Q714&lt;&gt;"",R714&lt;&gt;"",S714&lt;&gt;"",T714&lt;&gt;"",V714&lt;&gt;"",W714&lt;&gt;"",X714&lt;&gt;"",Y714&lt;&gt;""),"COMPLETE","MISSING FIELDS")))</f>
        <v/>
      </c>
    </row>
    <row r="715" ht="15" customHeight="1" s="15">
      <c r="A715" s="27" t="inlineStr">
        <is>
          <t>LEAD-0711</t>
        </is>
      </c>
      <c r="B715" s="27" t="inlineStr">
        <is>
          <t>Rowan Fairchild</t>
        </is>
      </c>
      <c r="C715" s="27" t="inlineStr">
        <is>
          <t>Podcaster</t>
        </is>
      </c>
      <c r="D715" s="27" t="inlineStr">
        <is>
          <t>GB</t>
        </is>
      </c>
      <c r="E715" s="27" t="inlineStr">
        <is>
          <t>English</t>
        </is>
      </c>
      <c r="F715" s="27" t="inlineStr">
        <is>
          <t>Apple Podcasts</t>
        </is>
      </c>
      <c r="G715" s="27" t="inlineStr">
        <is>
          <t>https://podcasts.apple.com/gb/podcast/rowanfairchild/id1000711</t>
        </is>
      </c>
      <c r="H715" s="27" t="inlineStr">
        <is>
          <t>AP-GB-1000711</t>
        </is>
      </c>
      <c r="I715" s="27" t="inlineStr">
        <is>
          <t>144,000</t>
        </is>
      </c>
      <c r="J715" s="27" t="inlineStr">
        <is>
          <t>2026-10-17</t>
        </is>
      </c>
      <c r="K715" s="27" t="inlineStr">
        <is>
          <t>https://rowanfairchild.com/episodes/112</t>
        </is>
      </c>
      <c r="L715" s="27" t="n">
        <v>9</v>
      </c>
      <c r="M715" s="27" t="n">
        <v>25</v>
      </c>
      <c r="N715" s="27" t="inlineStr">
        <is>
          <t>Consulting</t>
        </is>
      </c>
      <c r="O715" s="27" t="inlineStr">
        <is>
          <t>https://rowanfairchild.com/advisory</t>
        </is>
      </c>
      <c r="P715" s="27" t="inlineStr">
        <is>
          <t>Missing Video Captions &amp; Retention Clips</t>
        </is>
      </c>
      <c r="Q715" s="27" t="inlineStr">
        <is>
          <t>https://rowanfairchild.com/highlights</t>
        </is>
      </c>
      <c r="R715" s="27" t="inlineStr">
        <is>
          <t>Email</t>
        </is>
      </c>
      <c r="S715" s="27" t="inlineStr">
        <is>
          <t>hello@rowanfairchild.com</t>
        </is>
      </c>
      <c r="T715" s="27" t="inlineStr">
        <is>
          <t>https://rowanfairchild.com/work-with-me</t>
        </is>
      </c>
      <c r="U715" s="27" t="inlineStr">
        <is>
          <t>LinkedIn</t>
        </is>
      </c>
      <c r="V715" s="27" t="inlineStr">
        <is>
          <t>saas &amp; product growth frameworks, specifically regarding episode 12 on SaaS &amp; Product Growth workflow optimization</t>
        </is>
      </c>
      <c r="W715" s="27" t="inlineStr">
        <is>
          <t>Hi Rowan, loved your recent piece on 'saas &amp; product growth frameworks, specifically regarding episode 12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15" s="27" t="inlineStr">
        <is>
          <t>2026-10-18</t>
        </is>
      </c>
      <c r="Y715" s="27" t="inlineStr">
        <is>
          <t>C</t>
        </is>
      </c>
      <c r="Z715" s="27" t="n">
        <v>77.3</v>
      </c>
      <c r="AA715" s="27" t="inlineStr">
        <is>
          <t>Qualified</t>
        </is>
      </c>
      <c r="AB715" s="27" t="inlineStr"/>
      <c r="AC715" s="28">
        <f>IF(A715="","",IF(COUNTIF($H$5:$H$1004,H715)&gt;1,"DUPLICATE","UNIQUE"))</f>
        <v/>
      </c>
      <c r="AD715" s="28">
        <f>IF(A715="","",IF(AA715="Rejected",IF(AB715&lt;&gt;"","REJECTED","ADD REASON"),IF(AND(B715&lt;&gt;"",C715&lt;&gt;"",D715&lt;&gt;"",E715&lt;&gt;"",F715&lt;&gt;"",G715&lt;&gt;"",H715&lt;&gt;"",J715&lt;&gt;"",K715&lt;&gt;"",N715&lt;&gt;"",O715&lt;&gt;"",P715&lt;&gt;"",Q715&lt;&gt;"",R715&lt;&gt;"",S715&lt;&gt;"",T715&lt;&gt;"",V715&lt;&gt;"",W715&lt;&gt;"",X715&lt;&gt;"",Y715&lt;&gt;""),"COMPLETE","MISSING FIELDS")))</f>
        <v/>
      </c>
    </row>
    <row r="716" ht="15" customHeight="1" s="15">
      <c r="A716" s="27" t="inlineStr">
        <is>
          <t>LEAD-0712</t>
        </is>
      </c>
      <c r="B716" s="27" t="inlineStr">
        <is>
          <t>Rowan Gallagher</t>
        </is>
      </c>
      <c r="C716" s="27" t="inlineStr">
        <is>
          <t>Expert-Led Creator</t>
        </is>
      </c>
      <c r="D716" s="27" t="inlineStr">
        <is>
          <t>GB</t>
        </is>
      </c>
      <c r="E716" s="27" t="inlineStr">
        <is>
          <t>English</t>
        </is>
      </c>
      <c r="F716" s="27" t="inlineStr">
        <is>
          <t>YouTube</t>
        </is>
      </c>
      <c r="G716" s="27" t="inlineStr">
        <is>
          <t>https://www.youtube.com/@rowangallagher</t>
        </is>
      </c>
      <c r="H716" s="27" t="inlineStr">
        <is>
          <t>UCGB00712193874</t>
        </is>
      </c>
      <c r="I716" s="27" t="inlineStr">
        <is>
          <t>260,000</t>
        </is>
      </c>
      <c r="J716" s="27" t="inlineStr">
        <is>
          <t>2026-10-10</t>
        </is>
      </c>
      <c r="K716" s="27" t="inlineStr">
        <is>
          <t>https://www.youtube.com/watch?v=gb00712</t>
        </is>
      </c>
      <c r="L716" s="27" t="n">
        <v>10</v>
      </c>
      <c r="M716" s="27" t="n">
        <v>26</v>
      </c>
      <c r="N716" s="27" t="inlineStr">
        <is>
          <t>Newsletter Subscription</t>
        </is>
      </c>
      <c r="O716" s="27" t="inlineStr">
        <is>
          <t>https://rowangallagher.com/subscribe</t>
        </is>
      </c>
      <c r="P716" s="27" t="inlineStr">
        <is>
          <t>Editing Backlog &amp; Team Workflow Overhead</t>
        </is>
      </c>
      <c r="Q716" s="27" t="inlineStr">
        <is>
          <t>https://rowangallagher.com/highlights</t>
        </is>
      </c>
      <c r="R716" s="27" t="inlineStr">
        <is>
          <t>Email</t>
        </is>
      </c>
      <c r="S716" s="27" t="inlineStr">
        <is>
          <t>contact@rowangallagher.com</t>
        </is>
      </c>
      <c r="T716" s="27" t="inlineStr">
        <is>
          <t>https://rowangallagher.com/contact</t>
        </is>
      </c>
      <c r="U716" s="27" t="inlineStr">
        <is>
          <t>LinkedIn</t>
        </is>
      </c>
      <c r="V716" s="27" t="inlineStr">
        <is>
          <t>creator business &amp; monetization frameworks, specifically regarding episode 13 on Creator Business &amp; Monetization workflow optimization</t>
        </is>
      </c>
      <c r="W716" s="27" t="inlineStr">
        <is>
          <t>Hi Rowan, loved your recent piece on 'creator business &amp; monetization frameworks, specifically regarding episode 13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16" s="27" t="inlineStr">
        <is>
          <t>2026-10-18</t>
        </is>
      </c>
      <c r="Y716" s="27" t="inlineStr">
        <is>
          <t>C</t>
        </is>
      </c>
      <c r="Z716" s="27" t="n">
        <v>77.3</v>
      </c>
      <c r="AA716" s="27" t="inlineStr">
        <is>
          <t>Qualified</t>
        </is>
      </c>
      <c r="AB716" s="27" t="inlineStr"/>
      <c r="AC716" s="28">
        <f>IF(A716="","",IF(COUNTIF($H$5:$H$1004,H716)&gt;1,"DUPLICATE","UNIQUE"))</f>
        <v/>
      </c>
      <c r="AD716" s="28">
        <f>IF(A716="","",IF(AA716="Rejected",IF(AB716&lt;&gt;"","REJECTED","ADD REASON"),IF(AND(B716&lt;&gt;"",C716&lt;&gt;"",D716&lt;&gt;"",E716&lt;&gt;"",F716&lt;&gt;"",G716&lt;&gt;"",H716&lt;&gt;"",J716&lt;&gt;"",K716&lt;&gt;"",N716&lt;&gt;"",O716&lt;&gt;"",P716&lt;&gt;"",Q716&lt;&gt;"",R716&lt;&gt;"",S716&lt;&gt;"",T716&lt;&gt;"",V716&lt;&gt;"",W716&lt;&gt;"",X716&lt;&gt;"",Y716&lt;&gt;""),"COMPLETE","MISSING FIELDS")))</f>
        <v/>
      </c>
    </row>
    <row r="717" ht="15" customHeight="1" s="15">
      <c r="A717" s="27" t="inlineStr">
        <is>
          <t>LEAD-0713</t>
        </is>
      </c>
      <c r="B717" s="27" t="inlineStr">
        <is>
          <t>Rowan Hawthorne</t>
        </is>
      </c>
      <c r="C717" s="27" t="inlineStr">
        <is>
          <t>YouTuber</t>
        </is>
      </c>
      <c r="D717" s="27" t="inlineStr">
        <is>
          <t>GB</t>
        </is>
      </c>
      <c r="E717" s="27" t="inlineStr">
        <is>
          <t>English</t>
        </is>
      </c>
      <c r="F717" s="27" t="inlineStr">
        <is>
          <t>YouTube</t>
        </is>
      </c>
      <c r="G717" s="27" t="inlineStr">
        <is>
          <t>https://www.youtube.com/@rowanhawthorne</t>
        </is>
      </c>
      <c r="H717" s="27" t="inlineStr">
        <is>
          <t>UCGB00713096762</t>
        </is>
      </c>
      <c r="I717" s="27" t="inlineStr">
        <is>
          <t>280,000</t>
        </is>
      </c>
      <c r="J717" s="27" t="inlineStr">
        <is>
          <t>2026-10-11</t>
        </is>
      </c>
      <c r="K717" s="27" t="inlineStr">
        <is>
          <t>https://www.youtube.com/watch?v=gb00713</t>
        </is>
      </c>
      <c r="L717" s="27" t="n">
        <v>11</v>
      </c>
      <c r="M717" s="27" t="n">
        <v>27</v>
      </c>
      <c r="N717" s="27" t="inlineStr">
        <is>
          <t>Affiliate</t>
        </is>
      </c>
      <c r="O717" s="27" t="inlineStr">
        <is>
          <t>https://rowanhawthorne.com/resources</t>
        </is>
      </c>
      <c r="P717" s="27" t="inlineStr">
        <is>
          <t>Shorts Repurposing Bottleneck</t>
        </is>
      </c>
      <c r="Q717" s="27" t="inlineStr">
        <is>
          <t>https://rowanhawthorne.com/highlights</t>
        </is>
      </c>
      <c r="R717" s="27" t="inlineStr">
        <is>
          <t>LinkedIn</t>
        </is>
      </c>
      <c r="S717" s="27" t="inlineStr">
        <is>
          <t>https://linkedin.com/in/rowanhawthorne</t>
        </is>
      </c>
      <c r="T717" s="27" t="inlineStr">
        <is>
          <t>https://rowanhawthorne.com/about</t>
        </is>
      </c>
      <c r="U717" s="27" t="inlineStr">
        <is>
          <t>Email</t>
        </is>
      </c>
      <c r="V717" s="27" t="inlineStr">
        <is>
          <t>productivity &amp; personal systems frameworks, specifically regarding episode 14 on Productivity &amp; Personal Systems workflow optimization</t>
        </is>
      </c>
      <c r="W717" s="27" t="inlineStr">
        <is>
          <t>Hi Rowan, loved your recent piece on 'productivity &amp; personal systems frameworks, specifically regarding episode 14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17" s="27" t="inlineStr">
        <is>
          <t>2026-10-18</t>
        </is>
      </c>
      <c r="Y717" s="27" t="inlineStr">
        <is>
          <t>C</t>
        </is>
      </c>
      <c r="Z717" s="27" t="n">
        <v>77.2</v>
      </c>
      <c r="AA717" s="27" t="inlineStr">
        <is>
          <t>Qualified</t>
        </is>
      </c>
      <c r="AB717" s="27" t="inlineStr"/>
      <c r="AC717" s="28">
        <f>IF(A717="","",IF(COUNTIF($H$5:$H$1004,H717)&gt;1,"DUPLICATE","UNIQUE"))</f>
        <v/>
      </c>
      <c r="AD717" s="28">
        <f>IF(A717="","",IF(AA717="Rejected",IF(AB717&lt;&gt;"","REJECTED","ADD REASON"),IF(AND(B717&lt;&gt;"",C717&lt;&gt;"",D717&lt;&gt;"",E717&lt;&gt;"",F717&lt;&gt;"",G717&lt;&gt;"",H717&lt;&gt;"",J717&lt;&gt;"",K717&lt;&gt;"",N717&lt;&gt;"",O717&lt;&gt;"",P717&lt;&gt;"",Q717&lt;&gt;"",R717&lt;&gt;"",S717&lt;&gt;"",T717&lt;&gt;"",V717&lt;&gt;"",W717&lt;&gt;"",X717&lt;&gt;"",Y717&lt;&gt;""),"COMPLETE","MISSING FIELDS")))</f>
        <v/>
      </c>
    </row>
    <row r="718" ht="15" customHeight="1" s="15">
      <c r="A718" s="27" t="inlineStr">
        <is>
          <t>LEAD-0714</t>
        </is>
      </c>
      <c r="B718" s="27" t="inlineStr">
        <is>
          <t>Rowan Ingram</t>
        </is>
      </c>
      <c r="C718" s="27" t="inlineStr">
        <is>
          <t>Podcaster</t>
        </is>
      </c>
      <c r="D718" s="27" t="inlineStr">
        <is>
          <t>GB</t>
        </is>
      </c>
      <c r="E718" s="27" t="inlineStr">
        <is>
          <t>English</t>
        </is>
      </c>
      <c r="F718" s="27" t="inlineStr">
        <is>
          <t>Apple Podcasts</t>
        </is>
      </c>
      <c r="G718" s="27" t="inlineStr">
        <is>
          <t>https://podcasts.apple.com/gb/podcast/rowaningram/id1000714</t>
        </is>
      </c>
      <c r="H718" s="27" t="inlineStr">
        <is>
          <t>AP-GB-1000714</t>
        </is>
      </c>
      <c r="I718" s="27" t="inlineStr">
        <is>
          <t>180,000</t>
        </is>
      </c>
      <c r="J718" s="27" t="inlineStr">
        <is>
          <t>2026-10-12</t>
        </is>
      </c>
      <c r="K718" s="27" t="inlineStr">
        <is>
          <t>https://rowaningram.com/episodes/115</t>
        </is>
      </c>
      <c r="L718" s="27" t="n">
        <v>12</v>
      </c>
      <c r="M718" s="27" t="n">
        <v>28</v>
      </c>
      <c r="N718" s="27" t="inlineStr">
        <is>
          <t>Course</t>
        </is>
      </c>
      <c r="O718" s="27" t="inlineStr">
        <is>
          <t>https://rowaningram.com/academy</t>
        </is>
      </c>
      <c r="P718" s="27" t="inlineStr">
        <is>
          <t>Inconsistent Cross-Platform Publishing</t>
        </is>
      </c>
      <c r="Q718" s="27" t="inlineStr">
        <is>
          <t>https://rowaningram.com/highlights</t>
        </is>
      </c>
      <c r="R718" s="27" t="inlineStr">
        <is>
          <t>X (Twitter)</t>
        </is>
      </c>
      <c r="S718" s="27" t="inlineStr">
        <is>
          <t>https://x.com/rowaningram</t>
        </is>
      </c>
      <c r="T718" s="27" t="inlineStr">
        <is>
          <t>https://rowaningram.com/links</t>
        </is>
      </c>
      <c r="U718" s="27" t="inlineStr">
        <is>
          <t>LinkedIn</t>
        </is>
      </c>
      <c r="V718" s="27" t="inlineStr">
        <is>
          <t>leadership &amp; team ops frameworks, specifically regarding episode 15 on Leadership &amp; Team Ops workflow optimization</t>
        </is>
      </c>
      <c r="W718" s="27" t="inlineStr">
        <is>
          <t>Hi Rowan, loved your recent piece on 'leadership &amp; team ops frameworks, specifically regarding episode 15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18" s="27" t="inlineStr">
        <is>
          <t>2026-10-18</t>
        </is>
      </c>
      <c r="Y718" s="27" t="inlineStr">
        <is>
          <t>C</t>
        </is>
      </c>
      <c r="Z718" s="27" t="n">
        <v>77.2</v>
      </c>
      <c r="AA718" s="27" t="inlineStr">
        <is>
          <t>Qualified</t>
        </is>
      </c>
      <c r="AB718" s="27" t="inlineStr"/>
      <c r="AC718" s="28">
        <f>IF(A718="","",IF(COUNTIF($H$5:$H$1004,H718)&gt;1,"DUPLICATE","UNIQUE"))</f>
        <v/>
      </c>
      <c r="AD718" s="28">
        <f>IF(A718="","",IF(AA718="Rejected",IF(AB718&lt;&gt;"","REJECTED","ADD REASON"),IF(AND(B718&lt;&gt;"",C718&lt;&gt;"",D718&lt;&gt;"",E718&lt;&gt;"",F718&lt;&gt;"",G718&lt;&gt;"",H718&lt;&gt;"",J718&lt;&gt;"",K718&lt;&gt;"",N718&lt;&gt;"",O718&lt;&gt;"",P718&lt;&gt;"",Q718&lt;&gt;"",R718&lt;&gt;"",S718&lt;&gt;"",T718&lt;&gt;"",V718&lt;&gt;"",W718&lt;&gt;"",X718&lt;&gt;"",Y718&lt;&gt;""),"COMPLETE","MISSING FIELDS")))</f>
        <v/>
      </c>
    </row>
    <row r="719" ht="15" customHeight="1" s="15">
      <c r="A719" s="27" t="inlineStr">
        <is>
          <t>LEAD-0715</t>
        </is>
      </c>
      <c r="B719" s="27" t="inlineStr">
        <is>
          <t>Rowan Jennings</t>
        </is>
      </c>
      <c r="C719" s="27" t="inlineStr">
        <is>
          <t>Expert-Led Creator</t>
        </is>
      </c>
      <c r="D719" s="27" t="inlineStr">
        <is>
          <t>GB</t>
        </is>
      </c>
      <c r="E719" s="27" t="inlineStr">
        <is>
          <t>English</t>
        </is>
      </c>
      <c r="F719" s="27" t="inlineStr">
        <is>
          <t>LinkedIn</t>
        </is>
      </c>
      <c r="G719" s="27" t="inlineStr">
        <is>
          <t>https://www.linkedin.com/in/rowanjennings</t>
        </is>
      </c>
      <c r="H719" s="27" t="inlineStr">
        <is>
          <t>LI-rowanjennings-0715</t>
        </is>
      </c>
      <c r="I719" s="27" t="inlineStr">
        <is>
          <t>156,000</t>
        </is>
      </c>
      <c r="J719" s="27" t="inlineStr">
        <is>
          <t>2026-10-13</t>
        </is>
      </c>
      <c r="K719" s="27" t="inlineStr">
        <is>
          <t>https://rowanjennings.com/posts/116</t>
        </is>
      </c>
      <c r="L719" s="27" t="n">
        <v>13</v>
      </c>
      <c r="M719" s="27" t="n">
        <v>29</v>
      </c>
      <c r="N719" s="27" t="inlineStr">
        <is>
          <t>Sponsor</t>
        </is>
      </c>
      <c r="O719" s="27" t="inlineStr">
        <is>
          <t>https://rowanjennings.com/partners</t>
        </is>
      </c>
      <c r="P719" s="27" t="inlineStr">
        <is>
          <t>Editing Backlog &amp; Team Workflow Overhead</t>
        </is>
      </c>
      <c r="Q719" s="27" t="inlineStr">
        <is>
          <t>https://rowanjennings.com/highlights</t>
        </is>
      </c>
      <c r="R719" s="27" t="inlineStr">
        <is>
          <t>Email</t>
        </is>
      </c>
      <c r="S719" s="27" t="inlineStr">
        <is>
          <t>hello@rowanjennings.com</t>
        </is>
      </c>
      <c r="T719" s="27" t="inlineStr">
        <is>
          <t>https://rowanjennings.com/work-with-me</t>
        </is>
      </c>
      <c r="U719" s="27" t="inlineStr">
        <is>
          <t>LinkedIn</t>
        </is>
      </c>
      <c r="V719" s="27" t="inlineStr">
        <is>
          <t>b2b marketing &amp; sales frameworks, specifically regarding episode 16 on B2B Marketing &amp; Sales workflow optimization</t>
        </is>
      </c>
      <c r="W719" s="27" t="inlineStr">
        <is>
          <t>Hi Rowan, loved your recent piece on 'b2b marketing &amp; sales frameworks, specifically regarding episode 16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19" s="27" t="inlineStr">
        <is>
          <t>2026-10-18</t>
        </is>
      </c>
      <c r="Y719" s="27" t="inlineStr">
        <is>
          <t>C</t>
        </is>
      </c>
      <c r="Z719" s="27" t="n">
        <v>77.09999999999999</v>
      </c>
      <c r="AA719" s="27" t="inlineStr">
        <is>
          <t>Qualified</t>
        </is>
      </c>
      <c r="AB719" s="27" t="inlineStr"/>
      <c r="AC719" s="28">
        <f>IF(A719="","",IF(COUNTIF($H$5:$H$1004,H719)&gt;1,"DUPLICATE","UNIQUE"))</f>
        <v/>
      </c>
      <c r="AD719" s="28">
        <f>IF(A719="","",IF(AA719="Rejected",IF(AB719&lt;&gt;"","REJECTED","ADD REASON"),IF(AND(B719&lt;&gt;"",C719&lt;&gt;"",D719&lt;&gt;"",E719&lt;&gt;"",F719&lt;&gt;"",G719&lt;&gt;"",H719&lt;&gt;"",J719&lt;&gt;"",K719&lt;&gt;"",N719&lt;&gt;"",O719&lt;&gt;"",P719&lt;&gt;"",Q719&lt;&gt;"",R719&lt;&gt;"",S719&lt;&gt;"",T719&lt;&gt;"",V719&lt;&gt;"",W719&lt;&gt;"",X719&lt;&gt;"",Y719&lt;&gt;""),"COMPLETE","MISSING FIELDS")))</f>
        <v/>
      </c>
    </row>
    <row r="720" ht="15" customHeight="1" s="15">
      <c r="A720" s="27" t="inlineStr">
        <is>
          <t>LEAD-0716</t>
        </is>
      </c>
      <c r="B720" s="27" t="inlineStr">
        <is>
          <t>Rowan Kingsley</t>
        </is>
      </c>
      <c r="C720" s="27" t="inlineStr">
        <is>
          <t>YouTuber</t>
        </is>
      </c>
      <c r="D720" s="27" t="inlineStr">
        <is>
          <t>GB</t>
        </is>
      </c>
      <c r="E720" s="27" t="inlineStr">
        <is>
          <t>English</t>
        </is>
      </c>
      <c r="F720" s="27" t="inlineStr">
        <is>
          <t>YouTube</t>
        </is>
      </c>
      <c r="G720" s="27" t="inlineStr">
        <is>
          <t>https://www.youtube.com/@rowankingsley</t>
        </is>
      </c>
      <c r="H720" s="27" t="inlineStr">
        <is>
          <t>UCGB00716681919</t>
        </is>
      </c>
      <c r="I720" s="27" t="inlineStr">
        <is>
          <t>340,000</t>
        </is>
      </c>
      <c r="J720" s="27" t="inlineStr">
        <is>
          <t>2026-10-14</t>
        </is>
      </c>
      <c r="K720" s="27" t="inlineStr">
        <is>
          <t>https://www.youtube.com/watch?v=gb00716</t>
        </is>
      </c>
      <c r="L720" s="27" t="n">
        <v>14</v>
      </c>
      <c r="M720" s="27" t="n">
        <v>30</v>
      </c>
      <c r="N720" s="27" t="inlineStr">
        <is>
          <t>Membership</t>
        </is>
      </c>
      <c r="O720" s="27" t="inlineStr">
        <is>
          <t>https://rowankingsley.com/community</t>
        </is>
      </c>
      <c r="P720" s="27" t="inlineStr">
        <is>
          <t>Multilingual Audio Dubbing</t>
        </is>
      </c>
      <c r="Q720" s="27" t="inlineStr">
        <is>
          <t>https://rowankingsley.com/highlights</t>
        </is>
      </c>
      <c r="R720" s="27" t="inlineStr">
        <is>
          <t>Email</t>
        </is>
      </c>
      <c r="S720" s="27" t="inlineStr">
        <is>
          <t>contact@rowankingsley.com</t>
        </is>
      </c>
      <c r="T720" s="27" t="inlineStr">
        <is>
          <t>https://rowankingsley.com/contact</t>
        </is>
      </c>
      <c r="U720" s="27" t="inlineStr">
        <is>
          <t>LinkedIn</t>
        </is>
      </c>
      <c r="V720" s="27" t="inlineStr">
        <is>
          <t>finance &amp; wealth engineering frameworks, specifically regarding episode 17 on Finance &amp; Wealth Engineering workflow optimization</t>
        </is>
      </c>
      <c r="W720" s="27" t="inlineStr">
        <is>
          <t>Hi Rowan, loved your recent piece on 'finance &amp; wealth engineering frameworks, specifically regarding episode 17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20" s="27" t="inlineStr">
        <is>
          <t>2026-10-18</t>
        </is>
      </c>
      <c r="Y720" s="27" t="inlineStr">
        <is>
          <t>C</t>
        </is>
      </c>
      <c r="Z720" s="27" t="n">
        <v>77</v>
      </c>
      <c r="AA720" s="27" t="inlineStr">
        <is>
          <t>Qualified</t>
        </is>
      </c>
      <c r="AB720" s="27" t="inlineStr"/>
      <c r="AC720" s="28">
        <f>IF(A720="","",IF(COUNTIF($H$5:$H$1004,H720)&gt;1,"DUPLICATE","UNIQUE"))</f>
        <v/>
      </c>
      <c r="AD720" s="28">
        <f>IF(A720="","",IF(AA720="Rejected",IF(AB720&lt;&gt;"","REJECTED","ADD REASON"),IF(AND(B720&lt;&gt;"",C720&lt;&gt;"",D720&lt;&gt;"",E720&lt;&gt;"",F720&lt;&gt;"",G720&lt;&gt;"",H720&lt;&gt;"",J720&lt;&gt;"",K720&lt;&gt;"",N720&lt;&gt;"",O720&lt;&gt;"",P720&lt;&gt;"",Q720&lt;&gt;"",R720&lt;&gt;"",S720&lt;&gt;"",T720&lt;&gt;"",V720&lt;&gt;"",W720&lt;&gt;"",X720&lt;&gt;"",Y720&lt;&gt;""),"COMPLETE","MISSING FIELDS")))</f>
        <v/>
      </c>
    </row>
    <row r="721" ht="15" customHeight="1" s="15">
      <c r="A721" s="27" t="inlineStr">
        <is>
          <t>LEAD-0717</t>
        </is>
      </c>
      <c r="B721" s="27" t="inlineStr">
        <is>
          <t>Rowan Lockwood</t>
        </is>
      </c>
      <c r="C721" s="27" t="inlineStr">
        <is>
          <t>Podcaster</t>
        </is>
      </c>
      <c r="D721" s="27" t="inlineStr">
        <is>
          <t>GB</t>
        </is>
      </c>
      <c r="E721" s="27" t="inlineStr">
        <is>
          <t>English</t>
        </is>
      </c>
      <c r="F721" s="27" t="inlineStr">
        <is>
          <t>Apple Podcasts</t>
        </is>
      </c>
      <c r="G721" s="27" t="inlineStr">
        <is>
          <t>https://podcasts.apple.com/gb/podcast/rowanlockwood/id1000717</t>
        </is>
      </c>
      <c r="H721" s="27" t="inlineStr">
        <is>
          <t>AP-GB-1000717</t>
        </is>
      </c>
      <c r="I721" s="27" t="inlineStr">
        <is>
          <t>216,000</t>
        </is>
      </c>
      <c r="J721" s="27" t="inlineStr">
        <is>
          <t>2026-10-15</t>
        </is>
      </c>
      <c r="K721" s="27" t="inlineStr">
        <is>
          <t>https://rowanlockwood.com/episodes/118</t>
        </is>
      </c>
      <c r="L721" s="27" t="n">
        <v>15</v>
      </c>
      <c r="M721" s="27" t="n">
        <v>31</v>
      </c>
      <c r="N721" s="27" t="inlineStr">
        <is>
          <t>Product</t>
        </is>
      </c>
      <c r="O721" s="27" t="inlineStr">
        <is>
          <t>https://rowanlockwood.com/shop</t>
        </is>
      </c>
      <c r="P721" s="27" t="inlineStr">
        <is>
          <t>Multilingual Audio Dubbing</t>
        </is>
      </c>
      <c r="Q721" s="27" t="inlineStr">
        <is>
          <t>https://rowanlockwood.com/highlights</t>
        </is>
      </c>
      <c r="R721" s="27" t="inlineStr">
        <is>
          <t>LinkedIn</t>
        </is>
      </c>
      <c r="S721" s="27" t="inlineStr">
        <is>
          <t>https://linkedin.com/in/rowanlockwood</t>
        </is>
      </c>
      <c r="T721" s="27" t="inlineStr">
        <is>
          <t>https://rowanlockwood.com/about</t>
        </is>
      </c>
      <c r="U721" s="27" t="inlineStr">
        <is>
          <t>Email</t>
        </is>
      </c>
      <c r="V721" s="27" t="inlineStr">
        <is>
          <t>health &amp; longevity science frameworks, specifically regarding episode 18 on Health &amp; Longevity Science workflow optimization</t>
        </is>
      </c>
      <c r="W721" s="27" t="inlineStr">
        <is>
          <t>Hi Rowan, loved your recent piece on 'health &amp; longevity science frameworks, specifically regarding episode 18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21" s="27" t="inlineStr">
        <is>
          <t>2026-10-18</t>
        </is>
      </c>
      <c r="Y721" s="27" t="inlineStr">
        <is>
          <t>C</t>
        </is>
      </c>
      <c r="Z721" s="27" t="n">
        <v>77</v>
      </c>
      <c r="AA721" s="27" t="inlineStr">
        <is>
          <t>Qualified</t>
        </is>
      </c>
      <c r="AB721" s="27" t="inlineStr"/>
      <c r="AC721" s="28">
        <f>IF(A721="","",IF(COUNTIF($H$5:$H$1004,H721)&gt;1,"DUPLICATE","UNIQUE"))</f>
        <v/>
      </c>
      <c r="AD721" s="28">
        <f>IF(A721="","",IF(AA721="Rejected",IF(AB721&lt;&gt;"","REJECTED","ADD REASON"),IF(AND(B721&lt;&gt;"",C721&lt;&gt;"",D721&lt;&gt;"",E721&lt;&gt;"",F721&lt;&gt;"",G721&lt;&gt;"",H721&lt;&gt;"",J721&lt;&gt;"",K721&lt;&gt;"",N721&lt;&gt;"",O721&lt;&gt;"",P721&lt;&gt;"",Q721&lt;&gt;"",R721&lt;&gt;"",S721&lt;&gt;"",T721&lt;&gt;"",V721&lt;&gt;"",W721&lt;&gt;"",X721&lt;&gt;"",Y721&lt;&gt;""),"COMPLETE","MISSING FIELDS")))</f>
        <v/>
      </c>
    </row>
    <row r="722" ht="15" customHeight="1" s="15">
      <c r="A722" s="27" t="inlineStr">
        <is>
          <t>LEAD-0718</t>
        </is>
      </c>
      <c r="B722" s="27" t="inlineStr">
        <is>
          <t>Rowan Montague</t>
        </is>
      </c>
      <c r="C722" s="27" t="inlineStr">
        <is>
          <t>YouTuber</t>
        </is>
      </c>
      <c r="D722" s="27" t="inlineStr">
        <is>
          <t>GB</t>
        </is>
      </c>
      <c r="E722" s="27" t="inlineStr">
        <is>
          <t>English</t>
        </is>
      </c>
      <c r="F722" s="27" t="inlineStr">
        <is>
          <t>YouTube</t>
        </is>
      </c>
      <c r="G722" s="27" t="inlineStr">
        <is>
          <t>https://www.youtube.com/@rowanmontague</t>
        </is>
      </c>
      <c r="H722" s="27" t="inlineStr">
        <is>
          <t>UCGB00718615066</t>
        </is>
      </c>
      <c r="I722" s="27" t="inlineStr">
        <is>
          <t>380,000</t>
        </is>
      </c>
      <c r="J722" s="27" t="inlineStr">
        <is>
          <t>2026-10-16</t>
        </is>
      </c>
      <c r="K722" s="27" t="inlineStr">
        <is>
          <t>https://www.youtube.com/watch?v=gb00718</t>
        </is>
      </c>
      <c r="L722" s="27" t="n">
        <v>16</v>
      </c>
      <c r="M722" s="27" t="n">
        <v>32</v>
      </c>
      <c r="N722" s="27" t="inlineStr">
        <is>
          <t>Consulting</t>
        </is>
      </c>
      <c r="O722" s="27" t="inlineStr">
        <is>
          <t>https://rowanmontague.com/advisory</t>
        </is>
      </c>
      <c r="P722" s="27" t="inlineStr">
        <is>
          <t>Missing Video Captions &amp; Retention Clips</t>
        </is>
      </c>
      <c r="Q722" s="27" t="inlineStr">
        <is>
          <t>https://rowanmontague.com/highlights</t>
        </is>
      </c>
      <c r="R722" s="27" t="inlineStr">
        <is>
          <t>X (Twitter)</t>
        </is>
      </c>
      <c r="S722" s="27" t="inlineStr">
        <is>
          <t>https://x.com/rowanmontague</t>
        </is>
      </c>
      <c r="T722" s="27" t="inlineStr">
        <is>
          <t>https://rowanmontague.com/links</t>
        </is>
      </c>
      <c r="U722" s="27" t="inlineStr">
        <is>
          <t>LinkedIn</t>
        </is>
      </c>
      <c r="V722" s="27" t="inlineStr">
        <is>
          <t>education &amp; applied coding frameworks, specifically regarding episode 19 on Education &amp; Applied Coding workflow optimization</t>
        </is>
      </c>
      <c r="W722" s="27" t="inlineStr">
        <is>
          <t>Hi Rowan, loved your recent piece on 'education &amp; applied coding frameworks, specifically regarding episode 19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22" s="27" t="inlineStr">
        <is>
          <t>2026-10-18</t>
        </is>
      </c>
      <c r="Y722" s="27" t="inlineStr">
        <is>
          <t>C</t>
        </is>
      </c>
      <c r="Z722" s="27" t="n">
        <v>76.90000000000001</v>
      </c>
      <c r="AA722" s="27" t="inlineStr">
        <is>
          <t>Qualified</t>
        </is>
      </c>
      <c r="AB722" s="27" t="inlineStr"/>
      <c r="AC722" s="28">
        <f>IF(A722="","",IF(COUNTIF($H$5:$H$1004,H722)&gt;1,"DUPLICATE","UNIQUE"))</f>
        <v/>
      </c>
      <c r="AD722" s="28">
        <f>IF(A722="","",IF(AA722="Rejected",IF(AB722&lt;&gt;"","REJECTED","ADD REASON"),IF(AND(B722&lt;&gt;"",C722&lt;&gt;"",D722&lt;&gt;"",E722&lt;&gt;"",F722&lt;&gt;"",G722&lt;&gt;"",H722&lt;&gt;"",J722&lt;&gt;"",K722&lt;&gt;"",N722&lt;&gt;"",O722&lt;&gt;"",P722&lt;&gt;"",Q722&lt;&gt;"",R722&lt;&gt;"",S722&lt;&gt;"",T722&lt;&gt;"",V722&lt;&gt;"",W722&lt;&gt;"",X722&lt;&gt;"",Y722&lt;&gt;""),"COMPLETE","MISSING FIELDS")))</f>
        <v/>
      </c>
    </row>
    <row r="723" ht="15" customHeight="1" s="15">
      <c r="A723" s="27" t="inlineStr">
        <is>
          <t>LEAD-0719</t>
        </is>
      </c>
      <c r="B723" s="27" t="inlineStr">
        <is>
          <t>Rowan Northwood</t>
        </is>
      </c>
      <c r="C723" s="27" t="inlineStr">
        <is>
          <t>Podcaster</t>
        </is>
      </c>
      <c r="D723" s="27" t="inlineStr">
        <is>
          <t>GB</t>
        </is>
      </c>
      <c r="E723" s="27" t="inlineStr">
        <is>
          <t>English</t>
        </is>
      </c>
      <c r="F723" s="27" t="inlineStr">
        <is>
          <t>Apple Podcasts</t>
        </is>
      </c>
      <c r="G723" s="27" t="inlineStr">
        <is>
          <t>https://podcasts.apple.com/gb/podcast/rowannorthwood/id1000719</t>
        </is>
      </c>
      <c r="H723" s="27" t="inlineStr">
        <is>
          <t>AP-GB-1000719</t>
        </is>
      </c>
      <c r="I723" s="27" t="inlineStr">
        <is>
          <t>240,000</t>
        </is>
      </c>
      <c r="J723" s="27" t="inlineStr">
        <is>
          <t>2026-10-17</t>
        </is>
      </c>
      <c r="K723" s="27" t="inlineStr">
        <is>
          <t>https://rowannorthwood.com/episodes/120</t>
        </is>
      </c>
      <c r="L723" s="27" t="n">
        <v>17</v>
      </c>
      <c r="M723" s="27" t="n">
        <v>33</v>
      </c>
      <c r="N723" s="27" t="inlineStr">
        <is>
          <t>Newsletter Subscription</t>
        </is>
      </c>
      <c r="O723" s="27" t="inlineStr">
        <is>
          <t>https://rowannorthwood.com/subscribe</t>
        </is>
      </c>
      <c r="P723" s="27" t="inlineStr">
        <is>
          <t>Shorts Repurposing Bottleneck</t>
        </is>
      </c>
      <c r="Q723" s="27" t="inlineStr">
        <is>
          <t>https://rowannorthwood.com/highlights</t>
        </is>
      </c>
      <c r="R723" s="27" t="inlineStr">
        <is>
          <t>Email</t>
        </is>
      </c>
      <c r="S723" s="27" t="inlineStr">
        <is>
          <t>hello@rowannorthwood.com</t>
        </is>
      </c>
      <c r="T723" s="27" t="inlineStr">
        <is>
          <t>https://rowannorthwood.com/work-with-me</t>
        </is>
      </c>
      <c r="U723" s="27" t="inlineStr">
        <is>
          <t>LinkedIn</t>
        </is>
      </c>
      <c r="V723" s="27" t="inlineStr">
        <is>
          <t>e-commerce &amp; digital brands frameworks, specifically regarding episode 20 on E-Commerce &amp; Digital Brands workflow optimization</t>
        </is>
      </c>
      <c r="W723" s="27" t="inlineStr">
        <is>
          <t>Hi Rowan, loved your recent piece on 'e-commerce &amp; digital brands frameworks, specifically regarding episode 20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23" s="27" t="inlineStr">
        <is>
          <t>2026-10-18</t>
        </is>
      </c>
      <c r="Y723" s="27" t="inlineStr">
        <is>
          <t>C</t>
        </is>
      </c>
      <c r="Z723" s="27" t="n">
        <v>76.90000000000001</v>
      </c>
      <c r="AA723" s="27" t="inlineStr">
        <is>
          <t>Qualified</t>
        </is>
      </c>
      <c r="AB723" s="27" t="inlineStr"/>
      <c r="AC723" s="28">
        <f>IF(A723="","",IF(COUNTIF($H$5:$H$1004,H723)&gt;1,"DUPLICATE","UNIQUE"))</f>
        <v/>
      </c>
      <c r="AD723" s="28">
        <f>IF(A723="","",IF(AA723="Rejected",IF(AB723&lt;&gt;"","REJECTED","ADD REASON"),IF(AND(B723&lt;&gt;"",C723&lt;&gt;"",D723&lt;&gt;"",E723&lt;&gt;"",F723&lt;&gt;"",G723&lt;&gt;"",H723&lt;&gt;"",J723&lt;&gt;"",K723&lt;&gt;"",N723&lt;&gt;"",O723&lt;&gt;"",P723&lt;&gt;"",Q723&lt;&gt;"",R723&lt;&gt;"",S723&lt;&gt;"",T723&lt;&gt;"",V723&lt;&gt;"",W723&lt;&gt;"",X723&lt;&gt;"",Y723&lt;&gt;""),"COMPLETE","MISSING FIELDS")))</f>
        <v/>
      </c>
    </row>
    <row r="724" ht="15" customHeight="1" s="15">
      <c r="A724" s="27" t="inlineStr">
        <is>
          <t>LEAD-0720</t>
        </is>
      </c>
      <c r="B724" s="27" t="inlineStr">
        <is>
          <t>Rowan Oakley</t>
        </is>
      </c>
      <c r="C724" s="27" t="inlineStr">
        <is>
          <t>YouTuber</t>
        </is>
      </c>
      <c r="D724" s="27" t="inlineStr">
        <is>
          <t>GB</t>
        </is>
      </c>
      <c r="E724" s="27" t="inlineStr">
        <is>
          <t>English</t>
        </is>
      </c>
      <c r="F724" s="27" t="inlineStr">
        <is>
          <t>YouTube</t>
        </is>
      </c>
      <c r="G724" s="27" t="inlineStr">
        <is>
          <t>https://www.youtube.com/@rowanoakley</t>
        </is>
      </c>
      <c r="H724" s="27" t="inlineStr">
        <is>
          <t>UCGB00720756450</t>
        </is>
      </c>
      <c r="I724" s="27" t="inlineStr">
        <is>
          <t>420,000</t>
        </is>
      </c>
      <c r="J724" s="27" t="inlineStr">
        <is>
          <t>2026-10-10</t>
        </is>
      </c>
      <c r="K724" s="27" t="inlineStr">
        <is>
          <t>https://www.youtube.com/watch?v=gb00720</t>
        </is>
      </c>
      <c r="L724" s="27" t="n">
        <v>8</v>
      </c>
      <c r="M724" s="27" t="n">
        <v>16</v>
      </c>
      <c r="N724" s="27" t="inlineStr">
        <is>
          <t>Affiliate</t>
        </is>
      </c>
      <c r="O724" s="27" t="inlineStr">
        <is>
          <t>https://rowanoakley.com/resources</t>
        </is>
      </c>
      <c r="P724" s="27" t="inlineStr">
        <is>
          <t>Shorts Repurposing Bottleneck</t>
        </is>
      </c>
      <c r="Q724" s="27" t="inlineStr">
        <is>
          <t>https://rowanoakley.com/highlights</t>
        </is>
      </c>
      <c r="R724" s="27" t="inlineStr">
        <is>
          <t>Email</t>
        </is>
      </c>
      <c r="S724" s="27" t="inlineStr">
        <is>
          <t>contact@rowanoakley.com</t>
        </is>
      </c>
      <c r="T724" s="27" t="inlineStr">
        <is>
          <t>https://rowanoakley.com/contact</t>
        </is>
      </c>
      <c r="U724" s="27" t="inlineStr">
        <is>
          <t>LinkedIn</t>
        </is>
      </c>
      <c r="V724" s="27" t="inlineStr">
        <is>
          <t>tech &amp; ai frameworks, specifically regarding episode 21 on Tech &amp; AI workflow optimization</t>
        </is>
      </c>
      <c r="W724" s="27" t="inlineStr">
        <is>
          <t>Hi Rowan, loved your recent piece on 'tech &amp; ai frameworks, specifically regarding episode 21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24" s="27" t="inlineStr">
        <is>
          <t>2026-10-18</t>
        </is>
      </c>
      <c r="Y724" s="27" t="inlineStr">
        <is>
          <t>C</t>
        </is>
      </c>
      <c r="Z724" s="27" t="n">
        <v>76.8</v>
      </c>
      <c r="AA724" s="27" t="inlineStr">
        <is>
          <t>Qualified</t>
        </is>
      </c>
      <c r="AB724" s="27" t="inlineStr"/>
      <c r="AC724" s="28">
        <f>IF(A724="","",IF(COUNTIF($H$5:$H$1004,H724)&gt;1,"DUPLICATE","UNIQUE"))</f>
        <v/>
      </c>
      <c r="AD724" s="28">
        <f>IF(A724="","",IF(AA724="Rejected",IF(AB724&lt;&gt;"","REJECTED","ADD REASON"),IF(AND(B724&lt;&gt;"",C724&lt;&gt;"",D724&lt;&gt;"",E724&lt;&gt;"",F724&lt;&gt;"",G724&lt;&gt;"",H724&lt;&gt;"",J724&lt;&gt;"",K724&lt;&gt;"",N724&lt;&gt;"",O724&lt;&gt;"",P724&lt;&gt;"",Q724&lt;&gt;"",R724&lt;&gt;"",S724&lt;&gt;"",T724&lt;&gt;"",V724&lt;&gt;"",W724&lt;&gt;"",X724&lt;&gt;"",Y724&lt;&gt;""),"COMPLETE","MISSING FIELDS")))</f>
        <v/>
      </c>
    </row>
    <row r="725" ht="15" customHeight="1" s="15">
      <c r="A725" s="27" t="inlineStr">
        <is>
          <t>LEAD-0721</t>
        </is>
      </c>
      <c r="B725" s="27" t="inlineStr">
        <is>
          <t>Rowan Pemberton</t>
        </is>
      </c>
      <c r="C725" s="27" t="inlineStr">
        <is>
          <t>Podcaster</t>
        </is>
      </c>
      <c r="D725" s="27" t="inlineStr">
        <is>
          <t>GB</t>
        </is>
      </c>
      <c r="E725" s="27" t="inlineStr">
        <is>
          <t>English</t>
        </is>
      </c>
      <c r="F725" s="27" t="inlineStr">
        <is>
          <t>Apple Podcasts</t>
        </is>
      </c>
      <c r="G725" s="27" t="inlineStr">
        <is>
          <t>https://podcasts.apple.com/gb/podcast/rowanpemberton/id1000721</t>
        </is>
      </c>
      <c r="H725" s="27" t="inlineStr">
        <is>
          <t>AP-GB-1000721</t>
        </is>
      </c>
      <c r="I725" s="27" t="inlineStr">
        <is>
          <t>264,000</t>
        </is>
      </c>
      <c r="J725" s="27" t="inlineStr">
        <is>
          <t>2026-10-11</t>
        </is>
      </c>
      <c r="K725" s="27" t="inlineStr">
        <is>
          <t>https://rowanpemberton.com/episodes/122</t>
        </is>
      </c>
      <c r="L725" s="27" t="n">
        <v>9</v>
      </c>
      <c r="M725" s="27" t="n">
        <v>17</v>
      </c>
      <c r="N725" s="27" t="inlineStr">
        <is>
          <t>Course</t>
        </is>
      </c>
      <c r="O725" s="27" t="inlineStr">
        <is>
          <t>https://rowanpemberton.com/academy</t>
        </is>
      </c>
      <c r="P725" s="27" t="inlineStr">
        <is>
          <t>Missing Video Captions &amp; Retention Clips</t>
        </is>
      </c>
      <c r="Q725" s="27" t="inlineStr">
        <is>
          <t>https://rowanpemberton.com/highlights</t>
        </is>
      </c>
      <c r="R725" s="27" t="inlineStr">
        <is>
          <t>LinkedIn</t>
        </is>
      </c>
      <c r="S725" s="27" t="inlineStr">
        <is>
          <t>https://linkedin.com/in/rowanpemberton</t>
        </is>
      </c>
      <c r="T725" s="27" t="inlineStr">
        <is>
          <t>https://rowanpemberton.com/about</t>
        </is>
      </c>
      <c r="U725" s="27" t="inlineStr">
        <is>
          <t>Email</t>
        </is>
      </c>
      <c r="V725" s="27" t="inlineStr">
        <is>
          <t>saas &amp; product growth frameworks, specifically regarding episode 22 on SaaS &amp; Product Growth workflow optimization</t>
        </is>
      </c>
      <c r="W725" s="27" t="inlineStr">
        <is>
          <t>Hi Rowan, loved your recent piece on 'saas &amp; product growth frameworks, specifically regarding episode 22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25" s="27" t="inlineStr">
        <is>
          <t>2026-10-18</t>
        </is>
      </c>
      <c r="Y725" s="27" t="inlineStr">
        <is>
          <t>C</t>
        </is>
      </c>
      <c r="Z725" s="27" t="n">
        <v>76.7</v>
      </c>
      <c r="AA725" s="27" t="inlineStr">
        <is>
          <t>Qualified</t>
        </is>
      </c>
      <c r="AB725" s="27" t="inlineStr"/>
      <c r="AC725" s="28">
        <f>IF(A725="","",IF(COUNTIF($H$5:$H$1004,H725)&gt;1,"DUPLICATE","UNIQUE"))</f>
        <v/>
      </c>
      <c r="AD725" s="28">
        <f>IF(A725="","",IF(AA725="Rejected",IF(AB725&lt;&gt;"","REJECTED","ADD REASON"),IF(AND(B725&lt;&gt;"",C725&lt;&gt;"",D725&lt;&gt;"",E725&lt;&gt;"",F725&lt;&gt;"",G725&lt;&gt;"",H725&lt;&gt;"",J725&lt;&gt;"",K725&lt;&gt;"",N725&lt;&gt;"",O725&lt;&gt;"",P725&lt;&gt;"",Q725&lt;&gt;"",R725&lt;&gt;"",S725&lt;&gt;"",T725&lt;&gt;"",V725&lt;&gt;"",W725&lt;&gt;"",X725&lt;&gt;"",Y725&lt;&gt;""),"COMPLETE","MISSING FIELDS")))</f>
        <v/>
      </c>
    </row>
    <row r="726" ht="15" customHeight="1" s="15">
      <c r="A726" s="27" t="inlineStr">
        <is>
          <t>LEAD-0722</t>
        </is>
      </c>
      <c r="B726" s="27" t="inlineStr">
        <is>
          <t>Rowan Quatermain</t>
        </is>
      </c>
      <c r="C726" s="27" t="inlineStr">
        <is>
          <t>Expert-Led Creator</t>
        </is>
      </c>
      <c r="D726" s="27" t="inlineStr">
        <is>
          <t>CA</t>
        </is>
      </c>
      <c r="E726" s="27" t="inlineStr">
        <is>
          <t>English</t>
        </is>
      </c>
      <c r="F726" s="27" t="inlineStr">
        <is>
          <t>YouTube</t>
        </is>
      </c>
      <c r="G726" s="27" t="inlineStr">
        <is>
          <t>https://www.youtube.com/@rowanquatermain</t>
        </is>
      </c>
      <c r="H726" s="27" t="inlineStr">
        <is>
          <t>UCCA00722523217</t>
        </is>
      </c>
      <c r="I726" s="27" t="inlineStr">
        <is>
          <t>460,000</t>
        </is>
      </c>
      <c r="J726" s="27" t="inlineStr">
        <is>
          <t>2026-10-12</t>
        </is>
      </c>
      <c r="K726" s="27" t="inlineStr">
        <is>
          <t>https://www.youtube.com/watch?v=ca00722</t>
        </is>
      </c>
      <c r="L726" s="27" t="n">
        <v>10</v>
      </c>
      <c r="M726" s="27" t="n">
        <v>18</v>
      </c>
      <c r="N726" s="27" t="inlineStr">
        <is>
          <t>Sponsor</t>
        </is>
      </c>
      <c r="O726" s="27" t="inlineStr">
        <is>
          <t>https://rowanquatermain.com/partners</t>
        </is>
      </c>
      <c r="P726" s="27" t="inlineStr">
        <is>
          <t>Editing Backlog &amp; Team Workflow Overhead</t>
        </is>
      </c>
      <c r="Q726" s="27" t="inlineStr">
        <is>
          <t>https://rowanquatermain.com/highlights</t>
        </is>
      </c>
      <c r="R726" s="27" t="inlineStr">
        <is>
          <t>X (Twitter)</t>
        </is>
      </c>
      <c r="S726" s="27" t="inlineStr">
        <is>
          <t>https://x.com/rowanquatermain</t>
        </is>
      </c>
      <c r="T726" s="27" t="inlineStr">
        <is>
          <t>https://rowanquatermain.com/links</t>
        </is>
      </c>
      <c r="U726" s="27" t="inlineStr">
        <is>
          <t>LinkedIn</t>
        </is>
      </c>
      <c r="V726" s="27" t="inlineStr">
        <is>
          <t>creator business &amp; monetization frameworks, specifically regarding episode 23 on Creator Business &amp; Monetization workflow optimization</t>
        </is>
      </c>
      <c r="W726" s="27" t="inlineStr">
        <is>
          <t>Hi Rowan, loved your recent piece on 'creator business &amp; monetization frameworks, specifically regarding episode 23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26" s="27" t="inlineStr">
        <is>
          <t>2026-10-18</t>
        </is>
      </c>
      <c r="Y726" s="27" t="inlineStr">
        <is>
          <t>C</t>
        </is>
      </c>
      <c r="Z726" s="27" t="n">
        <v>76.7</v>
      </c>
      <c r="AA726" s="27" t="inlineStr">
        <is>
          <t>Qualified</t>
        </is>
      </c>
      <c r="AB726" s="27" t="inlineStr"/>
      <c r="AC726" s="28">
        <f>IF(A726="","",IF(COUNTIF($H$5:$H$1004,H726)&gt;1,"DUPLICATE","UNIQUE"))</f>
        <v/>
      </c>
      <c r="AD726" s="28">
        <f>IF(A726="","",IF(AA726="Rejected",IF(AB726&lt;&gt;"","REJECTED","ADD REASON"),IF(AND(B726&lt;&gt;"",C726&lt;&gt;"",D726&lt;&gt;"",E726&lt;&gt;"",F726&lt;&gt;"",G726&lt;&gt;"",H726&lt;&gt;"",J726&lt;&gt;"",K726&lt;&gt;"",N726&lt;&gt;"",O726&lt;&gt;"",P726&lt;&gt;"",Q726&lt;&gt;"",R726&lt;&gt;"",S726&lt;&gt;"",T726&lt;&gt;"",V726&lt;&gt;"",W726&lt;&gt;"",X726&lt;&gt;"",Y726&lt;&gt;""),"COMPLETE","MISSING FIELDS")))</f>
        <v/>
      </c>
    </row>
    <row r="727" ht="15" customHeight="1" s="15">
      <c r="A727" s="27" t="inlineStr">
        <is>
          <t>LEAD-0723</t>
        </is>
      </c>
      <c r="B727" s="27" t="inlineStr">
        <is>
          <t>Rowan Radcliffe</t>
        </is>
      </c>
      <c r="C727" s="27" t="inlineStr">
        <is>
          <t>YouTuber</t>
        </is>
      </c>
      <c r="D727" s="27" t="inlineStr">
        <is>
          <t>CA</t>
        </is>
      </c>
      <c r="E727" s="27" t="inlineStr">
        <is>
          <t>English</t>
        </is>
      </c>
      <c r="F727" s="27" t="inlineStr">
        <is>
          <t>YouTube</t>
        </is>
      </c>
      <c r="G727" s="27" t="inlineStr">
        <is>
          <t>https://www.youtube.com/@rowanradcliffe</t>
        </is>
      </c>
      <c r="H727" s="27" t="inlineStr">
        <is>
          <t>UCCA00723513033</t>
        </is>
      </c>
      <c r="I727" s="27" t="inlineStr">
        <is>
          <t>480,000</t>
        </is>
      </c>
      <c r="J727" s="27" t="inlineStr">
        <is>
          <t>2026-10-13</t>
        </is>
      </c>
      <c r="K727" s="27" t="inlineStr">
        <is>
          <t>https://www.youtube.com/watch?v=ca00723</t>
        </is>
      </c>
      <c r="L727" s="27" t="n">
        <v>11</v>
      </c>
      <c r="M727" s="27" t="n">
        <v>19</v>
      </c>
      <c r="N727" s="27" t="inlineStr">
        <is>
          <t>Membership</t>
        </is>
      </c>
      <c r="O727" s="27" t="inlineStr">
        <is>
          <t>https://rowanradcliffe.com/community</t>
        </is>
      </c>
      <c r="P727" s="27" t="inlineStr">
        <is>
          <t>Shorts Repurposing Bottleneck</t>
        </is>
      </c>
      <c r="Q727" s="27" t="inlineStr">
        <is>
          <t>https://rowanradcliffe.com/highlights</t>
        </is>
      </c>
      <c r="R727" s="27" t="inlineStr">
        <is>
          <t>Email</t>
        </is>
      </c>
      <c r="S727" s="27" t="inlineStr">
        <is>
          <t>hello@rowanradcliffe.com</t>
        </is>
      </c>
      <c r="T727" s="27" t="inlineStr">
        <is>
          <t>https://rowanradcliffe.com/work-with-me</t>
        </is>
      </c>
      <c r="U727" s="27" t="inlineStr">
        <is>
          <t>LinkedIn</t>
        </is>
      </c>
      <c r="V727" s="27" t="inlineStr">
        <is>
          <t>productivity &amp; personal systems frameworks, specifically regarding episode 24 on Productivity &amp; Personal Systems workflow optimization</t>
        </is>
      </c>
      <c r="W727" s="27" t="inlineStr">
        <is>
          <t>Hi Rowan, loved your recent piece on 'productivity &amp; personal systems frameworks, specifically regarding episode 24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27" s="27" t="inlineStr">
        <is>
          <t>2026-10-18</t>
        </is>
      </c>
      <c r="Y727" s="27" t="inlineStr">
        <is>
          <t>C</t>
        </is>
      </c>
      <c r="Z727" s="27" t="n">
        <v>76.59999999999999</v>
      </c>
      <c r="AA727" s="27" t="inlineStr">
        <is>
          <t>Qualified</t>
        </is>
      </c>
      <c r="AB727" s="27" t="inlineStr"/>
      <c r="AC727" s="28">
        <f>IF(A727="","",IF(COUNTIF($H$5:$H$1004,H727)&gt;1,"DUPLICATE","UNIQUE"))</f>
        <v/>
      </c>
      <c r="AD727" s="28">
        <f>IF(A727="","",IF(AA727="Rejected",IF(AB727&lt;&gt;"","REJECTED","ADD REASON"),IF(AND(B727&lt;&gt;"",C727&lt;&gt;"",D727&lt;&gt;"",E727&lt;&gt;"",F727&lt;&gt;"",G727&lt;&gt;"",H727&lt;&gt;"",J727&lt;&gt;"",K727&lt;&gt;"",N727&lt;&gt;"",O727&lt;&gt;"",P727&lt;&gt;"",Q727&lt;&gt;"",R727&lt;&gt;"",S727&lt;&gt;"",T727&lt;&gt;"",V727&lt;&gt;"",W727&lt;&gt;"",X727&lt;&gt;"",Y727&lt;&gt;""),"COMPLETE","MISSING FIELDS")))</f>
        <v/>
      </c>
    </row>
    <row r="728" ht="15" customHeight="1" s="15">
      <c r="A728" s="27" t="inlineStr">
        <is>
          <t>LEAD-0724</t>
        </is>
      </c>
      <c r="B728" s="27" t="inlineStr">
        <is>
          <t>Rowan Stanhope</t>
        </is>
      </c>
      <c r="C728" s="27" t="inlineStr">
        <is>
          <t>Podcaster</t>
        </is>
      </c>
      <c r="D728" s="27" t="inlineStr">
        <is>
          <t>CA</t>
        </is>
      </c>
      <c r="E728" s="27" t="inlineStr">
        <is>
          <t>English</t>
        </is>
      </c>
      <c r="F728" s="27" t="inlineStr">
        <is>
          <t>Apple Podcasts</t>
        </is>
      </c>
      <c r="G728" s="27" t="inlineStr">
        <is>
          <t>https://podcasts.apple.com/ca/podcast/rowanstanhope/id1000724</t>
        </is>
      </c>
      <c r="H728" s="27" t="inlineStr">
        <is>
          <t>AP-CA-1000724</t>
        </is>
      </c>
      <c r="I728" s="27" t="inlineStr">
        <is>
          <t>300,000</t>
        </is>
      </c>
      <c r="J728" s="27" t="inlineStr">
        <is>
          <t>2026-10-14</t>
        </is>
      </c>
      <c r="K728" s="27" t="inlineStr">
        <is>
          <t>https://rowanstanhope.com/episodes/125</t>
        </is>
      </c>
      <c r="L728" s="27" t="n">
        <v>12</v>
      </c>
      <c r="M728" s="27" t="n">
        <v>20</v>
      </c>
      <c r="N728" s="27" t="inlineStr">
        <is>
          <t>Product</t>
        </is>
      </c>
      <c r="O728" s="27" t="inlineStr">
        <is>
          <t>https://rowanstanhope.com/shop</t>
        </is>
      </c>
      <c r="P728" s="27" t="inlineStr">
        <is>
          <t>Inconsistent Cross-Platform Publishing</t>
        </is>
      </c>
      <c r="Q728" s="27" t="inlineStr">
        <is>
          <t>https://rowanstanhope.com/highlights</t>
        </is>
      </c>
      <c r="R728" s="27" t="inlineStr">
        <is>
          <t>Email</t>
        </is>
      </c>
      <c r="S728" s="27" t="inlineStr">
        <is>
          <t>contact@rowanstanhope.com</t>
        </is>
      </c>
      <c r="T728" s="27" t="inlineStr">
        <is>
          <t>https://rowanstanhope.com/contact</t>
        </is>
      </c>
      <c r="U728" s="27" t="inlineStr">
        <is>
          <t>LinkedIn</t>
        </is>
      </c>
      <c r="V728" s="27" t="inlineStr">
        <is>
          <t>leadership &amp; team ops frameworks, specifically regarding episode 25 on Leadership &amp; Team Ops workflow optimization</t>
        </is>
      </c>
      <c r="W728" s="27" t="inlineStr">
        <is>
          <t>Hi Rowan, loved your recent piece on 'leadership &amp; team ops frameworks, specifically regarding episode 25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28" s="27" t="inlineStr">
        <is>
          <t>2026-10-18</t>
        </is>
      </c>
      <c r="Y728" s="27" t="inlineStr">
        <is>
          <t>C</t>
        </is>
      </c>
      <c r="Z728" s="27" t="n">
        <v>76.59999999999999</v>
      </c>
      <c r="AA728" s="27" t="inlineStr">
        <is>
          <t>Qualified</t>
        </is>
      </c>
      <c r="AB728" s="27" t="inlineStr"/>
      <c r="AC728" s="28">
        <f>IF(A728="","",IF(COUNTIF($H$5:$H$1004,H728)&gt;1,"DUPLICATE","UNIQUE"))</f>
        <v/>
      </c>
      <c r="AD728" s="28">
        <f>IF(A728="","",IF(AA728="Rejected",IF(AB728&lt;&gt;"","REJECTED","ADD REASON"),IF(AND(B728&lt;&gt;"",C728&lt;&gt;"",D728&lt;&gt;"",E728&lt;&gt;"",F728&lt;&gt;"",G728&lt;&gt;"",H728&lt;&gt;"",J728&lt;&gt;"",K728&lt;&gt;"",N728&lt;&gt;"",O728&lt;&gt;"",P728&lt;&gt;"",Q728&lt;&gt;"",R728&lt;&gt;"",S728&lt;&gt;"",T728&lt;&gt;"",V728&lt;&gt;"",W728&lt;&gt;"",X728&lt;&gt;"",Y728&lt;&gt;""),"COMPLETE","MISSING FIELDS")))</f>
        <v/>
      </c>
    </row>
    <row r="729" ht="15" customHeight="1" s="15">
      <c r="A729" s="27" t="inlineStr">
        <is>
          <t>LEAD-0725</t>
        </is>
      </c>
      <c r="B729" s="27" t="inlineStr">
        <is>
          <t>Rowan Thackery</t>
        </is>
      </c>
      <c r="C729" s="27" t="inlineStr">
        <is>
          <t>Expert-Led Creator</t>
        </is>
      </c>
      <c r="D729" s="27" t="inlineStr">
        <is>
          <t>CA</t>
        </is>
      </c>
      <c r="E729" s="27" t="inlineStr">
        <is>
          <t>English</t>
        </is>
      </c>
      <c r="F729" s="27" t="inlineStr">
        <is>
          <t>LinkedIn</t>
        </is>
      </c>
      <c r="G729" s="27" t="inlineStr">
        <is>
          <t>https://www.linkedin.com/in/rowanthackery</t>
        </is>
      </c>
      <c r="H729" s="27" t="inlineStr">
        <is>
          <t>LI-rowanthackery-0725</t>
        </is>
      </c>
      <c r="I729" s="27" t="inlineStr">
        <is>
          <t>36,000</t>
        </is>
      </c>
      <c r="J729" s="27" t="inlineStr">
        <is>
          <t>2026-10-15</t>
        </is>
      </c>
      <c r="K729" s="27" t="inlineStr">
        <is>
          <t>https://rowanthackery.com/posts/126</t>
        </is>
      </c>
      <c r="L729" s="27" t="n">
        <v>13</v>
      </c>
      <c r="M729" s="27" t="n">
        <v>21</v>
      </c>
      <c r="N729" s="27" t="inlineStr">
        <is>
          <t>Consulting</t>
        </is>
      </c>
      <c r="O729" s="27" t="inlineStr">
        <is>
          <t>https://rowanthackery.com/advisory</t>
        </is>
      </c>
      <c r="P729" s="27" t="inlineStr">
        <is>
          <t>Editing Backlog &amp; Team Workflow Overhead</t>
        </is>
      </c>
      <c r="Q729" s="27" t="inlineStr">
        <is>
          <t>https://rowanthackery.com/highlights</t>
        </is>
      </c>
      <c r="R729" s="27" t="inlineStr">
        <is>
          <t>LinkedIn</t>
        </is>
      </c>
      <c r="S729" s="27" t="inlineStr">
        <is>
          <t>https://linkedin.com/in/rowanthackery</t>
        </is>
      </c>
      <c r="T729" s="27" t="inlineStr">
        <is>
          <t>https://rowanthackery.com/about</t>
        </is>
      </c>
      <c r="U729" s="27" t="inlineStr">
        <is>
          <t>Email</t>
        </is>
      </c>
      <c r="V729" s="27" t="inlineStr">
        <is>
          <t>b2b marketing &amp; sales frameworks, specifically regarding episode 26 on B2B Marketing &amp; Sales workflow optimization</t>
        </is>
      </c>
      <c r="W729" s="27" t="inlineStr">
        <is>
          <t>Hi Rowan, loved your recent piece on 'b2b marketing &amp; sales frameworks, specifically regarding episode 26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29" s="27" t="inlineStr">
        <is>
          <t>2026-10-18</t>
        </is>
      </c>
      <c r="Y729" s="27" t="inlineStr">
        <is>
          <t>C</t>
        </is>
      </c>
      <c r="Z729" s="27" t="n">
        <v>76.5</v>
      </c>
      <c r="AA729" s="27" t="inlineStr">
        <is>
          <t>Qualified</t>
        </is>
      </c>
      <c r="AB729" s="27" t="inlineStr"/>
      <c r="AC729" s="28">
        <f>IF(A729="","",IF(COUNTIF($H$5:$H$1004,H729)&gt;1,"DUPLICATE","UNIQUE"))</f>
        <v/>
      </c>
      <c r="AD729" s="28">
        <f>IF(A729="","",IF(AA729="Rejected",IF(AB729&lt;&gt;"","REJECTED","ADD REASON"),IF(AND(B729&lt;&gt;"",C729&lt;&gt;"",D729&lt;&gt;"",E729&lt;&gt;"",F729&lt;&gt;"",G729&lt;&gt;"",H729&lt;&gt;"",J729&lt;&gt;"",K729&lt;&gt;"",N729&lt;&gt;"",O729&lt;&gt;"",P729&lt;&gt;"",Q729&lt;&gt;"",R729&lt;&gt;"",S729&lt;&gt;"",T729&lt;&gt;"",V729&lt;&gt;"",W729&lt;&gt;"",X729&lt;&gt;"",Y729&lt;&gt;""),"COMPLETE","MISSING FIELDS")))</f>
        <v/>
      </c>
    </row>
    <row r="730" ht="15" customHeight="1" s="15">
      <c r="A730" s="27" t="inlineStr">
        <is>
          <t>LEAD-0726</t>
        </is>
      </c>
      <c r="B730" s="27" t="inlineStr">
        <is>
          <t>Rowan Underwood</t>
        </is>
      </c>
      <c r="C730" s="27" t="inlineStr">
        <is>
          <t>YouTuber</t>
        </is>
      </c>
      <c r="D730" s="27" t="inlineStr">
        <is>
          <t>CA</t>
        </is>
      </c>
      <c r="E730" s="27" t="inlineStr">
        <is>
          <t>English</t>
        </is>
      </c>
      <c r="F730" s="27" t="inlineStr">
        <is>
          <t>YouTube</t>
        </is>
      </c>
      <c r="G730" s="27" t="inlineStr">
        <is>
          <t>https://www.youtube.com/@rowanunderwood</t>
        </is>
      </c>
      <c r="H730" s="27" t="inlineStr">
        <is>
          <t>UCCA00726648816</t>
        </is>
      </c>
      <c r="I730" s="27" t="inlineStr">
        <is>
          <t>540,000</t>
        </is>
      </c>
      <c r="J730" s="27" t="inlineStr">
        <is>
          <t>2026-10-16</t>
        </is>
      </c>
      <c r="K730" s="27" t="inlineStr">
        <is>
          <t>https://www.youtube.com/watch?v=ca00726</t>
        </is>
      </c>
      <c r="L730" s="27" t="n">
        <v>14</v>
      </c>
      <c r="M730" s="27" t="n">
        <v>22</v>
      </c>
      <c r="N730" s="27" t="inlineStr">
        <is>
          <t>Newsletter Subscription</t>
        </is>
      </c>
      <c r="O730" s="27" t="inlineStr">
        <is>
          <t>https://rowanunderwood.com/subscribe</t>
        </is>
      </c>
      <c r="P730" s="27" t="inlineStr">
        <is>
          <t>Multilingual Audio Dubbing</t>
        </is>
      </c>
      <c r="Q730" s="27" t="inlineStr">
        <is>
          <t>https://rowanunderwood.com/highlights</t>
        </is>
      </c>
      <c r="R730" s="27" t="inlineStr">
        <is>
          <t>X (Twitter)</t>
        </is>
      </c>
      <c r="S730" s="27" t="inlineStr">
        <is>
          <t>https://x.com/rowanunderwood</t>
        </is>
      </c>
      <c r="T730" s="27" t="inlineStr">
        <is>
          <t>https://rowanunderwood.com/links</t>
        </is>
      </c>
      <c r="U730" s="27" t="inlineStr">
        <is>
          <t>LinkedIn</t>
        </is>
      </c>
      <c r="V730" s="27" t="inlineStr">
        <is>
          <t>finance &amp; wealth engineering frameworks, specifically regarding episode 27 on Finance &amp; Wealth Engineering workflow optimization</t>
        </is>
      </c>
      <c r="W730" s="27" t="inlineStr">
        <is>
          <t>Hi Rowan,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30" s="27" t="inlineStr">
        <is>
          <t>2026-10-18</t>
        </is>
      </c>
      <c r="Y730" s="27" t="inlineStr">
        <is>
          <t>C</t>
        </is>
      </c>
      <c r="Z730" s="27" t="n">
        <v>76.40000000000001</v>
      </c>
      <c r="AA730" s="27" t="inlineStr">
        <is>
          <t>Qualified</t>
        </is>
      </c>
      <c r="AB730" s="27" t="inlineStr"/>
      <c r="AC730" s="28">
        <f>IF(A730="","",IF(COUNTIF($H$5:$H$1004,H730)&gt;1,"DUPLICATE","UNIQUE"))</f>
        <v/>
      </c>
      <c r="AD730" s="28">
        <f>IF(A730="","",IF(AA730="Rejected",IF(AB730&lt;&gt;"","REJECTED","ADD REASON"),IF(AND(B730&lt;&gt;"",C730&lt;&gt;"",D730&lt;&gt;"",E730&lt;&gt;"",F730&lt;&gt;"",G730&lt;&gt;"",H730&lt;&gt;"",J730&lt;&gt;"",K730&lt;&gt;"",N730&lt;&gt;"",O730&lt;&gt;"",P730&lt;&gt;"",Q730&lt;&gt;"",R730&lt;&gt;"",S730&lt;&gt;"",T730&lt;&gt;"",V730&lt;&gt;"",W730&lt;&gt;"",X730&lt;&gt;"",Y730&lt;&gt;""),"COMPLETE","MISSING FIELDS")))</f>
        <v/>
      </c>
    </row>
    <row r="731" ht="15" customHeight="1" s="15">
      <c r="A731" s="27" t="inlineStr">
        <is>
          <t>LEAD-0727</t>
        </is>
      </c>
      <c r="B731" s="27" t="inlineStr">
        <is>
          <t>Rowan Vanguard</t>
        </is>
      </c>
      <c r="C731" s="27" t="inlineStr">
        <is>
          <t>Podcaster</t>
        </is>
      </c>
      <c r="D731" s="27" t="inlineStr">
        <is>
          <t>CA</t>
        </is>
      </c>
      <c r="E731" s="27" t="inlineStr">
        <is>
          <t>English</t>
        </is>
      </c>
      <c r="F731" s="27" t="inlineStr">
        <is>
          <t>Apple Podcasts</t>
        </is>
      </c>
      <c r="G731" s="27" t="inlineStr">
        <is>
          <t>https://podcasts.apple.com/ca/podcast/rowanvanguard/id1000727</t>
        </is>
      </c>
      <c r="H731" s="27" t="inlineStr">
        <is>
          <t>AP-CA-1000727</t>
        </is>
      </c>
      <c r="I731" s="27" t="inlineStr">
        <is>
          <t>36,000</t>
        </is>
      </c>
      <c r="J731" s="27" t="inlineStr">
        <is>
          <t>2026-10-17</t>
        </is>
      </c>
      <c r="K731" s="27" t="inlineStr">
        <is>
          <t>https://rowanvanguard.com/episodes/128</t>
        </is>
      </c>
      <c r="L731" s="27" t="n">
        <v>15</v>
      </c>
      <c r="M731" s="27" t="n">
        <v>23</v>
      </c>
      <c r="N731" s="27" t="inlineStr">
        <is>
          <t>Affiliate</t>
        </is>
      </c>
      <c r="O731" s="27" t="inlineStr">
        <is>
          <t>https://rowanvanguard.com/resources</t>
        </is>
      </c>
      <c r="P731" s="27" t="inlineStr">
        <is>
          <t>Multilingual Audio Dubbing</t>
        </is>
      </c>
      <c r="Q731" s="27" t="inlineStr">
        <is>
          <t>https://rowanvanguard.com/highlights</t>
        </is>
      </c>
      <c r="R731" s="27" t="inlineStr">
        <is>
          <t>Email</t>
        </is>
      </c>
      <c r="S731" s="27" t="inlineStr">
        <is>
          <t>hello@rowanvanguard.com</t>
        </is>
      </c>
      <c r="T731" s="27" t="inlineStr">
        <is>
          <t>https://rowanvanguard.com/work-with-me</t>
        </is>
      </c>
      <c r="U731" s="27" t="inlineStr">
        <is>
          <t>LinkedIn</t>
        </is>
      </c>
      <c r="V731" s="27" t="inlineStr">
        <is>
          <t>health &amp; longevity science frameworks, specifically regarding episode 28 on Health &amp; Longevity Science workflow optimization</t>
        </is>
      </c>
      <c r="W731" s="27" t="inlineStr">
        <is>
          <t>Hi Rowan,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31" s="27" t="inlineStr">
        <is>
          <t>2026-10-18</t>
        </is>
      </c>
      <c r="Y731" s="27" t="inlineStr">
        <is>
          <t>C</t>
        </is>
      </c>
      <c r="Z731" s="27" t="n">
        <v>76.40000000000001</v>
      </c>
      <c r="AA731" s="27" t="inlineStr">
        <is>
          <t>Qualified</t>
        </is>
      </c>
      <c r="AB731" s="27" t="inlineStr"/>
      <c r="AC731" s="28">
        <f>IF(A731="","",IF(COUNTIF($H$5:$H$1004,H731)&gt;1,"DUPLICATE","UNIQUE"))</f>
        <v/>
      </c>
      <c r="AD731" s="28">
        <f>IF(A731="","",IF(AA731="Rejected",IF(AB731&lt;&gt;"","REJECTED","ADD REASON"),IF(AND(B731&lt;&gt;"",C731&lt;&gt;"",D731&lt;&gt;"",E731&lt;&gt;"",F731&lt;&gt;"",G731&lt;&gt;"",H731&lt;&gt;"",J731&lt;&gt;"",K731&lt;&gt;"",N731&lt;&gt;"",O731&lt;&gt;"",P731&lt;&gt;"",Q731&lt;&gt;"",R731&lt;&gt;"",S731&lt;&gt;"",T731&lt;&gt;"",V731&lt;&gt;"",W731&lt;&gt;"",X731&lt;&gt;"",Y731&lt;&gt;""),"COMPLETE","MISSING FIELDS")))</f>
        <v/>
      </c>
    </row>
    <row r="732" ht="15" customHeight="1" s="15">
      <c r="A732" s="27" t="inlineStr">
        <is>
          <t>LEAD-0728</t>
        </is>
      </c>
      <c r="B732" s="27" t="inlineStr">
        <is>
          <t>Rowan Waverly</t>
        </is>
      </c>
      <c r="C732" s="27" t="inlineStr">
        <is>
          <t>YouTuber</t>
        </is>
      </c>
      <c r="D732" s="27" t="inlineStr">
        <is>
          <t>CA</t>
        </is>
      </c>
      <c r="E732" s="27" t="inlineStr">
        <is>
          <t>English</t>
        </is>
      </c>
      <c r="F732" s="27" t="inlineStr">
        <is>
          <t>YouTube</t>
        </is>
      </c>
      <c r="G732" s="27" t="inlineStr">
        <is>
          <t>https://www.youtube.com/@rowanwaverly</t>
        </is>
      </c>
      <c r="H732" s="27" t="inlineStr">
        <is>
          <t>UCCA00728590555</t>
        </is>
      </c>
      <c r="I732" s="27" t="inlineStr">
        <is>
          <t>580,000</t>
        </is>
      </c>
      <c r="J732" s="27" t="inlineStr">
        <is>
          <t>2026-10-10</t>
        </is>
      </c>
      <c r="K732" s="27" t="inlineStr">
        <is>
          <t>https://www.youtube.com/watch?v=ca00728</t>
        </is>
      </c>
      <c r="L732" s="27" t="n">
        <v>16</v>
      </c>
      <c r="M732" s="27" t="n">
        <v>24</v>
      </c>
      <c r="N732" s="27" t="inlineStr">
        <is>
          <t>Course</t>
        </is>
      </c>
      <c r="O732" s="27" t="inlineStr">
        <is>
          <t>https://rowanwaverly.com/academy</t>
        </is>
      </c>
      <c r="P732" s="27" t="inlineStr">
        <is>
          <t>Missing Video Captions &amp; Retention Clips</t>
        </is>
      </c>
      <c r="Q732" s="27" t="inlineStr">
        <is>
          <t>https://rowanwaverly.com/highlights</t>
        </is>
      </c>
      <c r="R732" s="27" t="inlineStr">
        <is>
          <t>Email</t>
        </is>
      </c>
      <c r="S732" s="27" t="inlineStr">
        <is>
          <t>contact@rowanwaverly.com</t>
        </is>
      </c>
      <c r="T732" s="27" t="inlineStr">
        <is>
          <t>https://rowanwaverly.com/contact</t>
        </is>
      </c>
      <c r="U732" s="27" t="inlineStr">
        <is>
          <t>LinkedIn</t>
        </is>
      </c>
      <c r="V732" s="27" t="inlineStr">
        <is>
          <t>education &amp; applied coding frameworks, specifically regarding episode 29 on Education &amp; Applied Coding workflow optimization</t>
        </is>
      </c>
      <c r="W732" s="27" t="inlineStr">
        <is>
          <t>Hi Rowan,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32" s="27" t="inlineStr">
        <is>
          <t>2026-10-18</t>
        </is>
      </c>
      <c r="Y732" s="27" t="inlineStr">
        <is>
          <t>C</t>
        </is>
      </c>
      <c r="Z732" s="27" t="n">
        <v>76.3</v>
      </c>
      <c r="AA732" s="27" t="inlineStr">
        <is>
          <t>Qualified</t>
        </is>
      </c>
      <c r="AB732" s="27" t="inlineStr"/>
      <c r="AC732" s="28">
        <f>IF(A732="","",IF(COUNTIF($H$5:$H$1004,H732)&gt;1,"DUPLICATE","UNIQUE"))</f>
        <v/>
      </c>
      <c r="AD732" s="28">
        <f>IF(A732="","",IF(AA732="Rejected",IF(AB732&lt;&gt;"","REJECTED","ADD REASON"),IF(AND(B732&lt;&gt;"",C732&lt;&gt;"",D732&lt;&gt;"",E732&lt;&gt;"",F732&lt;&gt;"",G732&lt;&gt;"",H732&lt;&gt;"",J732&lt;&gt;"",K732&lt;&gt;"",N732&lt;&gt;"",O732&lt;&gt;"",P732&lt;&gt;"",Q732&lt;&gt;"",R732&lt;&gt;"",S732&lt;&gt;"",T732&lt;&gt;"",V732&lt;&gt;"",W732&lt;&gt;"",X732&lt;&gt;"",Y732&lt;&gt;""),"COMPLETE","MISSING FIELDS")))</f>
        <v/>
      </c>
    </row>
    <row r="733" ht="15" customHeight="1" s="15">
      <c r="A733" s="27" t="inlineStr">
        <is>
          <t>LEAD-0729</t>
        </is>
      </c>
      <c r="B733" s="27" t="inlineStr">
        <is>
          <t>Rowan Yardley</t>
        </is>
      </c>
      <c r="C733" s="27" t="inlineStr">
        <is>
          <t>Podcaster</t>
        </is>
      </c>
      <c r="D733" s="27" t="inlineStr">
        <is>
          <t>CA</t>
        </is>
      </c>
      <c r="E733" s="27" t="inlineStr">
        <is>
          <t>English</t>
        </is>
      </c>
      <c r="F733" s="27" t="inlineStr">
        <is>
          <t>Apple Podcasts</t>
        </is>
      </c>
      <c r="G733" s="27" t="inlineStr">
        <is>
          <t>https://podcasts.apple.com/ca/podcast/rowanyardley/id1000729</t>
        </is>
      </c>
      <c r="H733" s="27" t="inlineStr">
        <is>
          <t>AP-CA-1000729</t>
        </is>
      </c>
      <c r="I733" s="27" t="inlineStr">
        <is>
          <t>60,000</t>
        </is>
      </c>
      <c r="J733" s="27" t="inlineStr">
        <is>
          <t>2026-10-11</t>
        </is>
      </c>
      <c r="K733" s="27" t="inlineStr">
        <is>
          <t>https://rowanyardley.com/episodes/130</t>
        </is>
      </c>
      <c r="L733" s="27" t="n">
        <v>17</v>
      </c>
      <c r="M733" s="27" t="n">
        <v>25</v>
      </c>
      <c r="N733" s="27" t="inlineStr">
        <is>
          <t>Sponsor</t>
        </is>
      </c>
      <c r="O733" s="27" t="inlineStr">
        <is>
          <t>https://rowanyardley.com/partners</t>
        </is>
      </c>
      <c r="P733" s="27" t="inlineStr">
        <is>
          <t>Shorts Repurposing Bottleneck</t>
        </is>
      </c>
      <c r="Q733" s="27" t="inlineStr">
        <is>
          <t>https://rowanyardley.com/highlights</t>
        </is>
      </c>
      <c r="R733" s="27" t="inlineStr">
        <is>
          <t>LinkedIn</t>
        </is>
      </c>
      <c r="S733" s="27" t="inlineStr">
        <is>
          <t>https://linkedin.com/in/rowanyardley</t>
        </is>
      </c>
      <c r="T733" s="27" t="inlineStr">
        <is>
          <t>https://rowanyardley.com/about</t>
        </is>
      </c>
      <c r="U733" s="27" t="inlineStr">
        <is>
          <t>Email</t>
        </is>
      </c>
      <c r="V733" s="27" t="inlineStr">
        <is>
          <t>e-commerce &amp; digital brands frameworks, specifically regarding episode 30 on E-Commerce &amp; Digital Brands workflow optimization</t>
        </is>
      </c>
      <c r="W733" s="27" t="inlineStr">
        <is>
          <t>Hi Rowan,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33" s="27" t="inlineStr">
        <is>
          <t>2026-10-18</t>
        </is>
      </c>
      <c r="Y733" s="27" t="inlineStr">
        <is>
          <t>C</t>
        </is>
      </c>
      <c r="Z733" s="27" t="n">
        <v>76.3</v>
      </c>
      <c r="AA733" s="27" t="inlineStr">
        <is>
          <t>Qualified</t>
        </is>
      </c>
      <c r="AB733" s="27" t="inlineStr"/>
      <c r="AC733" s="28">
        <f>IF(A733="","",IF(COUNTIF($H$5:$H$1004,H733)&gt;1,"DUPLICATE","UNIQUE"))</f>
        <v/>
      </c>
      <c r="AD733" s="28">
        <f>IF(A733="","",IF(AA733="Rejected",IF(AB733&lt;&gt;"","REJECTED","ADD REASON"),IF(AND(B733&lt;&gt;"",C733&lt;&gt;"",D733&lt;&gt;"",E733&lt;&gt;"",F733&lt;&gt;"",G733&lt;&gt;"",H733&lt;&gt;"",J733&lt;&gt;"",K733&lt;&gt;"",N733&lt;&gt;"",O733&lt;&gt;"",P733&lt;&gt;"",Q733&lt;&gt;"",R733&lt;&gt;"",S733&lt;&gt;"",T733&lt;&gt;"",V733&lt;&gt;"",W733&lt;&gt;"",X733&lt;&gt;"",Y733&lt;&gt;""),"COMPLETE","MISSING FIELDS")))</f>
        <v/>
      </c>
    </row>
    <row r="734" ht="15" customHeight="1" s="15">
      <c r="A734" s="27" t="inlineStr">
        <is>
          <t>LEAD-0730</t>
        </is>
      </c>
      <c r="B734" s="27" t="inlineStr">
        <is>
          <t>Rowan Zimmerman</t>
        </is>
      </c>
      <c r="C734" s="27" t="inlineStr">
        <is>
          <t>YouTuber</t>
        </is>
      </c>
      <c r="D734" s="27" t="inlineStr">
        <is>
          <t>CA</t>
        </is>
      </c>
      <c r="E734" s="27" t="inlineStr">
        <is>
          <t>English</t>
        </is>
      </c>
      <c r="F734" s="27" t="inlineStr">
        <is>
          <t>YouTube</t>
        </is>
      </c>
      <c r="G734" s="27" t="inlineStr">
        <is>
          <t>https://www.youtube.com/@rowanzimmerman</t>
        </is>
      </c>
      <c r="H734" s="27" t="inlineStr">
        <is>
          <t>UCCA00730588198</t>
        </is>
      </c>
      <c r="I734" s="27" t="inlineStr">
        <is>
          <t>620,000</t>
        </is>
      </c>
      <c r="J734" s="27" t="inlineStr">
        <is>
          <t>2026-10-12</t>
        </is>
      </c>
      <c r="K734" s="27" t="inlineStr">
        <is>
          <t>https://www.youtube.com/watch?v=ca00730</t>
        </is>
      </c>
      <c r="L734" s="27" t="n">
        <v>8</v>
      </c>
      <c r="M734" s="27" t="n">
        <v>26</v>
      </c>
      <c r="N734" s="27" t="inlineStr">
        <is>
          <t>Membership</t>
        </is>
      </c>
      <c r="O734" s="27" t="inlineStr">
        <is>
          <t>https://rowanzimmerman.com/community</t>
        </is>
      </c>
      <c r="P734" s="27" t="inlineStr">
        <is>
          <t>Shorts Repurposing Bottleneck</t>
        </is>
      </c>
      <c r="Q734" s="27" t="inlineStr">
        <is>
          <t>https://rowanzimmerman.com/highlights</t>
        </is>
      </c>
      <c r="R734" s="27" t="inlineStr">
        <is>
          <t>X (Twitter)</t>
        </is>
      </c>
      <c r="S734" s="27" t="inlineStr">
        <is>
          <t>https://x.com/rowanzimmerman</t>
        </is>
      </c>
      <c r="T734" s="27" t="inlineStr">
        <is>
          <t>https://rowanzimmerman.com/links</t>
        </is>
      </c>
      <c r="U734" s="27" t="inlineStr">
        <is>
          <t>LinkedIn</t>
        </is>
      </c>
      <c r="V734" s="27" t="inlineStr">
        <is>
          <t>tech &amp; ai frameworks, specifically regarding episode 31 on Tech &amp; AI workflow optimization</t>
        </is>
      </c>
      <c r="W734" s="27" t="inlineStr">
        <is>
          <t>Hi Rowan,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34" s="27" t="inlineStr">
        <is>
          <t>2026-10-18</t>
        </is>
      </c>
      <c r="Y734" s="27" t="inlineStr">
        <is>
          <t>C</t>
        </is>
      </c>
      <c r="Z734" s="27" t="n">
        <v>76.2</v>
      </c>
      <c r="AA734" s="27" t="inlineStr">
        <is>
          <t>Qualified</t>
        </is>
      </c>
      <c r="AB734" s="27" t="inlineStr"/>
      <c r="AC734" s="28">
        <f>IF(A734="","",IF(COUNTIF($H$5:$H$1004,H734)&gt;1,"DUPLICATE","UNIQUE"))</f>
        <v/>
      </c>
      <c r="AD734" s="28">
        <f>IF(A734="","",IF(AA734="Rejected",IF(AB734&lt;&gt;"","REJECTED","ADD REASON"),IF(AND(B734&lt;&gt;"",C734&lt;&gt;"",D734&lt;&gt;"",E734&lt;&gt;"",F734&lt;&gt;"",G734&lt;&gt;"",H734&lt;&gt;"",J734&lt;&gt;"",K734&lt;&gt;"",N734&lt;&gt;"",O734&lt;&gt;"",P734&lt;&gt;"",Q734&lt;&gt;"",R734&lt;&gt;"",S734&lt;&gt;"",T734&lt;&gt;"",V734&lt;&gt;"",W734&lt;&gt;"",X734&lt;&gt;"",Y734&lt;&gt;""),"COMPLETE","MISSING FIELDS")))</f>
        <v/>
      </c>
    </row>
    <row r="735" ht="15" customHeight="1" s="15">
      <c r="A735" s="27" t="inlineStr">
        <is>
          <t>LEAD-0731</t>
        </is>
      </c>
      <c r="B735" s="27" t="inlineStr">
        <is>
          <t>Rowan Sterling</t>
        </is>
      </c>
      <c r="C735" s="27" t="inlineStr">
        <is>
          <t>Podcaster</t>
        </is>
      </c>
      <c r="D735" s="27" t="inlineStr">
        <is>
          <t>CA</t>
        </is>
      </c>
      <c r="E735" s="27" t="inlineStr">
        <is>
          <t>English</t>
        </is>
      </c>
      <c r="F735" s="27" t="inlineStr">
        <is>
          <t>Apple Podcasts</t>
        </is>
      </c>
      <c r="G735" s="27" t="inlineStr">
        <is>
          <t>https://podcasts.apple.com/ca/podcast/rowansterling/id1000731</t>
        </is>
      </c>
      <c r="H735" s="27" t="inlineStr">
        <is>
          <t>AP-CA-1000731</t>
        </is>
      </c>
      <c r="I735" s="27" t="inlineStr">
        <is>
          <t>84,000</t>
        </is>
      </c>
      <c r="J735" s="27" t="inlineStr">
        <is>
          <t>2026-10-13</t>
        </is>
      </c>
      <c r="K735" s="27" t="inlineStr">
        <is>
          <t>https://rowansterling.com/episodes/132</t>
        </is>
      </c>
      <c r="L735" s="27" t="n">
        <v>9</v>
      </c>
      <c r="M735" s="27" t="n">
        <v>27</v>
      </c>
      <c r="N735" s="27" t="inlineStr">
        <is>
          <t>Product</t>
        </is>
      </c>
      <c r="O735" s="27" t="inlineStr">
        <is>
          <t>https://rowansterling.com/shop</t>
        </is>
      </c>
      <c r="P735" s="27" t="inlineStr">
        <is>
          <t>Missing Video Captions &amp; Retention Clips</t>
        </is>
      </c>
      <c r="Q735" s="27" t="inlineStr">
        <is>
          <t>https://rowansterling.com/highlights</t>
        </is>
      </c>
      <c r="R735" s="27" t="inlineStr">
        <is>
          <t>Email</t>
        </is>
      </c>
      <c r="S735" s="27" t="inlineStr">
        <is>
          <t>hello@rowansterling.com</t>
        </is>
      </c>
      <c r="T735" s="27" t="inlineStr">
        <is>
          <t>https://rowansterling.com/work-with-me</t>
        </is>
      </c>
      <c r="U735" s="27" t="inlineStr">
        <is>
          <t>LinkedIn</t>
        </is>
      </c>
      <c r="V735" s="27" t="inlineStr">
        <is>
          <t>saas &amp; product growth frameworks, specifically regarding episode 32 on SaaS &amp; Product Growth workflow optimization</t>
        </is>
      </c>
      <c r="W735" s="27" t="inlineStr">
        <is>
          <t>Hi Rowan,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35" s="27" t="inlineStr">
        <is>
          <t>2026-10-18</t>
        </is>
      </c>
      <c r="Y735" s="27" t="inlineStr">
        <is>
          <t>C</t>
        </is>
      </c>
      <c r="Z735" s="27" t="n">
        <v>76.09999999999999</v>
      </c>
      <c r="AA735" s="27" t="inlineStr">
        <is>
          <t>Qualified</t>
        </is>
      </c>
      <c r="AB735" s="27" t="inlineStr"/>
      <c r="AC735" s="28">
        <f>IF(A735="","",IF(COUNTIF($H$5:$H$1004,H735)&gt;1,"DUPLICATE","UNIQUE"))</f>
        <v/>
      </c>
      <c r="AD735" s="28">
        <f>IF(A735="","",IF(AA735="Rejected",IF(AB735&lt;&gt;"","REJECTED","ADD REASON"),IF(AND(B735&lt;&gt;"",C735&lt;&gt;"",D735&lt;&gt;"",E735&lt;&gt;"",F735&lt;&gt;"",G735&lt;&gt;"",H735&lt;&gt;"",J735&lt;&gt;"",K735&lt;&gt;"",N735&lt;&gt;"",O735&lt;&gt;"",P735&lt;&gt;"",Q735&lt;&gt;"",R735&lt;&gt;"",S735&lt;&gt;"",T735&lt;&gt;"",V735&lt;&gt;"",W735&lt;&gt;"",X735&lt;&gt;"",Y735&lt;&gt;""),"COMPLETE","MISSING FIELDS")))</f>
        <v/>
      </c>
    </row>
    <row r="736" ht="15" customHeight="1" s="15">
      <c r="A736" s="27" t="inlineStr">
        <is>
          <t>LEAD-0732</t>
        </is>
      </c>
      <c r="B736" s="27" t="inlineStr">
        <is>
          <t>Rowan Cross</t>
        </is>
      </c>
      <c r="C736" s="27" t="inlineStr">
        <is>
          <t>Expert-Led Creator</t>
        </is>
      </c>
      <c r="D736" s="27" t="inlineStr">
        <is>
          <t>CA</t>
        </is>
      </c>
      <c r="E736" s="27" t="inlineStr">
        <is>
          <t>English</t>
        </is>
      </c>
      <c r="F736" s="27" t="inlineStr">
        <is>
          <t>YouTube</t>
        </is>
      </c>
      <c r="G736" s="27" t="inlineStr">
        <is>
          <t>https://www.youtube.com/@rowancross</t>
        </is>
      </c>
      <c r="H736" s="27" t="inlineStr">
        <is>
          <t>UCCA00732227464</t>
        </is>
      </c>
      <c r="I736" s="27" t="inlineStr">
        <is>
          <t>660,000</t>
        </is>
      </c>
      <c r="J736" s="27" t="inlineStr">
        <is>
          <t>2026-10-14</t>
        </is>
      </c>
      <c r="K736" s="27" t="inlineStr">
        <is>
          <t>https://www.youtube.com/watch?v=ca00732</t>
        </is>
      </c>
      <c r="L736" s="27" t="n">
        <v>10</v>
      </c>
      <c r="M736" s="27" t="n">
        <v>28</v>
      </c>
      <c r="N736" s="27" t="inlineStr">
        <is>
          <t>Consulting</t>
        </is>
      </c>
      <c r="O736" s="27" t="inlineStr">
        <is>
          <t>https://rowancross.com/advisory</t>
        </is>
      </c>
      <c r="P736" s="27" t="inlineStr">
        <is>
          <t>Editing Backlog &amp; Team Workflow Overhead</t>
        </is>
      </c>
      <c r="Q736" s="27" t="inlineStr">
        <is>
          <t>https://rowancross.com/highlights</t>
        </is>
      </c>
      <c r="R736" s="27" t="inlineStr">
        <is>
          <t>Email</t>
        </is>
      </c>
      <c r="S736" s="27" t="inlineStr">
        <is>
          <t>contact@rowancross.com</t>
        </is>
      </c>
      <c r="T736" s="27" t="inlineStr">
        <is>
          <t>https://rowancross.com/contact</t>
        </is>
      </c>
      <c r="U736" s="27" t="inlineStr">
        <is>
          <t>LinkedIn</t>
        </is>
      </c>
      <c r="V736" s="27" t="inlineStr">
        <is>
          <t>creator business &amp; monetization frameworks, specifically regarding episode 33 on Creator Business &amp; Monetization workflow optimization</t>
        </is>
      </c>
      <c r="W736" s="27" t="inlineStr">
        <is>
          <t>Hi Rowan,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36" s="27" t="inlineStr">
        <is>
          <t>2026-10-18</t>
        </is>
      </c>
      <c r="Y736" s="27" t="inlineStr">
        <is>
          <t>C</t>
        </is>
      </c>
      <c r="Z736" s="27" t="n">
        <v>76.09999999999999</v>
      </c>
      <c r="AA736" s="27" t="inlineStr">
        <is>
          <t>Qualified</t>
        </is>
      </c>
      <c r="AB736" s="27" t="inlineStr"/>
      <c r="AC736" s="28">
        <f>IF(A736="","",IF(COUNTIF($H$5:$H$1004,H736)&gt;1,"DUPLICATE","UNIQUE"))</f>
        <v/>
      </c>
      <c r="AD736" s="28">
        <f>IF(A736="","",IF(AA736="Rejected",IF(AB736&lt;&gt;"","REJECTED","ADD REASON"),IF(AND(B736&lt;&gt;"",C736&lt;&gt;"",D736&lt;&gt;"",E736&lt;&gt;"",F736&lt;&gt;"",G736&lt;&gt;"",H736&lt;&gt;"",J736&lt;&gt;"",K736&lt;&gt;"",N736&lt;&gt;"",O736&lt;&gt;"",P736&lt;&gt;"",Q736&lt;&gt;"",R736&lt;&gt;"",S736&lt;&gt;"",T736&lt;&gt;"",V736&lt;&gt;"",W736&lt;&gt;"",X736&lt;&gt;"",Y736&lt;&gt;""),"COMPLETE","MISSING FIELDS")))</f>
        <v/>
      </c>
    </row>
    <row r="737" ht="15" customHeight="1" s="15">
      <c r="A737" s="27" t="inlineStr">
        <is>
          <t>LEAD-0733</t>
        </is>
      </c>
      <c r="B737" s="27" t="inlineStr">
        <is>
          <t>Rowan Vance</t>
        </is>
      </c>
      <c r="C737" s="27" t="inlineStr">
        <is>
          <t>YouTuber</t>
        </is>
      </c>
      <c r="D737" s="27" t="inlineStr">
        <is>
          <t>CA</t>
        </is>
      </c>
      <c r="E737" s="27" t="inlineStr">
        <is>
          <t>English</t>
        </is>
      </c>
      <c r="F737" s="27" t="inlineStr">
        <is>
          <t>YouTube</t>
        </is>
      </c>
      <c r="G737" s="27" t="inlineStr">
        <is>
          <t>https://www.youtube.com/@rowanvance</t>
        </is>
      </c>
      <c r="H737" s="27" t="inlineStr">
        <is>
          <t>UCCA00733843846</t>
        </is>
      </c>
      <c r="I737" s="27" t="inlineStr">
        <is>
          <t>680,000</t>
        </is>
      </c>
      <c r="J737" s="27" t="inlineStr">
        <is>
          <t>2026-10-15</t>
        </is>
      </c>
      <c r="K737" s="27" t="inlineStr">
        <is>
          <t>https://www.youtube.com/watch?v=ca00733</t>
        </is>
      </c>
      <c r="L737" s="27" t="n">
        <v>11</v>
      </c>
      <c r="M737" s="27" t="n">
        <v>29</v>
      </c>
      <c r="N737" s="27" t="inlineStr">
        <is>
          <t>Newsletter Subscription</t>
        </is>
      </c>
      <c r="O737" s="27" t="inlineStr">
        <is>
          <t>https://rowanvance.com/subscribe</t>
        </is>
      </c>
      <c r="P737" s="27" t="inlineStr">
        <is>
          <t>Shorts Repurposing Bottleneck</t>
        </is>
      </c>
      <c r="Q737" s="27" t="inlineStr">
        <is>
          <t>https://rowanvance.com/highlights</t>
        </is>
      </c>
      <c r="R737" s="27" t="inlineStr">
        <is>
          <t>LinkedIn</t>
        </is>
      </c>
      <c r="S737" s="27" t="inlineStr">
        <is>
          <t>https://linkedin.com/in/rowanvance</t>
        </is>
      </c>
      <c r="T737" s="27" t="inlineStr">
        <is>
          <t>https://rowanvance.com/about</t>
        </is>
      </c>
      <c r="U737" s="27" t="inlineStr">
        <is>
          <t>Email</t>
        </is>
      </c>
      <c r="V737" s="27" t="inlineStr">
        <is>
          <t>productivity &amp; personal systems frameworks, specifically regarding episode 34 on Productivity &amp; Personal Systems workflow optimization</t>
        </is>
      </c>
      <c r="W737" s="27" t="inlineStr">
        <is>
          <t>Hi Rowan,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37" s="27" t="inlineStr">
        <is>
          <t>2026-10-18</t>
        </is>
      </c>
      <c r="Y737" s="27" t="inlineStr">
        <is>
          <t>C</t>
        </is>
      </c>
      <c r="Z737" s="27" t="n">
        <v>76</v>
      </c>
      <c r="AA737" s="27" t="inlineStr">
        <is>
          <t>Qualified</t>
        </is>
      </c>
      <c r="AB737" s="27" t="inlineStr"/>
      <c r="AC737" s="28">
        <f>IF(A737="","",IF(COUNTIF($H$5:$H$1004,H737)&gt;1,"DUPLICATE","UNIQUE"))</f>
        <v/>
      </c>
      <c r="AD737" s="28">
        <f>IF(A737="","",IF(AA737="Rejected",IF(AB737&lt;&gt;"","REJECTED","ADD REASON"),IF(AND(B737&lt;&gt;"",C737&lt;&gt;"",D737&lt;&gt;"",E737&lt;&gt;"",F737&lt;&gt;"",G737&lt;&gt;"",H737&lt;&gt;"",J737&lt;&gt;"",K737&lt;&gt;"",N737&lt;&gt;"",O737&lt;&gt;"",P737&lt;&gt;"",Q737&lt;&gt;"",R737&lt;&gt;"",S737&lt;&gt;"",T737&lt;&gt;"",V737&lt;&gt;"",W737&lt;&gt;"",X737&lt;&gt;"",Y737&lt;&gt;""),"COMPLETE","MISSING FIELDS")))</f>
        <v/>
      </c>
    </row>
    <row r="738" ht="15" customHeight="1" s="15">
      <c r="A738" s="27" t="inlineStr">
        <is>
          <t>LEAD-0734</t>
        </is>
      </c>
      <c r="B738" s="27" t="inlineStr">
        <is>
          <t>Rowan Mercer</t>
        </is>
      </c>
      <c r="C738" s="27" t="inlineStr">
        <is>
          <t>Podcaster</t>
        </is>
      </c>
      <c r="D738" s="27" t="inlineStr">
        <is>
          <t>CA</t>
        </is>
      </c>
      <c r="E738" s="27" t="inlineStr">
        <is>
          <t>English</t>
        </is>
      </c>
      <c r="F738" s="27" t="inlineStr">
        <is>
          <t>Apple Podcasts</t>
        </is>
      </c>
      <c r="G738" s="27" t="inlineStr">
        <is>
          <t>https://podcasts.apple.com/ca/podcast/rowanmercer/id1000734</t>
        </is>
      </c>
      <c r="H738" s="27" t="inlineStr">
        <is>
          <t>AP-CA-1000734</t>
        </is>
      </c>
      <c r="I738" s="27" t="inlineStr">
        <is>
          <t>120,000</t>
        </is>
      </c>
      <c r="J738" s="27" t="inlineStr">
        <is>
          <t>2026-10-16</t>
        </is>
      </c>
      <c r="K738" s="27" t="inlineStr">
        <is>
          <t>https://rowanmercer.com/episodes/135</t>
        </is>
      </c>
      <c r="L738" s="27" t="n">
        <v>12</v>
      </c>
      <c r="M738" s="27" t="n">
        <v>30</v>
      </c>
      <c r="N738" s="27" t="inlineStr">
        <is>
          <t>Affiliate</t>
        </is>
      </c>
      <c r="O738" s="27" t="inlineStr">
        <is>
          <t>https://rowanmercer.com/resources</t>
        </is>
      </c>
      <c r="P738" s="27" t="inlineStr">
        <is>
          <t>Inconsistent Cross-Platform Publishing</t>
        </is>
      </c>
      <c r="Q738" s="27" t="inlineStr">
        <is>
          <t>https://rowanmercer.com/highlights</t>
        </is>
      </c>
      <c r="R738" s="27" t="inlineStr">
        <is>
          <t>X (Twitter)</t>
        </is>
      </c>
      <c r="S738" s="27" t="inlineStr">
        <is>
          <t>https://x.com/rowanmercer</t>
        </is>
      </c>
      <c r="T738" s="27" t="inlineStr">
        <is>
          <t>https://rowanmercer.com/links</t>
        </is>
      </c>
      <c r="U738" s="27" t="inlineStr">
        <is>
          <t>LinkedIn</t>
        </is>
      </c>
      <c r="V738" s="27" t="inlineStr">
        <is>
          <t>leadership &amp; team ops frameworks, specifically regarding episode 35 on Leadership &amp; Team Ops workflow optimization</t>
        </is>
      </c>
      <c r="W738" s="27" t="inlineStr">
        <is>
          <t>Hi Rowan,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38" s="27" t="inlineStr">
        <is>
          <t>2026-10-18</t>
        </is>
      </c>
      <c r="Y738" s="27" t="inlineStr">
        <is>
          <t>C</t>
        </is>
      </c>
      <c r="Z738" s="27" t="n">
        <v>76</v>
      </c>
      <c r="AA738" s="27" t="inlineStr">
        <is>
          <t>Qualified</t>
        </is>
      </c>
      <c r="AB738" s="27" t="inlineStr"/>
      <c r="AC738" s="28">
        <f>IF(A738="","",IF(COUNTIF($H$5:$H$1004,H738)&gt;1,"DUPLICATE","UNIQUE"))</f>
        <v/>
      </c>
      <c r="AD738" s="28">
        <f>IF(A738="","",IF(AA738="Rejected",IF(AB738&lt;&gt;"","REJECTED","ADD REASON"),IF(AND(B738&lt;&gt;"",C738&lt;&gt;"",D738&lt;&gt;"",E738&lt;&gt;"",F738&lt;&gt;"",G738&lt;&gt;"",H738&lt;&gt;"",J738&lt;&gt;"",K738&lt;&gt;"",N738&lt;&gt;"",O738&lt;&gt;"",P738&lt;&gt;"",Q738&lt;&gt;"",R738&lt;&gt;"",S738&lt;&gt;"",T738&lt;&gt;"",V738&lt;&gt;"",W738&lt;&gt;"",X738&lt;&gt;"",Y738&lt;&gt;""),"COMPLETE","MISSING FIELDS")))</f>
        <v/>
      </c>
    </row>
    <row r="739" ht="15" customHeight="1" s="15">
      <c r="A739" s="27" t="inlineStr">
        <is>
          <t>LEAD-0735</t>
        </is>
      </c>
      <c r="B739" s="27" t="inlineStr">
        <is>
          <t>Rowan Sinclair</t>
        </is>
      </c>
      <c r="C739" s="27" t="inlineStr">
        <is>
          <t>Expert-Led Creator</t>
        </is>
      </c>
      <c r="D739" s="27" t="inlineStr">
        <is>
          <t>CA</t>
        </is>
      </c>
      <c r="E739" s="27" t="inlineStr">
        <is>
          <t>English</t>
        </is>
      </c>
      <c r="F739" s="27" t="inlineStr">
        <is>
          <t>LinkedIn</t>
        </is>
      </c>
      <c r="G739" s="27" t="inlineStr">
        <is>
          <t>https://www.linkedin.com/in/rowansinclair</t>
        </is>
      </c>
      <c r="H739" s="27" t="inlineStr">
        <is>
          <t>LI-rowansinclair-0735</t>
        </is>
      </c>
      <c r="I739" s="27" t="inlineStr">
        <is>
          <t>96,000</t>
        </is>
      </c>
      <c r="J739" s="27" t="inlineStr">
        <is>
          <t>2026-10-17</t>
        </is>
      </c>
      <c r="K739" s="27" t="inlineStr">
        <is>
          <t>https://rowansinclair.com/posts/136</t>
        </is>
      </c>
      <c r="L739" s="27" t="n">
        <v>13</v>
      </c>
      <c r="M739" s="27" t="n">
        <v>31</v>
      </c>
      <c r="N739" s="27" t="inlineStr">
        <is>
          <t>Course</t>
        </is>
      </c>
      <c r="O739" s="27" t="inlineStr">
        <is>
          <t>https://rowansinclair.com/academy</t>
        </is>
      </c>
      <c r="P739" s="27" t="inlineStr">
        <is>
          <t>Editing Backlog &amp; Team Workflow Overhead</t>
        </is>
      </c>
      <c r="Q739" s="27" t="inlineStr">
        <is>
          <t>https://rowansinclair.com/highlights</t>
        </is>
      </c>
      <c r="R739" s="27" t="inlineStr">
        <is>
          <t>Email</t>
        </is>
      </c>
      <c r="S739" s="27" t="inlineStr">
        <is>
          <t>hello@rowansinclair.com</t>
        </is>
      </c>
      <c r="T739" s="27" t="inlineStr">
        <is>
          <t>https://rowansinclair.com/work-with-me</t>
        </is>
      </c>
      <c r="U739" s="27" t="inlineStr">
        <is>
          <t>LinkedIn</t>
        </is>
      </c>
      <c r="V739" s="27" t="inlineStr">
        <is>
          <t>b2b marketing &amp; sales frameworks, specifically regarding episode 36 on B2B Marketing &amp; Sales workflow optimization</t>
        </is>
      </c>
      <c r="W739" s="27" t="inlineStr">
        <is>
          <t>Hi Rowan,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39" s="27" t="inlineStr">
        <is>
          <t>2026-10-18</t>
        </is>
      </c>
      <c r="Y739" s="27" t="inlineStr">
        <is>
          <t>C</t>
        </is>
      </c>
      <c r="Z739" s="27" t="n">
        <v>75.90000000000001</v>
      </c>
      <c r="AA739" s="27" t="inlineStr">
        <is>
          <t>Qualified</t>
        </is>
      </c>
      <c r="AB739" s="27" t="inlineStr"/>
      <c r="AC739" s="28">
        <f>IF(A739="","",IF(COUNTIF($H$5:$H$1004,H739)&gt;1,"DUPLICATE","UNIQUE"))</f>
        <v/>
      </c>
      <c r="AD739" s="28">
        <f>IF(A739="","",IF(AA739="Rejected",IF(AB739&lt;&gt;"","REJECTED","ADD REASON"),IF(AND(B739&lt;&gt;"",C739&lt;&gt;"",D739&lt;&gt;"",E739&lt;&gt;"",F739&lt;&gt;"",G739&lt;&gt;"",H739&lt;&gt;"",J739&lt;&gt;"",K739&lt;&gt;"",N739&lt;&gt;"",O739&lt;&gt;"",P739&lt;&gt;"",Q739&lt;&gt;"",R739&lt;&gt;"",S739&lt;&gt;"",T739&lt;&gt;"",V739&lt;&gt;"",W739&lt;&gt;"",X739&lt;&gt;"",Y739&lt;&gt;""),"COMPLETE","MISSING FIELDS")))</f>
        <v/>
      </c>
    </row>
    <row r="740" ht="15" customHeight="1" s="15">
      <c r="A740" s="27" t="inlineStr">
        <is>
          <t>LEAD-0736</t>
        </is>
      </c>
      <c r="B740" s="27" t="inlineStr">
        <is>
          <t>Rowan Carrington</t>
        </is>
      </c>
      <c r="C740" s="27" t="inlineStr">
        <is>
          <t>YouTuber</t>
        </is>
      </c>
      <c r="D740" s="27" t="inlineStr">
        <is>
          <t>CA</t>
        </is>
      </c>
      <c r="E740" s="27" t="inlineStr">
        <is>
          <t>English</t>
        </is>
      </c>
      <c r="F740" s="27" t="inlineStr">
        <is>
          <t>YouTube</t>
        </is>
      </c>
      <c r="G740" s="27" t="inlineStr">
        <is>
          <t>https://www.youtube.com/@rowancarrington</t>
        </is>
      </c>
      <c r="H740" s="27" t="inlineStr">
        <is>
          <t>UCCA00736150984</t>
        </is>
      </c>
      <c r="I740" s="27" t="inlineStr">
        <is>
          <t>40,000</t>
        </is>
      </c>
      <c r="J740" s="27" t="inlineStr">
        <is>
          <t>2026-10-10</t>
        </is>
      </c>
      <c r="K740" s="27" t="inlineStr">
        <is>
          <t>https://www.youtube.com/watch?v=ca00736</t>
        </is>
      </c>
      <c r="L740" s="27" t="n">
        <v>14</v>
      </c>
      <c r="M740" s="27" t="n">
        <v>32</v>
      </c>
      <c r="N740" s="27" t="inlineStr">
        <is>
          <t>Sponsor</t>
        </is>
      </c>
      <c r="O740" s="27" t="inlineStr">
        <is>
          <t>https://rowancarrington.com/partners</t>
        </is>
      </c>
      <c r="P740" s="27" t="inlineStr">
        <is>
          <t>Multilingual Audio Dubbing</t>
        </is>
      </c>
      <c r="Q740" s="27" t="inlineStr">
        <is>
          <t>https://rowancarrington.com/highlights</t>
        </is>
      </c>
      <c r="R740" s="27" t="inlineStr">
        <is>
          <t>Email</t>
        </is>
      </c>
      <c r="S740" s="27" t="inlineStr">
        <is>
          <t>contact@rowancarrington.com</t>
        </is>
      </c>
      <c r="T740" s="27" t="inlineStr">
        <is>
          <t>https://rowancarrington.com/contact</t>
        </is>
      </c>
      <c r="U740" s="27" t="inlineStr">
        <is>
          <t>LinkedIn</t>
        </is>
      </c>
      <c r="V740" s="27" t="inlineStr">
        <is>
          <t>finance &amp; wealth engineering frameworks, specifically regarding episode 37 on Finance &amp; Wealth Engineering workflow optimization</t>
        </is>
      </c>
      <c r="W740" s="27" t="inlineStr">
        <is>
          <t>Hi Rowan,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40" s="27" t="inlineStr">
        <is>
          <t>2026-10-18</t>
        </is>
      </c>
      <c r="Y740" s="27" t="inlineStr">
        <is>
          <t>C</t>
        </is>
      </c>
      <c r="Z740" s="27" t="n">
        <v>75.8</v>
      </c>
      <c r="AA740" s="27" t="inlineStr">
        <is>
          <t>Qualified</t>
        </is>
      </c>
      <c r="AB740" s="27" t="inlineStr"/>
      <c r="AC740" s="28">
        <f>IF(A740="","",IF(COUNTIF($H$5:$H$1004,H740)&gt;1,"DUPLICATE","UNIQUE"))</f>
        <v/>
      </c>
      <c r="AD740" s="28">
        <f>IF(A740="","",IF(AA740="Rejected",IF(AB740&lt;&gt;"","REJECTED","ADD REASON"),IF(AND(B740&lt;&gt;"",C740&lt;&gt;"",D740&lt;&gt;"",E740&lt;&gt;"",F740&lt;&gt;"",G740&lt;&gt;"",H740&lt;&gt;"",J740&lt;&gt;"",K740&lt;&gt;"",N740&lt;&gt;"",O740&lt;&gt;"",P740&lt;&gt;"",Q740&lt;&gt;"",R740&lt;&gt;"",S740&lt;&gt;"",T740&lt;&gt;"",V740&lt;&gt;"",W740&lt;&gt;"",X740&lt;&gt;"",Y740&lt;&gt;""),"COMPLETE","MISSING FIELDS")))</f>
        <v/>
      </c>
    </row>
    <row r="741" ht="15" customHeight="1" s="15">
      <c r="A741" s="27" t="inlineStr">
        <is>
          <t>LEAD-0737</t>
        </is>
      </c>
      <c r="B741" s="27" t="inlineStr">
        <is>
          <t>Rowan Prescott</t>
        </is>
      </c>
      <c r="C741" s="27" t="inlineStr">
        <is>
          <t>Podcaster</t>
        </is>
      </c>
      <c r="D741" s="27" t="inlineStr">
        <is>
          <t>CA</t>
        </is>
      </c>
      <c r="E741" s="27" t="inlineStr">
        <is>
          <t>English</t>
        </is>
      </c>
      <c r="F741" s="27" t="inlineStr">
        <is>
          <t>Apple Podcasts</t>
        </is>
      </c>
      <c r="G741" s="27" t="inlineStr">
        <is>
          <t>https://podcasts.apple.com/ca/podcast/rowanprescott/id1000737</t>
        </is>
      </c>
      <c r="H741" s="27" t="inlineStr">
        <is>
          <t>AP-CA-1000737</t>
        </is>
      </c>
      <c r="I741" s="27" t="inlineStr">
        <is>
          <t>156,000</t>
        </is>
      </c>
      <c r="J741" s="27" t="inlineStr">
        <is>
          <t>2026-10-11</t>
        </is>
      </c>
      <c r="K741" s="27" t="inlineStr">
        <is>
          <t>https://rowanprescott.com/episodes/138</t>
        </is>
      </c>
      <c r="L741" s="27" t="n">
        <v>15</v>
      </c>
      <c r="M741" s="27" t="n">
        <v>33</v>
      </c>
      <c r="N741" s="27" t="inlineStr">
        <is>
          <t>Membership</t>
        </is>
      </c>
      <c r="O741" s="27" t="inlineStr">
        <is>
          <t>https://rowanprescott.com/community</t>
        </is>
      </c>
      <c r="P741" s="27" t="inlineStr">
        <is>
          <t>Multilingual Audio Dubbing</t>
        </is>
      </c>
      <c r="Q741" s="27" t="inlineStr">
        <is>
          <t>https://rowanprescott.com/highlights</t>
        </is>
      </c>
      <c r="R741" s="27" t="inlineStr">
        <is>
          <t>LinkedIn</t>
        </is>
      </c>
      <c r="S741" s="27" t="inlineStr">
        <is>
          <t>https://linkedin.com/in/rowanprescott</t>
        </is>
      </c>
      <c r="T741" s="27" t="inlineStr">
        <is>
          <t>https://rowanprescott.com/about</t>
        </is>
      </c>
      <c r="U741" s="27" t="inlineStr">
        <is>
          <t>Email</t>
        </is>
      </c>
      <c r="V741" s="27" t="inlineStr">
        <is>
          <t>health &amp; longevity science frameworks, specifically regarding episode 38 on Health &amp; Longevity Science workflow optimization</t>
        </is>
      </c>
      <c r="W741" s="27" t="inlineStr">
        <is>
          <t>Hi Rowan,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41" s="27" t="inlineStr">
        <is>
          <t>2026-10-18</t>
        </is>
      </c>
      <c r="Y741" s="27" t="inlineStr">
        <is>
          <t>C</t>
        </is>
      </c>
      <c r="Z741" s="27" t="n">
        <v>75.8</v>
      </c>
      <c r="AA741" s="27" t="inlineStr">
        <is>
          <t>Qualified</t>
        </is>
      </c>
      <c r="AB741" s="27" t="inlineStr"/>
      <c r="AC741" s="28">
        <f>IF(A741="","",IF(COUNTIF($H$5:$H$1004,H741)&gt;1,"DUPLICATE","UNIQUE"))</f>
        <v/>
      </c>
      <c r="AD741" s="28">
        <f>IF(A741="","",IF(AA741="Rejected",IF(AB741&lt;&gt;"","REJECTED","ADD REASON"),IF(AND(B741&lt;&gt;"",C741&lt;&gt;"",D741&lt;&gt;"",E741&lt;&gt;"",F741&lt;&gt;"",G741&lt;&gt;"",H741&lt;&gt;"",J741&lt;&gt;"",K741&lt;&gt;"",N741&lt;&gt;"",O741&lt;&gt;"",P741&lt;&gt;"",Q741&lt;&gt;"",R741&lt;&gt;"",S741&lt;&gt;"",T741&lt;&gt;"",V741&lt;&gt;"",W741&lt;&gt;"",X741&lt;&gt;"",Y741&lt;&gt;""),"COMPLETE","MISSING FIELDS")))</f>
        <v/>
      </c>
    </row>
    <row r="742" ht="15" customHeight="1" s="15">
      <c r="A742" s="27" t="inlineStr">
        <is>
          <t>LEAD-0738</t>
        </is>
      </c>
      <c r="B742" s="27" t="inlineStr">
        <is>
          <t>Rowan Winslow</t>
        </is>
      </c>
      <c r="C742" s="27" t="inlineStr">
        <is>
          <t>YouTuber</t>
        </is>
      </c>
      <c r="D742" s="27" t="inlineStr">
        <is>
          <t>CA</t>
        </is>
      </c>
      <c r="E742" s="27" t="inlineStr">
        <is>
          <t>English</t>
        </is>
      </c>
      <c r="F742" s="27" t="inlineStr">
        <is>
          <t>YouTube</t>
        </is>
      </c>
      <c r="G742" s="27" t="inlineStr">
        <is>
          <t>https://www.youtube.com/@rowanwinslow</t>
        </is>
      </c>
      <c r="H742" s="27" t="inlineStr">
        <is>
          <t>UCCA00738241547</t>
        </is>
      </c>
      <c r="I742" s="27" t="inlineStr">
        <is>
          <t>80,000</t>
        </is>
      </c>
      <c r="J742" s="27" t="inlineStr">
        <is>
          <t>2026-10-12</t>
        </is>
      </c>
      <c r="K742" s="27" t="inlineStr">
        <is>
          <t>https://www.youtube.com/watch?v=ca00738</t>
        </is>
      </c>
      <c r="L742" s="27" t="n">
        <v>16</v>
      </c>
      <c r="M742" s="27" t="n">
        <v>16</v>
      </c>
      <c r="N742" s="27" t="inlineStr">
        <is>
          <t>Product</t>
        </is>
      </c>
      <c r="O742" s="27" t="inlineStr">
        <is>
          <t>https://rowanwinslow.com/shop</t>
        </is>
      </c>
      <c r="P742" s="27" t="inlineStr">
        <is>
          <t>Missing Video Captions &amp; Retention Clips</t>
        </is>
      </c>
      <c r="Q742" s="27" t="inlineStr">
        <is>
          <t>https://rowanwinslow.com/highlights</t>
        </is>
      </c>
      <c r="R742" s="27" t="inlineStr">
        <is>
          <t>X (Twitter)</t>
        </is>
      </c>
      <c r="S742" s="27" t="inlineStr">
        <is>
          <t>https://x.com/rowanwinslow</t>
        </is>
      </c>
      <c r="T742" s="27" t="inlineStr">
        <is>
          <t>https://rowanwinslow.com/links</t>
        </is>
      </c>
      <c r="U742" s="27" t="inlineStr">
        <is>
          <t>LinkedIn</t>
        </is>
      </c>
      <c r="V742" s="27" t="inlineStr">
        <is>
          <t>education &amp; applied coding frameworks, specifically regarding episode 39 on Education &amp; Applied Coding workflow optimization</t>
        </is>
      </c>
      <c r="W742" s="27" t="inlineStr">
        <is>
          <t>Hi Rowan,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42" s="27" t="inlineStr">
        <is>
          <t>2026-10-18</t>
        </is>
      </c>
      <c r="Y742" s="27" t="inlineStr">
        <is>
          <t>C</t>
        </is>
      </c>
      <c r="Z742" s="27" t="n">
        <v>75.7</v>
      </c>
      <c r="AA742" s="27" t="inlineStr">
        <is>
          <t>Qualified</t>
        </is>
      </c>
      <c r="AB742" s="27" t="inlineStr"/>
      <c r="AC742" s="28">
        <f>IF(A742="","",IF(COUNTIF($H$5:$H$1004,H742)&gt;1,"DUPLICATE","UNIQUE"))</f>
        <v/>
      </c>
      <c r="AD742" s="28">
        <f>IF(A742="","",IF(AA742="Rejected",IF(AB742&lt;&gt;"","REJECTED","ADD REASON"),IF(AND(B742&lt;&gt;"",C742&lt;&gt;"",D742&lt;&gt;"",E742&lt;&gt;"",F742&lt;&gt;"",G742&lt;&gt;"",H742&lt;&gt;"",J742&lt;&gt;"",K742&lt;&gt;"",N742&lt;&gt;"",O742&lt;&gt;"",P742&lt;&gt;"",Q742&lt;&gt;"",R742&lt;&gt;"",S742&lt;&gt;"",T742&lt;&gt;"",V742&lt;&gt;"",W742&lt;&gt;"",X742&lt;&gt;"",Y742&lt;&gt;""),"COMPLETE","MISSING FIELDS")))</f>
        <v/>
      </c>
    </row>
    <row r="743" ht="15" customHeight="1" s="15">
      <c r="A743" s="27" t="inlineStr">
        <is>
          <t>LEAD-0739</t>
        </is>
      </c>
      <c r="B743" s="27" t="inlineStr">
        <is>
          <t>Rowan Bradford</t>
        </is>
      </c>
      <c r="C743" s="27" t="inlineStr">
        <is>
          <t>Podcaster</t>
        </is>
      </c>
      <c r="D743" s="27" t="inlineStr">
        <is>
          <t>CA</t>
        </is>
      </c>
      <c r="E743" s="27" t="inlineStr">
        <is>
          <t>English</t>
        </is>
      </c>
      <c r="F743" s="27" t="inlineStr">
        <is>
          <t>Apple Podcasts</t>
        </is>
      </c>
      <c r="G743" s="27" t="inlineStr">
        <is>
          <t>https://podcasts.apple.com/ca/podcast/rowanbradford/id1000739</t>
        </is>
      </c>
      <c r="H743" s="27" t="inlineStr">
        <is>
          <t>AP-CA-1000739</t>
        </is>
      </c>
      <c r="I743" s="27" t="inlineStr">
        <is>
          <t>180,000</t>
        </is>
      </c>
      <c r="J743" s="27" t="inlineStr">
        <is>
          <t>2026-10-13</t>
        </is>
      </c>
      <c r="K743" s="27" t="inlineStr">
        <is>
          <t>https://rowanbradford.com/episodes/140</t>
        </is>
      </c>
      <c r="L743" s="27" t="n">
        <v>17</v>
      </c>
      <c r="M743" s="27" t="n">
        <v>17</v>
      </c>
      <c r="N743" s="27" t="inlineStr">
        <is>
          <t>Consulting</t>
        </is>
      </c>
      <c r="O743" s="27" t="inlineStr">
        <is>
          <t>https://rowanbradford.com/advisory</t>
        </is>
      </c>
      <c r="P743" s="27" t="inlineStr">
        <is>
          <t>Shorts Repurposing Bottleneck</t>
        </is>
      </c>
      <c r="Q743" s="27" t="inlineStr">
        <is>
          <t>https://rowanbradford.com/highlights</t>
        </is>
      </c>
      <c r="R743" s="27" t="inlineStr">
        <is>
          <t>Email</t>
        </is>
      </c>
      <c r="S743" s="27" t="inlineStr">
        <is>
          <t>hello@rowanbradford.com</t>
        </is>
      </c>
      <c r="T743" s="27" t="inlineStr">
        <is>
          <t>https://rowanbradford.com/work-with-me</t>
        </is>
      </c>
      <c r="U743" s="27" t="inlineStr">
        <is>
          <t>LinkedIn</t>
        </is>
      </c>
      <c r="V743" s="27" t="inlineStr">
        <is>
          <t>e-commerce &amp; digital brands frameworks, specifically regarding episode 40 on E-Commerce &amp; Digital Brands workflow optimization</t>
        </is>
      </c>
      <c r="W743" s="27" t="inlineStr">
        <is>
          <t>Hi Rowan,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43" s="27" t="inlineStr">
        <is>
          <t>2026-10-18</t>
        </is>
      </c>
      <c r="Y743" s="27" t="inlineStr">
        <is>
          <t>C</t>
        </is>
      </c>
      <c r="Z743" s="27" t="n">
        <v>75.7</v>
      </c>
      <c r="AA743" s="27" t="inlineStr">
        <is>
          <t>Qualified</t>
        </is>
      </c>
      <c r="AB743" s="27" t="inlineStr"/>
      <c r="AC743" s="28">
        <f>IF(A743="","",IF(COUNTIF($H$5:$H$1004,H743)&gt;1,"DUPLICATE","UNIQUE"))</f>
        <v/>
      </c>
      <c r="AD743" s="28">
        <f>IF(A743="","",IF(AA743="Rejected",IF(AB743&lt;&gt;"","REJECTED","ADD REASON"),IF(AND(B743&lt;&gt;"",C743&lt;&gt;"",D743&lt;&gt;"",E743&lt;&gt;"",F743&lt;&gt;"",G743&lt;&gt;"",H743&lt;&gt;"",J743&lt;&gt;"",K743&lt;&gt;"",N743&lt;&gt;"",O743&lt;&gt;"",P743&lt;&gt;"",Q743&lt;&gt;"",R743&lt;&gt;"",S743&lt;&gt;"",T743&lt;&gt;"",V743&lt;&gt;"",W743&lt;&gt;"",X743&lt;&gt;"",Y743&lt;&gt;""),"COMPLETE","MISSING FIELDS")))</f>
        <v/>
      </c>
    </row>
    <row r="744" ht="15" customHeight="1" s="15">
      <c r="A744" s="27" t="inlineStr">
        <is>
          <t>LEAD-0740</t>
        </is>
      </c>
      <c r="B744" s="27" t="inlineStr">
        <is>
          <t>Rowan Kensington</t>
        </is>
      </c>
      <c r="C744" s="27" t="inlineStr">
        <is>
          <t>YouTuber</t>
        </is>
      </c>
      <c r="D744" s="27" t="inlineStr">
        <is>
          <t>CA</t>
        </is>
      </c>
      <c r="E744" s="27" t="inlineStr">
        <is>
          <t>English</t>
        </is>
      </c>
      <c r="F744" s="27" t="inlineStr">
        <is>
          <t>YouTube</t>
        </is>
      </c>
      <c r="G744" s="27" t="inlineStr">
        <is>
          <t>https://www.youtube.com/@rowankensington</t>
        </is>
      </c>
      <c r="H744" s="27" t="inlineStr">
        <is>
          <t>UCCA00740454924</t>
        </is>
      </c>
      <c r="I744" s="27" t="inlineStr">
        <is>
          <t>120,000</t>
        </is>
      </c>
      <c r="J744" s="27" t="inlineStr">
        <is>
          <t>2026-10-14</t>
        </is>
      </c>
      <c r="K744" s="27" t="inlineStr">
        <is>
          <t>https://www.youtube.com/watch?v=ca00740</t>
        </is>
      </c>
      <c r="L744" s="27" t="n">
        <v>8</v>
      </c>
      <c r="M744" s="27" t="n">
        <v>18</v>
      </c>
      <c r="N744" s="27" t="inlineStr">
        <is>
          <t>Newsletter Subscription</t>
        </is>
      </c>
      <c r="O744" s="27" t="inlineStr">
        <is>
          <t>https://rowankensington.com/subscribe</t>
        </is>
      </c>
      <c r="P744" s="27" t="inlineStr">
        <is>
          <t>Shorts Repurposing Bottleneck</t>
        </is>
      </c>
      <c r="Q744" s="27" t="inlineStr">
        <is>
          <t>https://rowankensington.com/highlights</t>
        </is>
      </c>
      <c r="R744" s="27" t="inlineStr">
        <is>
          <t>Email</t>
        </is>
      </c>
      <c r="S744" s="27" t="inlineStr">
        <is>
          <t>contact@rowankensington.com</t>
        </is>
      </c>
      <c r="T744" s="27" t="inlineStr">
        <is>
          <t>https://rowankensington.com/contact</t>
        </is>
      </c>
      <c r="U744" s="27" t="inlineStr">
        <is>
          <t>LinkedIn</t>
        </is>
      </c>
      <c r="V744" s="27" t="inlineStr">
        <is>
          <t>tech &amp; ai frameworks, specifically regarding episode 41 on Tech &amp; AI workflow optimization</t>
        </is>
      </c>
      <c r="W744" s="27" t="inlineStr">
        <is>
          <t>Hi Rowan,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44" s="27" t="inlineStr">
        <is>
          <t>2026-10-18</t>
        </is>
      </c>
      <c r="Y744" s="27" t="inlineStr">
        <is>
          <t>C</t>
        </is>
      </c>
      <c r="Z744" s="27" t="n">
        <v>75.59999999999999</v>
      </c>
      <c r="AA744" s="27" t="inlineStr">
        <is>
          <t>Qualified</t>
        </is>
      </c>
      <c r="AB744" s="27" t="inlineStr"/>
      <c r="AC744" s="28">
        <f>IF(A744="","",IF(COUNTIF($H$5:$H$1004,H744)&gt;1,"DUPLICATE","UNIQUE"))</f>
        <v/>
      </c>
      <c r="AD744" s="28">
        <f>IF(A744="","",IF(AA744="Rejected",IF(AB744&lt;&gt;"","REJECTED","ADD REASON"),IF(AND(B744&lt;&gt;"",C744&lt;&gt;"",D744&lt;&gt;"",E744&lt;&gt;"",F744&lt;&gt;"",G744&lt;&gt;"",H744&lt;&gt;"",J744&lt;&gt;"",K744&lt;&gt;"",N744&lt;&gt;"",O744&lt;&gt;"",P744&lt;&gt;"",Q744&lt;&gt;"",R744&lt;&gt;"",S744&lt;&gt;"",T744&lt;&gt;"",V744&lt;&gt;"",W744&lt;&gt;"",X744&lt;&gt;"",Y744&lt;&gt;""),"COMPLETE","MISSING FIELDS")))</f>
        <v/>
      </c>
    </row>
    <row r="745" ht="15" customHeight="1" s="15">
      <c r="A745" s="27" t="inlineStr">
        <is>
          <t>LEAD-0741</t>
        </is>
      </c>
      <c r="B745" s="27" t="inlineStr">
        <is>
          <t>Rowan Lancaster</t>
        </is>
      </c>
      <c r="C745" s="27" t="inlineStr">
        <is>
          <t>Podcaster</t>
        </is>
      </c>
      <c r="D745" s="27" t="inlineStr">
        <is>
          <t>CA</t>
        </is>
      </c>
      <c r="E745" s="27" t="inlineStr">
        <is>
          <t>English</t>
        </is>
      </c>
      <c r="F745" s="27" t="inlineStr">
        <is>
          <t>Apple Podcasts</t>
        </is>
      </c>
      <c r="G745" s="27" t="inlineStr">
        <is>
          <t>https://podcasts.apple.com/ca/podcast/rowanlancaster/id1000741</t>
        </is>
      </c>
      <c r="H745" s="27" t="inlineStr">
        <is>
          <t>AP-CA-1000741</t>
        </is>
      </c>
      <c r="I745" s="27" t="inlineStr">
        <is>
          <t>204,000</t>
        </is>
      </c>
      <c r="J745" s="27" t="inlineStr">
        <is>
          <t>2026-10-15</t>
        </is>
      </c>
      <c r="K745" s="27" t="inlineStr">
        <is>
          <t>https://rowanlancaster.com/episodes/142</t>
        </is>
      </c>
      <c r="L745" s="27" t="n">
        <v>9</v>
      </c>
      <c r="M745" s="27" t="n">
        <v>19</v>
      </c>
      <c r="N745" s="27" t="inlineStr">
        <is>
          <t>Affiliate</t>
        </is>
      </c>
      <c r="O745" s="27" t="inlineStr">
        <is>
          <t>https://rowanlancaster.com/resources</t>
        </is>
      </c>
      <c r="P745" s="27" t="inlineStr">
        <is>
          <t>Missing Video Captions &amp; Retention Clips</t>
        </is>
      </c>
      <c r="Q745" s="27" t="inlineStr">
        <is>
          <t>https://rowanlancaster.com/highlights</t>
        </is>
      </c>
      <c r="R745" s="27" t="inlineStr">
        <is>
          <t>LinkedIn</t>
        </is>
      </c>
      <c r="S745" s="27" t="inlineStr">
        <is>
          <t>https://linkedin.com/in/rowanlancaster</t>
        </is>
      </c>
      <c r="T745" s="27" t="inlineStr">
        <is>
          <t>https://rowanlancaster.com/about</t>
        </is>
      </c>
      <c r="U745" s="27" t="inlineStr">
        <is>
          <t>Email</t>
        </is>
      </c>
      <c r="V745" s="27" t="inlineStr">
        <is>
          <t>saas &amp; product growth frameworks, specifically regarding episode 42 on SaaS &amp; Product Growth workflow optimization</t>
        </is>
      </c>
      <c r="W745" s="27" t="inlineStr">
        <is>
          <t>Hi Rowan,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45" s="27" t="inlineStr">
        <is>
          <t>2026-10-18</t>
        </is>
      </c>
      <c r="Y745" s="27" t="inlineStr">
        <is>
          <t>C</t>
        </is>
      </c>
      <c r="Z745" s="27" t="n">
        <v>75.5</v>
      </c>
      <c r="AA745" s="27" t="inlineStr">
        <is>
          <t>Qualified</t>
        </is>
      </c>
      <c r="AB745" s="27" t="inlineStr"/>
      <c r="AC745" s="28">
        <f>IF(A745="","",IF(COUNTIF($H$5:$H$1004,H745)&gt;1,"DUPLICATE","UNIQUE"))</f>
        <v/>
      </c>
      <c r="AD745" s="28">
        <f>IF(A745="","",IF(AA745="Rejected",IF(AB745&lt;&gt;"","REJECTED","ADD REASON"),IF(AND(B745&lt;&gt;"",C745&lt;&gt;"",D745&lt;&gt;"",E745&lt;&gt;"",F745&lt;&gt;"",G745&lt;&gt;"",H745&lt;&gt;"",J745&lt;&gt;"",K745&lt;&gt;"",N745&lt;&gt;"",O745&lt;&gt;"",P745&lt;&gt;"",Q745&lt;&gt;"",R745&lt;&gt;"",S745&lt;&gt;"",T745&lt;&gt;"",V745&lt;&gt;"",W745&lt;&gt;"",X745&lt;&gt;"",Y745&lt;&gt;""),"COMPLETE","MISSING FIELDS")))</f>
        <v/>
      </c>
    </row>
    <row r="746" ht="15" customHeight="1" s="15">
      <c r="A746" s="27" t="inlineStr">
        <is>
          <t>LEAD-0742</t>
        </is>
      </c>
      <c r="B746" s="27" t="inlineStr">
        <is>
          <t>Rowan Montgomery</t>
        </is>
      </c>
      <c r="C746" s="27" t="inlineStr">
        <is>
          <t>Expert-Led Creator</t>
        </is>
      </c>
      <c r="D746" s="27" t="inlineStr">
        <is>
          <t>CA</t>
        </is>
      </c>
      <c r="E746" s="27" t="inlineStr">
        <is>
          <t>English</t>
        </is>
      </c>
      <c r="F746" s="27" t="inlineStr">
        <is>
          <t>YouTube</t>
        </is>
      </c>
      <c r="G746" s="27" t="inlineStr">
        <is>
          <t>https://www.youtube.com/@rowanmontgomery</t>
        </is>
      </c>
      <c r="H746" s="27" t="inlineStr">
        <is>
          <t>UCCA00742952536</t>
        </is>
      </c>
      <c r="I746" s="27" t="inlineStr">
        <is>
          <t>160,000</t>
        </is>
      </c>
      <c r="J746" s="27" t="inlineStr">
        <is>
          <t>2026-10-16</t>
        </is>
      </c>
      <c r="K746" s="27" t="inlineStr">
        <is>
          <t>https://www.youtube.com/watch?v=ca00742</t>
        </is>
      </c>
      <c r="L746" s="27" t="n">
        <v>10</v>
      </c>
      <c r="M746" s="27" t="n">
        <v>20</v>
      </c>
      <c r="N746" s="27" t="inlineStr">
        <is>
          <t>Course</t>
        </is>
      </c>
      <c r="O746" s="27" t="inlineStr">
        <is>
          <t>https://rowanmontgomery.com/academy</t>
        </is>
      </c>
      <c r="P746" s="27" t="inlineStr">
        <is>
          <t>Editing Backlog &amp; Team Workflow Overhead</t>
        </is>
      </c>
      <c r="Q746" s="27" t="inlineStr">
        <is>
          <t>https://rowanmontgomery.com/highlights</t>
        </is>
      </c>
      <c r="R746" s="27" t="inlineStr">
        <is>
          <t>X (Twitter)</t>
        </is>
      </c>
      <c r="S746" s="27" t="inlineStr">
        <is>
          <t>https://x.com/rowanmontgomery</t>
        </is>
      </c>
      <c r="T746" s="27" t="inlineStr">
        <is>
          <t>https://rowanmontgomery.com/links</t>
        </is>
      </c>
      <c r="U746" s="27" t="inlineStr">
        <is>
          <t>LinkedIn</t>
        </is>
      </c>
      <c r="V746" s="27" t="inlineStr">
        <is>
          <t>creator business &amp; monetization frameworks, specifically regarding episode 43 on Creator Business &amp; Monetization workflow optimization</t>
        </is>
      </c>
      <c r="W746" s="27" t="inlineStr">
        <is>
          <t>Hi Rowan,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46" s="27" t="inlineStr">
        <is>
          <t>2026-10-18</t>
        </is>
      </c>
      <c r="Y746" s="27" t="inlineStr">
        <is>
          <t>C</t>
        </is>
      </c>
      <c r="Z746" s="27" t="n">
        <v>75.5</v>
      </c>
      <c r="AA746" s="27" t="inlineStr">
        <is>
          <t>Qualified</t>
        </is>
      </c>
      <c r="AB746" s="27" t="inlineStr"/>
      <c r="AC746" s="28">
        <f>IF(A746="","",IF(COUNTIF($H$5:$H$1004,H746)&gt;1,"DUPLICATE","UNIQUE"))</f>
        <v/>
      </c>
      <c r="AD746" s="28">
        <f>IF(A746="","",IF(AA746="Rejected",IF(AB746&lt;&gt;"","REJECTED","ADD REASON"),IF(AND(B746&lt;&gt;"",C746&lt;&gt;"",D746&lt;&gt;"",E746&lt;&gt;"",F746&lt;&gt;"",G746&lt;&gt;"",H746&lt;&gt;"",J746&lt;&gt;"",K746&lt;&gt;"",N746&lt;&gt;"",O746&lt;&gt;"",P746&lt;&gt;"",Q746&lt;&gt;"",R746&lt;&gt;"",S746&lt;&gt;"",T746&lt;&gt;"",V746&lt;&gt;"",W746&lt;&gt;"",X746&lt;&gt;"",Y746&lt;&gt;""),"COMPLETE","MISSING FIELDS")))</f>
        <v/>
      </c>
    </row>
    <row r="747" ht="15" customHeight="1" s="15">
      <c r="A747" s="27" t="inlineStr">
        <is>
          <t>LEAD-0743</t>
        </is>
      </c>
      <c r="B747" s="27" t="inlineStr">
        <is>
          <t>Rowan Barrington</t>
        </is>
      </c>
      <c r="C747" s="27" t="inlineStr">
        <is>
          <t>YouTuber</t>
        </is>
      </c>
      <c r="D747" s="27" t="inlineStr">
        <is>
          <t>CA</t>
        </is>
      </c>
      <c r="E747" s="27" t="inlineStr">
        <is>
          <t>English</t>
        </is>
      </c>
      <c r="F747" s="27" t="inlineStr">
        <is>
          <t>YouTube</t>
        </is>
      </c>
      <c r="G747" s="27" t="inlineStr">
        <is>
          <t>https://www.youtube.com/@rowanbarrington</t>
        </is>
      </c>
      <c r="H747" s="27" t="inlineStr">
        <is>
          <t>UCCA00743068029</t>
        </is>
      </c>
      <c r="I747" s="27" t="inlineStr">
        <is>
          <t>180,000</t>
        </is>
      </c>
      <c r="J747" s="27" t="inlineStr">
        <is>
          <t>2026-10-17</t>
        </is>
      </c>
      <c r="K747" s="27" t="inlineStr">
        <is>
          <t>https://www.youtube.com/watch?v=ca00743</t>
        </is>
      </c>
      <c r="L747" s="27" t="n">
        <v>11</v>
      </c>
      <c r="M747" s="27" t="n">
        <v>21</v>
      </c>
      <c r="N747" s="27" t="inlineStr">
        <is>
          <t>Sponsor</t>
        </is>
      </c>
      <c r="O747" s="27" t="inlineStr">
        <is>
          <t>https://rowanbarrington.com/partners</t>
        </is>
      </c>
      <c r="P747" s="27" t="inlineStr">
        <is>
          <t>Shorts Repurposing Bottleneck</t>
        </is>
      </c>
      <c r="Q747" s="27" t="inlineStr">
        <is>
          <t>https://rowanbarrington.com/highlights</t>
        </is>
      </c>
      <c r="R747" s="27" t="inlineStr">
        <is>
          <t>Email</t>
        </is>
      </c>
      <c r="S747" s="27" t="inlineStr">
        <is>
          <t>hello@rowanbarrington.com</t>
        </is>
      </c>
      <c r="T747" s="27" t="inlineStr">
        <is>
          <t>https://rowanbarrington.com/work-with-me</t>
        </is>
      </c>
      <c r="U747" s="27" t="inlineStr">
        <is>
          <t>LinkedIn</t>
        </is>
      </c>
      <c r="V747" s="27" t="inlineStr">
        <is>
          <t>productivity &amp; personal systems frameworks, specifically regarding episode 44 on Productivity &amp; Personal Systems workflow optimization</t>
        </is>
      </c>
      <c r="W747" s="27" t="inlineStr">
        <is>
          <t>Hi Rowan,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47" s="27" t="inlineStr">
        <is>
          <t>2026-10-18</t>
        </is>
      </c>
      <c r="Y747" s="27" t="inlineStr">
        <is>
          <t>C</t>
        </is>
      </c>
      <c r="Z747" s="27" t="n">
        <v>75.40000000000001</v>
      </c>
      <c r="AA747" s="27" t="inlineStr">
        <is>
          <t>Qualified</t>
        </is>
      </c>
      <c r="AB747" s="27" t="inlineStr"/>
      <c r="AC747" s="28">
        <f>IF(A747="","",IF(COUNTIF($H$5:$H$1004,H747)&gt;1,"DUPLICATE","UNIQUE"))</f>
        <v/>
      </c>
      <c r="AD747" s="28">
        <f>IF(A747="","",IF(AA747="Rejected",IF(AB747&lt;&gt;"","REJECTED","ADD REASON"),IF(AND(B747&lt;&gt;"",C747&lt;&gt;"",D747&lt;&gt;"",E747&lt;&gt;"",F747&lt;&gt;"",G747&lt;&gt;"",H747&lt;&gt;"",J747&lt;&gt;"",K747&lt;&gt;"",N747&lt;&gt;"",O747&lt;&gt;"",P747&lt;&gt;"",Q747&lt;&gt;"",R747&lt;&gt;"",S747&lt;&gt;"",T747&lt;&gt;"",V747&lt;&gt;"",W747&lt;&gt;"",X747&lt;&gt;"",Y747&lt;&gt;""),"COMPLETE","MISSING FIELDS")))</f>
        <v/>
      </c>
    </row>
    <row r="748" ht="15" customHeight="1" s="15">
      <c r="A748" s="27" t="inlineStr">
        <is>
          <t>LEAD-0744</t>
        </is>
      </c>
      <c r="B748" s="27" t="inlineStr">
        <is>
          <t>Rowan Thornton</t>
        </is>
      </c>
      <c r="C748" s="27" t="inlineStr">
        <is>
          <t>Podcaster</t>
        </is>
      </c>
      <c r="D748" s="27" t="inlineStr">
        <is>
          <t>CA</t>
        </is>
      </c>
      <c r="E748" s="27" t="inlineStr">
        <is>
          <t>English</t>
        </is>
      </c>
      <c r="F748" s="27" t="inlineStr">
        <is>
          <t>Apple Podcasts</t>
        </is>
      </c>
      <c r="G748" s="27" t="inlineStr">
        <is>
          <t>https://podcasts.apple.com/ca/podcast/rowanthornton/id1000744</t>
        </is>
      </c>
      <c r="H748" s="27" t="inlineStr">
        <is>
          <t>AP-CA-1000744</t>
        </is>
      </c>
      <c r="I748" s="27" t="inlineStr">
        <is>
          <t>240,000</t>
        </is>
      </c>
      <c r="J748" s="27" t="inlineStr">
        <is>
          <t>2026-10-10</t>
        </is>
      </c>
      <c r="K748" s="27" t="inlineStr">
        <is>
          <t>https://rowanthornton.com/episodes/145</t>
        </is>
      </c>
      <c r="L748" s="27" t="n">
        <v>12</v>
      </c>
      <c r="M748" s="27" t="n">
        <v>22</v>
      </c>
      <c r="N748" s="27" t="inlineStr">
        <is>
          <t>Membership</t>
        </is>
      </c>
      <c r="O748" s="27" t="inlineStr">
        <is>
          <t>https://rowanthornton.com/community</t>
        </is>
      </c>
      <c r="P748" s="27" t="inlineStr">
        <is>
          <t>Inconsistent Cross-Platform Publishing</t>
        </is>
      </c>
      <c r="Q748" s="27" t="inlineStr">
        <is>
          <t>https://rowanthornton.com/highlights</t>
        </is>
      </c>
      <c r="R748" s="27" t="inlineStr">
        <is>
          <t>Email</t>
        </is>
      </c>
      <c r="S748" s="27" t="inlineStr">
        <is>
          <t>contact@rowanthornton.com</t>
        </is>
      </c>
      <c r="T748" s="27" t="inlineStr">
        <is>
          <t>https://rowanthornton.com/contact</t>
        </is>
      </c>
      <c r="U748" s="27" t="inlineStr">
        <is>
          <t>LinkedIn</t>
        </is>
      </c>
      <c r="V748" s="27" t="inlineStr">
        <is>
          <t>leadership &amp; team ops frameworks, specifically regarding episode 45 on Leadership &amp; Team Ops workflow optimization</t>
        </is>
      </c>
      <c r="W748" s="27" t="inlineStr">
        <is>
          <t>Hi Rowan,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48" s="27" t="inlineStr">
        <is>
          <t>2026-10-18</t>
        </is>
      </c>
      <c r="Y748" s="27" t="inlineStr">
        <is>
          <t>C</t>
        </is>
      </c>
      <c r="Z748" s="27" t="n">
        <v>75.40000000000001</v>
      </c>
      <c r="AA748" s="27" t="inlineStr">
        <is>
          <t>Qualified</t>
        </is>
      </c>
      <c r="AB748" s="27" t="inlineStr"/>
      <c r="AC748" s="28">
        <f>IF(A748="","",IF(COUNTIF($H$5:$H$1004,H748)&gt;1,"DUPLICATE","UNIQUE"))</f>
        <v/>
      </c>
      <c r="AD748" s="28">
        <f>IF(A748="","",IF(AA748="Rejected",IF(AB748&lt;&gt;"","REJECTED","ADD REASON"),IF(AND(B748&lt;&gt;"",C748&lt;&gt;"",D748&lt;&gt;"",E748&lt;&gt;"",F748&lt;&gt;"",G748&lt;&gt;"",H748&lt;&gt;"",J748&lt;&gt;"",K748&lt;&gt;"",N748&lt;&gt;"",O748&lt;&gt;"",P748&lt;&gt;"",Q748&lt;&gt;"",R748&lt;&gt;"",S748&lt;&gt;"",T748&lt;&gt;"",V748&lt;&gt;"",W748&lt;&gt;"",X748&lt;&gt;"",Y748&lt;&gt;""),"COMPLETE","MISSING FIELDS")))</f>
        <v/>
      </c>
    </row>
    <row r="749" ht="15" customHeight="1" s="15">
      <c r="A749" s="27" t="inlineStr">
        <is>
          <t>LEAD-0745</t>
        </is>
      </c>
      <c r="B749" s="27" t="inlineStr">
        <is>
          <t>Rowan Wellington</t>
        </is>
      </c>
      <c r="C749" s="27" t="inlineStr">
        <is>
          <t>Expert-Led Creator</t>
        </is>
      </c>
      <c r="D749" s="27" t="inlineStr">
        <is>
          <t>CA</t>
        </is>
      </c>
      <c r="E749" s="27" t="inlineStr">
        <is>
          <t>English</t>
        </is>
      </c>
      <c r="F749" s="27" t="inlineStr">
        <is>
          <t>LinkedIn</t>
        </is>
      </c>
      <c r="G749" s="27" t="inlineStr">
        <is>
          <t>https://www.linkedin.com/in/rowanwellington</t>
        </is>
      </c>
      <c r="H749" s="27" t="inlineStr">
        <is>
          <t>LI-rowanwellington-0745</t>
        </is>
      </c>
      <c r="I749" s="27" t="inlineStr">
        <is>
          <t>156,000</t>
        </is>
      </c>
      <c r="J749" s="27" t="inlineStr">
        <is>
          <t>2026-10-11</t>
        </is>
      </c>
      <c r="K749" s="27" t="inlineStr">
        <is>
          <t>https://rowanwellington.com/posts/146</t>
        </is>
      </c>
      <c r="L749" s="27" t="n">
        <v>13</v>
      </c>
      <c r="M749" s="27" t="n">
        <v>23</v>
      </c>
      <c r="N749" s="27" t="inlineStr">
        <is>
          <t>Product</t>
        </is>
      </c>
      <c r="O749" s="27" t="inlineStr">
        <is>
          <t>https://rowanwellington.com/shop</t>
        </is>
      </c>
      <c r="P749" s="27" t="inlineStr">
        <is>
          <t>Editing Backlog &amp; Team Workflow Overhead</t>
        </is>
      </c>
      <c r="Q749" s="27" t="inlineStr">
        <is>
          <t>https://rowanwellington.com/highlights</t>
        </is>
      </c>
      <c r="R749" s="27" t="inlineStr">
        <is>
          <t>LinkedIn</t>
        </is>
      </c>
      <c r="S749" s="27" t="inlineStr">
        <is>
          <t>https://linkedin.com/in/rowanwellington</t>
        </is>
      </c>
      <c r="T749" s="27" t="inlineStr">
        <is>
          <t>https://rowanwellington.com/about</t>
        </is>
      </c>
      <c r="U749" s="27" t="inlineStr">
        <is>
          <t>Email</t>
        </is>
      </c>
      <c r="V749" s="27" t="inlineStr">
        <is>
          <t>b2b marketing &amp; sales frameworks, specifically regarding episode 46 on B2B Marketing &amp; Sales workflow optimization</t>
        </is>
      </c>
      <c r="W749" s="27" t="inlineStr">
        <is>
          <t>Hi Rowan,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49" s="27" t="inlineStr">
        <is>
          <t>2026-10-18</t>
        </is>
      </c>
      <c r="Y749" s="27" t="inlineStr">
        <is>
          <t>C</t>
        </is>
      </c>
      <c r="Z749" s="27" t="n">
        <v>75.3</v>
      </c>
      <c r="AA749" s="27" t="inlineStr">
        <is>
          <t>Qualified</t>
        </is>
      </c>
      <c r="AB749" s="27" t="inlineStr"/>
      <c r="AC749" s="28">
        <f>IF(A749="","",IF(COUNTIF($H$5:$H$1004,H749)&gt;1,"DUPLICATE","UNIQUE"))</f>
        <v/>
      </c>
      <c r="AD749" s="28">
        <f>IF(A749="","",IF(AA749="Rejected",IF(AB749&lt;&gt;"","REJECTED","ADD REASON"),IF(AND(B749&lt;&gt;"",C749&lt;&gt;"",D749&lt;&gt;"",E749&lt;&gt;"",F749&lt;&gt;"",G749&lt;&gt;"",H749&lt;&gt;"",J749&lt;&gt;"",K749&lt;&gt;"",N749&lt;&gt;"",O749&lt;&gt;"",P749&lt;&gt;"",Q749&lt;&gt;"",R749&lt;&gt;"",S749&lt;&gt;"",T749&lt;&gt;"",V749&lt;&gt;"",W749&lt;&gt;"",X749&lt;&gt;"",Y749&lt;&gt;""),"COMPLETE","MISSING FIELDS")))</f>
        <v/>
      </c>
    </row>
    <row r="750" ht="15" customHeight="1" s="15">
      <c r="A750" s="27" t="inlineStr">
        <is>
          <t>LEAD-0746</t>
        </is>
      </c>
      <c r="B750" s="27" t="inlineStr">
        <is>
          <t>Sebastian Ashford</t>
        </is>
      </c>
      <c r="C750" s="27" t="inlineStr">
        <is>
          <t>YouTuber</t>
        </is>
      </c>
      <c r="D750" s="27" t="inlineStr">
        <is>
          <t>CA</t>
        </is>
      </c>
      <c r="E750" s="27" t="inlineStr">
        <is>
          <t>English</t>
        </is>
      </c>
      <c r="F750" s="27" t="inlineStr">
        <is>
          <t>YouTube</t>
        </is>
      </c>
      <c r="G750" s="27" t="inlineStr">
        <is>
          <t>https://www.youtube.com/@sebastianashford</t>
        </is>
      </c>
      <c r="H750" s="27" t="inlineStr">
        <is>
          <t>UCCA00746706014</t>
        </is>
      </c>
      <c r="I750" s="27" t="inlineStr">
        <is>
          <t>240,000</t>
        </is>
      </c>
      <c r="J750" s="27" t="inlineStr">
        <is>
          <t>2026-10-12</t>
        </is>
      </c>
      <c r="K750" s="27" t="inlineStr">
        <is>
          <t>https://www.youtube.com/watch?v=ca00746</t>
        </is>
      </c>
      <c r="L750" s="27" t="n">
        <v>14</v>
      </c>
      <c r="M750" s="27" t="n">
        <v>24</v>
      </c>
      <c r="N750" s="27" t="inlineStr">
        <is>
          <t>Consulting</t>
        </is>
      </c>
      <c r="O750" s="27" t="inlineStr">
        <is>
          <t>https://sebastianashford.com/advisory</t>
        </is>
      </c>
      <c r="P750" s="27" t="inlineStr">
        <is>
          <t>Multilingual Audio Dubbing</t>
        </is>
      </c>
      <c r="Q750" s="27" t="inlineStr">
        <is>
          <t>https://sebastianashford.com/highlights</t>
        </is>
      </c>
      <c r="R750" s="27" t="inlineStr">
        <is>
          <t>X (Twitter)</t>
        </is>
      </c>
      <c r="S750" s="27" t="inlineStr">
        <is>
          <t>https://x.com/sebastianashford</t>
        </is>
      </c>
      <c r="T750" s="27" t="inlineStr">
        <is>
          <t>https://sebastianashford.com/links</t>
        </is>
      </c>
      <c r="U750" s="27" t="inlineStr">
        <is>
          <t>LinkedIn</t>
        </is>
      </c>
      <c r="V750" s="27" t="inlineStr">
        <is>
          <t>finance &amp; wealth engineering frameworks, specifically regarding episode 47 on Finance &amp; Wealth Engineering workflow optimization</t>
        </is>
      </c>
      <c r="W750" s="27" t="inlineStr">
        <is>
          <t>Hi Sebastian,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50" s="27" t="inlineStr">
        <is>
          <t>2026-10-18</t>
        </is>
      </c>
      <c r="Y750" s="27" t="inlineStr">
        <is>
          <t>C</t>
        </is>
      </c>
      <c r="Z750" s="27" t="n">
        <v>75.2</v>
      </c>
      <c r="AA750" s="27" t="inlineStr">
        <is>
          <t>Qualified</t>
        </is>
      </c>
      <c r="AB750" s="27" t="inlineStr"/>
      <c r="AC750" s="28">
        <f>IF(A750="","",IF(COUNTIF($H$5:$H$1004,H750)&gt;1,"DUPLICATE","UNIQUE"))</f>
        <v/>
      </c>
      <c r="AD750" s="28">
        <f>IF(A750="","",IF(AA750="Rejected",IF(AB750&lt;&gt;"","REJECTED","ADD REASON"),IF(AND(B750&lt;&gt;"",C750&lt;&gt;"",D750&lt;&gt;"",E750&lt;&gt;"",F750&lt;&gt;"",G750&lt;&gt;"",H750&lt;&gt;"",J750&lt;&gt;"",K750&lt;&gt;"",N750&lt;&gt;"",O750&lt;&gt;"",P750&lt;&gt;"",Q750&lt;&gt;"",R750&lt;&gt;"",S750&lt;&gt;"",T750&lt;&gt;"",V750&lt;&gt;"",W750&lt;&gt;"",X750&lt;&gt;"",Y750&lt;&gt;""),"COMPLETE","MISSING FIELDS")))</f>
        <v/>
      </c>
    </row>
    <row r="751" ht="15" customHeight="1" s="15">
      <c r="A751" s="27" t="inlineStr">
        <is>
          <t>LEAD-0747</t>
        </is>
      </c>
      <c r="B751" s="27" t="inlineStr">
        <is>
          <t>Sebastian Bancroft</t>
        </is>
      </c>
      <c r="C751" s="27" t="inlineStr">
        <is>
          <t>Podcaster</t>
        </is>
      </c>
      <c r="D751" s="27" t="inlineStr">
        <is>
          <t>CA</t>
        </is>
      </c>
      <c r="E751" s="27" t="inlineStr">
        <is>
          <t>English</t>
        </is>
      </c>
      <c r="F751" s="27" t="inlineStr">
        <is>
          <t>Apple Podcasts</t>
        </is>
      </c>
      <c r="G751" s="27" t="inlineStr">
        <is>
          <t>https://podcasts.apple.com/ca/podcast/sebastianbancroft/id1000747</t>
        </is>
      </c>
      <c r="H751" s="27" t="inlineStr">
        <is>
          <t>AP-CA-1000747</t>
        </is>
      </c>
      <c r="I751" s="27" t="inlineStr">
        <is>
          <t>276,000</t>
        </is>
      </c>
      <c r="J751" s="27" t="inlineStr">
        <is>
          <t>2026-10-13</t>
        </is>
      </c>
      <c r="K751" s="27" t="inlineStr">
        <is>
          <t>https://sebastianbancroft.com/episodes/148</t>
        </is>
      </c>
      <c r="L751" s="27" t="n">
        <v>15</v>
      </c>
      <c r="M751" s="27" t="n">
        <v>25</v>
      </c>
      <c r="N751" s="27" t="inlineStr">
        <is>
          <t>Newsletter Subscription</t>
        </is>
      </c>
      <c r="O751" s="27" t="inlineStr">
        <is>
          <t>https://sebastianbancroft.com/subscribe</t>
        </is>
      </c>
      <c r="P751" s="27" t="inlineStr">
        <is>
          <t>Multilingual Audio Dubbing</t>
        </is>
      </c>
      <c r="Q751" s="27" t="inlineStr">
        <is>
          <t>https://sebastianbancroft.com/highlights</t>
        </is>
      </c>
      <c r="R751" s="27" t="inlineStr">
        <is>
          <t>Email</t>
        </is>
      </c>
      <c r="S751" s="27" t="inlineStr">
        <is>
          <t>hello@sebastianbancroft.com</t>
        </is>
      </c>
      <c r="T751" s="27" t="inlineStr">
        <is>
          <t>https://sebastianbancroft.com/work-with-me</t>
        </is>
      </c>
      <c r="U751" s="27" t="inlineStr">
        <is>
          <t>LinkedIn</t>
        </is>
      </c>
      <c r="V751" s="27" t="inlineStr">
        <is>
          <t>health &amp; longevity science frameworks, specifically regarding episode 48 on Health &amp; Longevity Science workflow optimization</t>
        </is>
      </c>
      <c r="W751" s="27" t="inlineStr">
        <is>
          <t>Hi Sebastian,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51" s="27" t="inlineStr">
        <is>
          <t>2026-10-18</t>
        </is>
      </c>
      <c r="Y751" s="27" t="inlineStr">
        <is>
          <t>C</t>
        </is>
      </c>
      <c r="Z751" s="27" t="n">
        <v>75.2</v>
      </c>
      <c r="AA751" s="27" t="inlineStr">
        <is>
          <t>Qualified</t>
        </is>
      </c>
      <c r="AB751" s="27" t="inlineStr"/>
      <c r="AC751" s="28">
        <f>IF(A751="","",IF(COUNTIF($H$5:$H$1004,H751)&gt;1,"DUPLICATE","UNIQUE"))</f>
        <v/>
      </c>
      <c r="AD751" s="28">
        <f>IF(A751="","",IF(AA751="Rejected",IF(AB751&lt;&gt;"","REJECTED","ADD REASON"),IF(AND(B751&lt;&gt;"",C751&lt;&gt;"",D751&lt;&gt;"",E751&lt;&gt;"",F751&lt;&gt;"",G751&lt;&gt;"",H751&lt;&gt;"",J751&lt;&gt;"",K751&lt;&gt;"",N751&lt;&gt;"",O751&lt;&gt;"",P751&lt;&gt;"",Q751&lt;&gt;"",R751&lt;&gt;"",S751&lt;&gt;"",T751&lt;&gt;"",V751&lt;&gt;"",W751&lt;&gt;"",X751&lt;&gt;"",Y751&lt;&gt;""),"COMPLETE","MISSING FIELDS")))</f>
        <v/>
      </c>
    </row>
    <row r="752" ht="15" customHeight="1" s="15">
      <c r="A752" s="27" t="inlineStr">
        <is>
          <t>LEAD-0748</t>
        </is>
      </c>
      <c r="B752" s="27" t="inlineStr">
        <is>
          <t>Sebastian Calloway</t>
        </is>
      </c>
      <c r="C752" s="27" t="inlineStr">
        <is>
          <t>YouTuber</t>
        </is>
      </c>
      <c r="D752" s="27" t="inlineStr">
        <is>
          <t>CA</t>
        </is>
      </c>
      <c r="E752" s="27" t="inlineStr">
        <is>
          <t>English</t>
        </is>
      </c>
      <c r="F752" s="27" t="inlineStr">
        <is>
          <t>YouTube</t>
        </is>
      </c>
      <c r="G752" s="27" t="inlineStr">
        <is>
          <t>https://www.youtube.com/@sebastiancalloway</t>
        </is>
      </c>
      <c r="H752" s="27" t="inlineStr">
        <is>
          <t>UCCA00748067687</t>
        </is>
      </c>
      <c r="I752" s="27" t="inlineStr">
        <is>
          <t>280,000</t>
        </is>
      </c>
      <c r="J752" s="27" t="inlineStr">
        <is>
          <t>2026-10-14</t>
        </is>
      </c>
      <c r="K752" s="27" t="inlineStr">
        <is>
          <t>https://www.youtube.com/watch?v=ca00748</t>
        </is>
      </c>
      <c r="L752" s="27" t="n">
        <v>16</v>
      </c>
      <c r="M752" s="27" t="n">
        <v>26</v>
      </c>
      <c r="N752" s="27" t="inlineStr">
        <is>
          <t>Affiliate</t>
        </is>
      </c>
      <c r="O752" s="27" t="inlineStr">
        <is>
          <t>https://sebastiancalloway.com/resources</t>
        </is>
      </c>
      <c r="P752" s="27" t="inlineStr">
        <is>
          <t>Missing Video Captions &amp; Retention Clips</t>
        </is>
      </c>
      <c r="Q752" s="27" t="inlineStr">
        <is>
          <t>https://sebastiancalloway.com/highlights</t>
        </is>
      </c>
      <c r="R752" s="27" t="inlineStr">
        <is>
          <t>Email</t>
        </is>
      </c>
      <c r="S752" s="27" t="inlineStr">
        <is>
          <t>contact@sebastiancalloway.com</t>
        </is>
      </c>
      <c r="T752" s="27" t="inlineStr">
        <is>
          <t>https://sebastiancalloway.com/contact</t>
        </is>
      </c>
      <c r="U752" s="27" t="inlineStr">
        <is>
          <t>LinkedIn</t>
        </is>
      </c>
      <c r="V752" s="27" t="inlineStr">
        <is>
          <t>education &amp; applied coding frameworks, specifically regarding episode 49 on Education &amp; Applied Coding workflow optimization</t>
        </is>
      </c>
      <c r="W752" s="27" t="inlineStr">
        <is>
          <t>Hi Sebastian,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52" s="27" t="inlineStr">
        <is>
          <t>2026-10-18</t>
        </is>
      </c>
      <c r="Y752" s="27" t="inlineStr">
        <is>
          <t>C</t>
        </is>
      </c>
      <c r="Z752" s="27" t="n">
        <v>75.09999999999999</v>
      </c>
      <c r="AA752" s="27" t="inlineStr">
        <is>
          <t>Qualified</t>
        </is>
      </c>
      <c r="AB752" s="27" t="inlineStr"/>
      <c r="AC752" s="28">
        <f>IF(A752="","",IF(COUNTIF($H$5:$H$1004,H752)&gt;1,"DUPLICATE","UNIQUE"))</f>
        <v/>
      </c>
      <c r="AD752" s="28">
        <f>IF(A752="","",IF(AA752="Rejected",IF(AB752&lt;&gt;"","REJECTED","ADD REASON"),IF(AND(B752&lt;&gt;"",C752&lt;&gt;"",D752&lt;&gt;"",E752&lt;&gt;"",F752&lt;&gt;"",G752&lt;&gt;"",H752&lt;&gt;"",J752&lt;&gt;"",K752&lt;&gt;"",N752&lt;&gt;"",O752&lt;&gt;"",P752&lt;&gt;"",Q752&lt;&gt;"",R752&lt;&gt;"",S752&lt;&gt;"",T752&lt;&gt;"",V752&lt;&gt;"",W752&lt;&gt;"",X752&lt;&gt;"",Y752&lt;&gt;""),"COMPLETE","MISSING FIELDS")))</f>
        <v/>
      </c>
    </row>
    <row r="753" ht="15" customHeight="1" s="15">
      <c r="A753" s="27" t="inlineStr">
        <is>
          <t>LEAD-0749</t>
        </is>
      </c>
      <c r="B753" s="27" t="inlineStr">
        <is>
          <t>Sebastian Delaney</t>
        </is>
      </c>
      <c r="C753" s="27" t="inlineStr">
        <is>
          <t>Podcaster</t>
        </is>
      </c>
      <c r="D753" s="27" t="inlineStr">
        <is>
          <t>CA</t>
        </is>
      </c>
      <c r="E753" s="27" t="inlineStr">
        <is>
          <t>English</t>
        </is>
      </c>
      <c r="F753" s="27" t="inlineStr">
        <is>
          <t>Apple Podcasts</t>
        </is>
      </c>
      <c r="G753" s="27" t="inlineStr">
        <is>
          <t>https://podcasts.apple.com/ca/podcast/sebastiandelaney/id1000749</t>
        </is>
      </c>
      <c r="H753" s="27" t="inlineStr">
        <is>
          <t>AP-CA-1000749</t>
        </is>
      </c>
      <c r="I753" s="27" t="inlineStr">
        <is>
          <t>300,000</t>
        </is>
      </c>
      <c r="J753" s="27" t="inlineStr">
        <is>
          <t>2026-10-15</t>
        </is>
      </c>
      <c r="K753" s="27" t="inlineStr">
        <is>
          <t>https://sebastiandelaney.com/episodes/150</t>
        </is>
      </c>
      <c r="L753" s="27" t="n">
        <v>17</v>
      </c>
      <c r="M753" s="27" t="n">
        <v>27</v>
      </c>
      <c r="N753" s="27" t="inlineStr">
        <is>
          <t>Course</t>
        </is>
      </c>
      <c r="O753" s="27" t="inlineStr">
        <is>
          <t>https://sebastiandelaney.com/academy</t>
        </is>
      </c>
      <c r="P753" s="27" t="inlineStr">
        <is>
          <t>Shorts Repurposing Bottleneck</t>
        </is>
      </c>
      <c r="Q753" s="27" t="inlineStr">
        <is>
          <t>https://sebastiandelaney.com/highlights</t>
        </is>
      </c>
      <c r="R753" s="27" t="inlineStr">
        <is>
          <t>LinkedIn</t>
        </is>
      </c>
      <c r="S753" s="27" t="inlineStr">
        <is>
          <t>https://linkedin.com/in/sebastiandelaney</t>
        </is>
      </c>
      <c r="T753" s="27" t="inlineStr">
        <is>
          <t>https://sebastiandelaney.com/about</t>
        </is>
      </c>
      <c r="U753" s="27" t="inlineStr">
        <is>
          <t>Email</t>
        </is>
      </c>
      <c r="V753" s="27" t="inlineStr">
        <is>
          <t>e-commerce &amp; digital brands frameworks, specifically regarding episode 50 on E-Commerce &amp; Digital Brands workflow optimization</t>
        </is>
      </c>
      <c r="W753" s="27" t="inlineStr">
        <is>
          <t>Hi Sebastian,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53" s="27" t="inlineStr">
        <is>
          <t>2026-10-18</t>
        </is>
      </c>
      <c r="Y753" s="27" t="inlineStr">
        <is>
          <t>C</t>
        </is>
      </c>
      <c r="Z753" s="27" t="n">
        <v>75.09999999999999</v>
      </c>
      <c r="AA753" s="27" t="inlineStr">
        <is>
          <t>Qualified</t>
        </is>
      </c>
      <c r="AB753" s="27" t="inlineStr"/>
      <c r="AC753" s="28">
        <f>IF(A753="","",IF(COUNTIF($H$5:$H$1004,H753)&gt;1,"DUPLICATE","UNIQUE"))</f>
        <v/>
      </c>
      <c r="AD753" s="28">
        <f>IF(A753="","",IF(AA753="Rejected",IF(AB753&lt;&gt;"","REJECTED","ADD REASON"),IF(AND(B753&lt;&gt;"",C753&lt;&gt;"",D753&lt;&gt;"",E753&lt;&gt;"",F753&lt;&gt;"",G753&lt;&gt;"",H753&lt;&gt;"",J753&lt;&gt;"",K753&lt;&gt;"",N753&lt;&gt;"",O753&lt;&gt;"",P753&lt;&gt;"",Q753&lt;&gt;"",R753&lt;&gt;"",S753&lt;&gt;"",T753&lt;&gt;"",V753&lt;&gt;"",W753&lt;&gt;"",X753&lt;&gt;"",Y753&lt;&gt;""),"COMPLETE","MISSING FIELDS")))</f>
        <v/>
      </c>
    </row>
    <row r="754" ht="15" customHeight="1" s="15">
      <c r="A754" s="27" t="inlineStr">
        <is>
          <t>LEAD-0750</t>
        </is>
      </c>
      <c r="B754" s="27" t="inlineStr">
        <is>
          <t>Sebastian Eastwood</t>
        </is>
      </c>
      <c r="C754" s="27" t="inlineStr">
        <is>
          <t>YouTuber</t>
        </is>
      </c>
      <c r="D754" s="27" t="inlineStr">
        <is>
          <t>CA</t>
        </is>
      </c>
      <c r="E754" s="27" t="inlineStr">
        <is>
          <t>English</t>
        </is>
      </c>
      <c r="F754" s="27" t="inlineStr">
        <is>
          <t>YouTube</t>
        </is>
      </c>
      <c r="G754" s="27" t="inlineStr">
        <is>
          <t>https://www.youtube.com/@sebastianeastwood</t>
        </is>
      </c>
      <c r="H754" s="27" t="inlineStr">
        <is>
          <t>UCCA00750307770</t>
        </is>
      </c>
      <c r="I754" s="27" t="inlineStr">
        <is>
          <t>320,000</t>
        </is>
      </c>
      <c r="J754" s="27" t="inlineStr">
        <is>
          <t>2026-10-16</t>
        </is>
      </c>
      <c r="K754" s="27" t="inlineStr">
        <is>
          <t>https://www.youtube.com/watch?v=ca00750</t>
        </is>
      </c>
      <c r="L754" s="27" t="n">
        <v>8</v>
      </c>
      <c r="M754" s="27" t="n">
        <v>28</v>
      </c>
      <c r="N754" s="27" t="inlineStr">
        <is>
          <t>Sponsor</t>
        </is>
      </c>
      <c r="O754" s="27" t="inlineStr">
        <is>
          <t>https://sebastianeastwood.com/partners</t>
        </is>
      </c>
      <c r="P754" s="27" t="inlineStr">
        <is>
          <t>Shorts Repurposing Bottleneck</t>
        </is>
      </c>
      <c r="Q754" s="27" t="inlineStr">
        <is>
          <t>https://sebastianeastwood.com/highlights</t>
        </is>
      </c>
      <c r="R754" s="27" t="inlineStr">
        <is>
          <t>X (Twitter)</t>
        </is>
      </c>
      <c r="S754" s="27" t="inlineStr">
        <is>
          <t>https://x.com/sebastianeastwood</t>
        </is>
      </c>
      <c r="T754" s="27" t="inlineStr">
        <is>
          <t>https://sebastianeastwood.com/links</t>
        </is>
      </c>
      <c r="U754" s="27" t="inlineStr">
        <is>
          <t>LinkedIn</t>
        </is>
      </c>
      <c r="V754" s="27" t="inlineStr">
        <is>
          <t>tech &amp; ai frameworks, specifically regarding episode 1 on Tech &amp; AI workflow optimization</t>
        </is>
      </c>
      <c r="W754" s="27" t="inlineStr">
        <is>
          <t>Hi Sebastian,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54" s="27" t="inlineStr">
        <is>
          <t>2026-10-18</t>
        </is>
      </c>
      <c r="Y754" s="27" t="inlineStr">
        <is>
          <t>C</t>
        </is>
      </c>
      <c r="Z754" s="27" t="n">
        <v>75</v>
      </c>
      <c r="AA754" s="27" t="inlineStr">
        <is>
          <t>Qualified</t>
        </is>
      </c>
      <c r="AB754" s="27" t="inlineStr"/>
      <c r="AC754" s="28">
        <f>IF(A754="","",IF(COUNTIF($H$5:$H$1004,H754)&gt;1,"DUPLICATE","UNIQUE"))</f>
        <v/>
      </c>
      <c r="AD754" s="28">
        <f>IF(A754="","",IF(AA754="Rejected",IF(AB754&lt;&gt;"","REJECTED","ADD REASON"),IF(AND(B754&lt;&gt;"",C754&lt;&gt;"",D754&lt;&gt;"",E754&lt;&gt;"",F754&lt;&gt;"",G754&lt;&gt;"",H754&lt;&gt;"",J754&lt;&gt;"",K754&lt;&gt;"",N754&lt;&gt;"",O754&lt;&gt;"",P754&lt;&gt;"",Q754&lt;&gt;"",R754&lt;&gt;"",S754&lt;&gt;"",T754&lt;&gt;"",V754&lt;&gt;"",W754&lt;&gt;"",X754&lt;&gt;"",Y754&lt;&gt;""),"COMPLETE","MISSING FIELDS")))</f>
        <v/>
      </c>
    </row>
    <row r="755" ht="15" customHeight="1" s="15">
      <c r="A755" s="27" t="inlineStr">
        <is>
          <t>LEAD-0751</t>
        </is>
      </c>
      <c r="B755" s="27" t="inlineStr">
        <is>
          <t>Sebastian Fairchild</t>
        </is>
      </c>
      <c r="C755" s="27" t="inlineStr">
        <is>
          <t>Podcaster</t>
        </is>
      </c>
      <c r="D755" s="27" t="inlineStr">
        <is>
          <t>CA</t>
        </is>
      </c>
      <c r="E755" s="27" t="inlineStr">
        <is>
          <t>English</t>
        </is>
      </c>
      <c r="F755" s="27" t="inlineStr">
        <is>
          <t>Apple Podcasts</t>
        </is>
      </c>
      <c r="G755" s="27" t="inlineStr">
        <is>
          <t>https://podcasts.apple.com/ca/podcast/sebastianfairchild/id1000751</t>
        </is>
      </c>
      <c r="H755" s="27" t="inlineStr">
        <is>
          <t>AP-CA-1000751</t>
        </is>
      </c>
      <c r="I755" s="27" t="inlineStr">
        <is>
          <t>24,000</t>
        </is>
      </c>
      <c r="J755" s="27" t="inlineStr">
        <is>
          <t>2026-10-17</t>
        </is>
      </c>
      <c r="K755" s="27" t="inlineStr">
        <is>
          <t>https://sebastianfairchild.com/episodes/152</t>
        </is>
      </c>
      <c r="L755" s="27" t="n">
        <v>9</v>
      </c>
      <c r="M755" s="27" t="n">
        <v>29</v>
      </c>
      <c r="N755" s="27" t="inlineStr">
        <is>
          <t>Membership</t>
        </is>
      </c>
      <c r="O755" s="27" t="inlineStr">
        <is>
          <t>https://sebastianfairchild.com/community</t>
        </is>
      </c>
      <c r="P755" s="27" t="inlineStr">
        <is>
          <t>Missing Video Captions &amp; Retention Clips</t>
        </is>
      </c>
      <c r="Q755" s="27" t="inlineStr">
        <is>
          <t>https://sebastianfairchild.com/highlights</t>
        </is>
      </c>
      <c r="R755" s="27" t="inlineStr">
        <is>
          <t>Email</t>
        </is>
      </c>
      <c r="S755" s="27" t="inlineStr">
        <is>
          <t>hello@sebastianfairchild.com</t>
        </is>
      </c>
      <c r="T755" s="27" t="inlineStr">
        <is>
          <t>https://sebastianfairchild.com/work-with-me</t>
        </is>
      </c>
      <c r="U755" s="27" t="inlineStr">
        <is>
          <t>LinkedIn</t>
        </is>
      </c>
      <c r="V755" s="27" t="inlineStr">
        <is>
          <t>saas &amp; product growth frameworks, specifically regarding episode 2 on SaaS &amp; Product Growth workflow optimization</t>
        </is>
      </c>
      <c r="W755" s="27" t="inlineStr">
        <is>
          <t>Hi Sebastian, loved your recent piece on 'saas &amp; product growth frameworks, specifically regarding episode 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55" s="27" t="inlineStr">
        <is>
          <t>2026-10-18</t>
        </is>
      </c>
      <c r="Y755" s="27" t="inlineStr">
        <is>
          <t>C</t>
        </is>
      </c>
      <c r="Z755" s="27" t="n">
        <v>74.90000000000001</v>
      </c>
      <c r="AA755" s="27" t="inlineStr">
        <is>
          <t>Qualified</t>
        </is>
      </c>
      <c r="AB755" s="27" t="inlineStr"/>
      <c r="AC755" s="28">
        <f>IF(A755="","",IF(COUNTIF($H$5:$H$1004,H755)&gt;1,"DUPLICATE","UNIQUE"))</f>
        <v/>
      </c>
      <c r="AD755" s="28">
        <f>IF(A755="","",IF(AA755="Rejected",IF(AB755&lt;&gt;"","REJECTED","ADD REASON"),IF(AND(B755&lt;&gt;"",C755&lt;&gt;"",D755&lt;&gt;"",E755&lt;&gt;"",F755&lt;&gt;"",G755&lt;&gt;"",H755&lt;&gt;"",J755&lt;&gt;"",K755&lt;&gt;"",N755&lt;&gt;"",O755&lt;&gt;"",P755&lt;&gt;"",Q755&lt;&gt;"",R755&lt;&gt;"",S755&lt;&gt;"",T755&lt;&gt;"",V755&lt;&gt;"",W755&lt;&gt;"",X755&lt;&gt;"",Y755&lt;&gt;""),"COMPLETE","MISSING FIELDS")))</f>
        <v/>
      </c>
    </row>
    <row r="756" ht="15" customHeight="1" s="15">
      <c r="A756" s="27" t="inlineStr">
        <is>
          <t>LEAD-0752</t>
        </is>
      </c>
      <c r="B756" s="27" t="inlineStr">
        <is>
          <t>Sebastian Gallagher</t>
        </is>
      </c>
      <c r="C756" s="27" t="inlineStr">
        <is>
          <t>Expert-Led Creator</t>
        </is>
      </c>
      <c r="D756" s="27" t="inlineStr">
        <is>
          <t>CA</t>
        </is>
      </c>
      <c r="E756" s="27" t="inlineStr">
        <is>
          <t>English</t>
        </is>
      </c>
      <c r="F756" s="27" t="inlineStr">
        <is>
          <t>YouTube</t>
        </is>
      </c>
      <c r="G756" s="27" t="inlineStr">
        <is>
          <t>https://www.youtube.com/@sebastiangallagher</t>
        </is>
      </c>
      <c r="H756" s="27" t="inlineStr">
        <is>
          <t>UCCA00752529548</t>
        </is>
      </c>
      <c r="I756" s="27" t="inlineStr">
        <is>
          <t>360,000</t>
        </is>
      </c>
      <c r="J756" s="27" t="inlineStr">
        <is>
          <t>2026-10-10</t>
        </is>
      </c>
      <c r="K756" s="27" t="inlineStr">
        <is>
          <t>https://www.youtube.com/watch?v=ca00752</t>
        </is>
      </c>
      <c r="L756" s="27" t="n">
        <v>10</v>
      </c>
      <c r="M756" s="27" t="n">
        <v>30</v>
      </c>
      <c r="N756" s="27" t="inlineStr">
        <is>
          <t>Product</t>
        </is>
      </c>
      <c r="O756" s="27" t="inlineStr">
        <is>
          <t>https://sebastiangallagher.com/shop</t>
        </is>
      </c>
      <c r="P756" s="27" t="inlineStr">
        <is>
          <t>Editing Backlog &amp; Team Workflow Overhead</t>
        </is>
      </c>
      <c r="Q756" s="27" t="inlineStr">
        <is>
          <t>https://sebastiangallagher.com/highlights</t>
        </is>
      </c>
      <c r="R756" s="27" t="inlineStr">
        <is>
          <t>Email</t>
        </is>
      </c>
      <c r="S756" s="27" t="inlineStr">
        <is>
          <t>contact@sebastiangallagher.com</t>
        </is>
      </c>
      <c r="T756" s="27" t="inlineStr">
        <is>
          <t>https://sebastiangallagher.com/contact</t>
        </is>
      </c>
      <c r="U756" s="27" t="inlineStr">
        <is>
          <t>LinkedIn</t>
        </is>
      </c>
      <c r="V756" s="27" t="inlineStr">
        <is>
          <t>creator business &amp; monetization frameworks, specifically regarding episode 3 on Creator Business &amp; Monetization workflow optimization</t>
        </is>
      </c>
      <c r="W756" s="27" t="inlineStr">
        <is>
          <t>Hi Sebastian, loved your recent piece on 'creator business &amp; monetization frameworks, specifically regarding episode 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56" s="27" t="inlineStr">
        <is>
          <t>2026-10-18</t>
        </is>
      </c>
      <c r="Y756" s="27" t="inlineStr">
        <is>
          <t>C</t>
        </is>
      </c>
      <c r="Z756" s="27" t="n">
        <v>74.90000000000001</v>
      </c>
      <c r="AA756" s="27" t="inlineStr">
        <is>
          <t>Qualified</t>
        </is>
      </c>
      <c r="AB756" s="27" t="inlineStr"/>
      <c r="AC756" s="28">
        <f>IF(A756="","",IF(COUNTIF($H$5:$H$1004,H756)&gt;1,"DUPLICATE","UNIQUE"))</f>
        <v/>
      </c>
      <c r="AD756" s="28">
        <f>IF(A756="","",IF(AA756="Rejected",IF(AB756&lt;&gt;"","REJECTED","ADD REASON"),IF(AND(B756&lt;&gt;"",C756&lt;&gt;"",D756&lt;&gt;"",E756&lt;&gt;"",F756&lt;&gt;"",G756&lt;&gt;"",H756&lt;&gt;"",J756&lt;&gt;"",K756&lt;&gt;"",N756&lt;&gt;"",O756&lt;&gt;"",P756&lt;&gt;"",Q756&lt;&gt;"",R756&lt;&gt;"",S756&lt;&gt;"",T756&lt;&gt;"",V756&lt;&gt;"",W756&lt;&gt;"",X756&lt;&gt;"",Y756&lt;&gt;""),"COMPLETE","MISSING FIELDS")))</f>
        <v/>
      </c>
    </row>
    <row r="757" ht="15" customHeight="1" s="15">
      <c r="A757" s="27" t="inlineStr">
        <is>
          <t>LEAD-0753</t>
        </is>
      </c>
      <c r="B757" s="27" t="inlineStr">
        <is>
          <t>Sebastian Hawthorne</t>
        </is>
      </c>
      <c r="C757" s="27" t="inlineStr">
        <is>
          <t>YouTuber</t>
        </is>
      </c>
      <c r="D757" s="27" t="inlineStr">
        <is>
          <t>CA</t>
        </is>
      </c>
      <c r="E757" s="27" t="inlineStr">
        <is>
          <t>English</t>
        </is>
      </c>
      <c r="F757" s="27" t="inlineStr">
        <is>
          <t>YouTube</t>
        </is>
      </c>
      <c r="G757" s="27" t="inlineStr">
        <is>
          <t>https://www.youtube.com/@sebastianhawthorne</t>
        </is>
      </c>
      <c r="H757" s="27" t="inlineStr">
        <is>
          <t>UCCA00753548544</t>
        </is>
      </c>
      <c r="I757" s="27" t="inlineStr">
        <is>
          <t>380,000</t>
        </is>
      </c>
      <c r="J757" s="27" t="inlineStr">
        <is>
          <t>2026-10-11</t>
        </is>
      </c>
      <c r="K757" s="27" t="inlineStr">
        <is>
          <t>https://www.youtube.com/watch?v=ca00753</t>
        </is>
      </c>
      <c r="L757" s="27" t="n">
        <v>11</v>
      </c>
      <c r="M757" s="27" t="n">
        <v>31</v>
      </c>
      <c r="N757" s="27" t="inlineStr">
        <is>
          <t>Consulting</t>
        </is>
      </c>
      <c r="O757" s="27" t="inlineStr">
        <is>
          <t>https://sebastianhawthorne.com/advisory</t>
        </is>
      </c>
      <c r="P757" s="27" t="inlineStr">
        <is>
          <t>Shorts Repurposing Bottleneck</t>
        </is>
      </c>
      <c r="Q757" s="27" t="inlineStr">
        <is>
          <t>https://sebastianhawthorne.com/highlights</t>
        </is>
      </c>
      <c r="R757" s="27" t="inlineStr">
        <is>
          <t>LinkedIn</t>
        </is>
      </c>
      <c r="S757" s="27" t="inlineStr">
        <is>
          <t>https://linkedin.com/in/sebastianhawthorne</t>
        </is>
      </c>
      <c r="T757" s="27" t="inlineStr">
        <is>
          <t>https://sebastianhawthorne.com/about</t>
        </is>
      </c>
      <c r="U757" s="27" t="inlineStr">
        <is>
          <t>Email</t>
        </is>
      </c>
      <c r="V757" s="27" t="inlineStr">
        <is>
          <t>productivity &amp; personal systems frameworks, specifically regarding episode 4 on Productivity &amp; Personal Systems workflow optimization</t>
        </is>
      </c>
      <c r="W757" s="27" t="inlineStr">
        <is>
          <t>Hi Sebastian, loved your recent piece on 'productivity &amp; personal systems frameworks, specifically regarding episode 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57" s="27" t="inlineStr">
        <is>
          <t>2026-10-18</t>
        </is>
      </c>
      <c r="Y757" s="27" t="inlineStr">
        <is>
          <t>C</t>
        </is>
      </c>
      <c r="Z757" s="27" t="n">
        <v>74.8</v>
      </c>
      <c r="AA757" s="27" t="inlineStr">
        <is>
          <t>Qualified</t>
        </is>
      </c>
      <c r="AB757" s="27" t="inlineStr"/>
      <c r="AC757" s="28">
        <f>IF(A757="","",IF(COUNTIF($H$5:$H$1004,H757)&gt;1,"DUPLICATE","UNIQUE"))</f>
        <v/>
      </c>
      <c r="AD757" s="28">
        <f>IF(A757="","",IF(AA757="Rejected",IF(AB757&lt;&gt;"","REJECTED","ADD REASON"),IF(AND(B757&lt;&gt;"",C757&lt;&gt;"",D757&lt;&gt;"",E757&lt;&gt;"",F757&lt;&gt;"",G757&lt;&gt;"",H757&lt;&gt;"",J757&lt;&gt;"",K757&lt;&gt;"",N757&lt;&gt;"",O757&lt;&gt;"",P757&lt;&gt;"",Q757&lt;&gt;"",R757&lt;&gt;"",S757&lt;&gt;"",T757&lt;&gt;"",V757&lt;&gt;"",W757&lt;&gt;"",X757&lt;&gt;"",Y757&lt;&gt;""),"COMPLETE","MISSING FIELDS")))</f>
        <v/>
      </c>
    </row>
    <row r="758" ht="15" customHeight="1" s="15">
      <c r="A758" s="27" t="inlineStr">
        <is>
          <t>LEAD-0754</t>
        </is>
      </c>
      <c r="B758" s="27" t="inlineStr">
        <is>
          <t>Sebastian Ingram</t>
        </is>
      </c>
      <c r="C758" s="27" t="inlineStr">
        <is>
          <t>Podcaster</t>
        </is>
      </c>
      <c r="D758" s="27" t="inlineStr">
        <is>
          <t>CA</t>
        </is>
      </c>
      <c r="E758" s="27" t="inlineStr">
        <is>
          <t>English</t>
        </is>
      </c>
      <c r="F758" s="27" t="inlineStr">
        <is>
          <t>Apple Podcasts</t>
        </is>
      </c>
      <c r="G758" s="27" t="inlineStr">
        <is>
          <t>https://podcasts.apple.com/ca/podcast/sebastianingram/id1000754</t>
        </is>
      </c>
      <c r="H758" s="27" t="inlineStr">
        <is>
          <t>AP-CA-1000754</t>
        </is>
      </c>
      <c r="I758" s="27" t="inlineStr">
        <is>
          <t>60,000</t>
        </is>
      </c>
      <c r="J758" s="27" t="inlineStr">
        <is>
          <t>2026-10-12</t>
        </is>
      </c>
      <c r="K758" s="27" t="inlineStr">
        <is>
          <t>https://sebastianingram.com/episodes/155</t>
        </is>
      </c>
      <c r="L758" s="27" t="n">
        <v>12</v>
      </c>
      <c r="M758" s="27" t="n">
        <v>32</v>
      </c>
      <c r="N758" s="27" t="inlineStr">
        <is>
          <t>Newsletter Subscription</t>
        </is>
      </c>
      <c r="O758" s="27" t="inlineStr">
        <is>
          <t>https://sebastianingram.com/subscribe</t>
        </is>
      </c>
      <c r="P758" s="27" t="inlineStr">
        <is>
          <t>Inconsistent Cross-Platform Publishing</t>
        </is>
      </c>
      <c r="Q758" s="27" t="inlineStr">
        <is>
          <t>https://sebastianingram.com/highlights</t>
        </is>
      </c>
      <c r="R758" s="27" t="inlineStr">
        <is>
          <t>X (Twitter)</t>
        </is>
      </c>
      <c r="S758" s="27" t="inlineStr">
        <is>
          <t>https://x.com/sebastianingram</t>
        </is>
      </c>
      <c r="T758" s="27" t="inlineStr">
        <is>
          <t>https://sebastianingram.com/links</t>
        </is>
      </c>
      <c r="U758" s="27" t="inlineStr">
        <is>
          <t>LinkedIn</t>
        </is>
      </c>
      <c r="V758" s="27" t="inlineStr">
        <is>
          <t>leadership &amp; team ops frameworks, specifically regarding episode 5 on Leadership &amp; Team Ops workflow optimization</t>
        </is>
      </c>
      <c r="W758" s="27" t="inlineStr">
        <is>
          <t>Hi Sebastian, loved your recent piece on 'leadership &amp; team ops frameworks, specifically regarding episode 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58" s="27" t="inlineStr">
        <is>
          <t>2026-10-18</t>
        </is>
      </c>
      <c r="Y758" s="27" t="inlineStr">
        <is>
          <t>C</t>
        </is>
      </c>
      <c r="Z758" s="27" t="n">
        <v>74.8</v>
      </c>
      <c r="AA758" s="27" t="inlineStr">
        <is>
          <t>Qualified</t>
        </is>
      </c>
      <c r="AB758" s="27" t="inlineStr"/>
      <c r="AC758" s="28">
        <f>IF(A758="","",IF(COUNTIF($H$5:$H$1004,H758)&gt;1,"DUPLICATE","UNIQUE"))</f>
        <v/>
      </c>
      <c r="AD758" s="28">
        <f>IF(A758="","",IF(AA758="Rejected",IF(AB758&lt;&gt;"","REJECTED","ADD REASON"),IF(AND(B758&lt;&gt;"",C758&lt;&gt;"",D758&lt;&gt;"",E758&lt;&gt;"",F758&lt;&gt;"",G758&lt;&gt;"",H758&lt;&gt;"",J758&lt;&gt;"",K758&lt;&gt;"",N758&lt;&gt;"",O758&lt;&gt;"",P758&lt;&gt;"",Q758&lt;&gt;"",R758&lt;&gt;"",S758&lt;&gt;"",T758&lt;&gt;"",V758&lt;&gt;"",W758&lt;&gt;"",X758&lt;&gt;"",Y758&lt;&gt;""),"COMPLETE","MISSING FIELDS")))</f>
        <v/>
      </c>
    </row>
    <row r="759" ht="15" customHeight="1" s="15">
      <c r="A759" s="27" t="inlineStr">
        <is>
          <t>LEAD-0755</t>
        </is>
      </c>
      <c r="B759" s="27" t="inlineStr">
        <is>
          <t>Sebastian Jennings</t>
        </is>
      </c>
      <c r="C759" s="27" t="inlineStr">
        <is>
          <t>Expert-Led Creator</t>
        </is>
      </c>
      <c r="D759" s="27" t="inlineStr">
        <is>
          <t>CA</t>
        </is>
      </c>
      <c r="E759" s="27" t="inlineStr">
        <is>
          <t>English</t>
        </is>
      </c>
      <c r="F759" s="27" t="inlineStr">
        <is>
          <t>LinkedIn</t>
        </is>
      </c>
      <c r="G759" s="27" t="inlineStr">
        <is>
          <t>https://www.linkedin.com/in/sebastianjennings</t>
        </is>
      </c>
      <c r="H759" s="27" t="inlineStr">
        <is>
          <t>LI-sebastianjennings-0755</t>
        </is>
      </c>
      <c r="I759" s="27" t="inlineStr">
        <is>
          <t>36,000</t>
        </is>
      </c>
      <c r="J759" s="27" t="inlineStr">
        <is>
          <t>2026-10-13</t>
        </is>
      </c>
      <c r="K759" s="27" t="inlineStr">
        <is>
          <t>https://sebastianjennings.com/posts/6</t>
        </is>
      </c>
      <c r="L759" s="27" t="n">
        <v>13</v>
      </c>
      <c r="M759" s="27" t="n">
        <v>33</v>
      </c>
      <c r="N759" s="27" t="inlineStr">
        <is>
          <t>Affiliate</t>
        </is>
      </c>
      <c r="O759" s="27" t="inlineStr">
        <is>
          <t>https://sebastianjennings.com/resources</t>
        </is>
      </c>
      <c r="P759" s="27" t="inlineStr">
        <is>
          <t>Editing Backlog &amp; Team Workflow Overhead</t>
        </is>
      </c>
      <c r="Q759" s="27" t="inlineStr">
        <is>
          <t>https://sebastianjennings.com/highlights</t>
        </is>
      </c>
      <c r="R759" s="27" t="inlineStr">
        <is>
          <t>Email</t>
        </is>
      </c>
      <c r="S759" s="27" t="inlineStr">
        <is>
          <t>hello@sebastianjennings.com</t>
        </is>
      </c>
      <c r="T759" s="27" t="inlineStr">
        <is>
          <t>https://sebastianjennings.com/work-with-me</t>
        </is>
      </c>
      <c r="U759" s="27" t="inlineStr">
        <is>
          <t>LinkedIn</t>
        </is>
      </c>
      <c r="V759" s="27" t="inlineStr">
        <is>
          <t>b2b marketing &amp; sales frameworks, specifically regarding episode 6 on B2B Marketing &amp; Sales workflow optimization</t>
        </is>
      </c>
      <c r="W759" s="27" t="inlineStr">
        <is>
          <t>Hi Sebastian, loved your recent piece on 'b2b marketing &amp; sales frameworks, specifically regarding episode 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59" s="27" t="inlineStr">
        <is>
          <t>2026-10-18</t>
        </is>
      </c>
      <c r="Y759" s="27" t="inlineStr">
        <is>
          <t>C</t>
        </is>
      </c>
      <c r="Z759" s="27" t="n">
        <v>74.7</v>
      </c>
      <c r="AA759" s="27" t="inlineStr">
        <is>
          <t>Qualified</t>
        </is>
      </c>
      <c r="AB759" s="27" t="inlineStr"/>
      <c r="AC759" s="28">
        <f>IF(A759="","",IF(COUNTIF($H$5:$H$1004,H759)&gt;1,"DUPLICATE","UNIQUE"))</f>
        <v/>
      </c>
      <c r="AD759" s="28">
        <f>IF(A759="","",IF(AA759="Rejected",IF(AB759&lt;&gt;"","REJECTED","ADD REASON"),IF(AND(B759&lt;&gt;"",C759&lt;&gt;"",D759&lt;&gt;"",E759&lt;&gt;"",F759&lt;&gt;"",G759&lt;&gt;"",H759&lt;&gt;"",J759&lt;&gt;"",K759&lt;&gt;"",N759&lt;&gt;"",O759&lt;&gt;"",P759&lt;&gt;"",Q759&lt;&gt;"",R759&lt;&gt;"",S759&lt;&gt;"",T759&lt;&gt;"",V759&lt;&gt;"",W759&lt;&gt;"",X759&lt;&gt;"",Y759&lt;&gt;""),"COMPLETE","MISSING FIELDS")))</f>
        <v/>
      </c>
    </row>
    <row r="760" ht="15" customHeight="1" s="15">
      <c r="A760" s="27" t="inlineStr">
        <is>
          <t>LEAD-0756</t>
        </is>
      </c>
      <c r="B760" s="27" t="inlineStr">
        <is>
          <t>Sebastian Kingsley</t>
        </is>
      </c>
      <c r="C760" s="27" t="inlineStr">
        <is>
          <t>YouTuber</t>
        </is>
      </c>
      <c r="D760" s="27" t="inlineStr">
        <is>
          <t>CA</t>
        </is>
      </c>
      <c r="E760" s="27" t="inlineStr">
        <is>
          <t>English</t>
        </is>
      </c>
      <c r="F760" s="27" t="inlineStr">
        <is>
          <t>YouTube</t>
        </is>
      </c>
      <c r="G760" s="27" t="inlineStr">
        <is>
          <t>https://www.youtube.com/@sebastiankingsley</t>
        </is>
      </c>
      <c r="H760" s="27" t="inlineStr">
        <is>
          <t>UCCA00756343954</t>
        </is>
      </c>
      <c r="I760" s="27" t="inlineStr">
        <is>
          <t>440,000</t>
        </is>
      </c>
      <c r="J760" s="27" t="inlineStr">
        <is>
          <t>2026-10-14</t>
        </is>
      </c>
      <c r="K760" s="27" t="inlineStr">
        <is>
          <t>https://www.youtube.com/watch?v=ca00756</t>
        </is>
      </c>
      <c r="L760" s="27" t="n">
        <v>14</v>
      </c>
      <c r="M760" s="27" t="n">
        <v>16</v>
      </c>
      <c r="N760" s="27" t="inlineStr">
        <is>
          <t>Course</t>
        </is>
      </c>
      <c r="O760" s="27" t="inlineStr">
        <is>
          <t>https://sebastiankingsley.com/academy</t>
        </is>
      </c>
      <c r="P760" s="27" t="inlineStr">
        <is>
          <t>Multilingual Audio Dubbing</t>
        </is>
      </c>
      <c r="Q760" s="27" t="inlineStr">
        <is>
          <t>https://sebastiankingsley.com/highlights</t>
        </is>
      </c>
      <c r="R760" s="27" t="inlineStr">
        <is>
          <t>Email</t>
        </is>
      </c>
      <c r="S760" s="27" t="inlineStr">
        <is>
          <t>contact@sebastiankingsley.com</t>
        </is>
      </c>
      <c r="T760" s="27" t="inlineStr">
        <is>
          <t>https://sebastiankingsley.com/contact</t>
        </is>
      </c>
      <c r="U760" s="27" t="inlineStr">
        <is>
          <t>LinkedIn</t>
        </is>
      </c>
      <c r="V760" s="27" t="inlineStr">
        <is>
          <t>finance &amp; wealth engineering frameworks, specifically regarding episode 7 on Finance &amp; Wealth Engineering workflow optimization</t>
        </is>
      </c>
      <c r="W760" s="27" t="inlineStr">
        <is>
          <t>Hi Sebastian, loved your recent piece on 'finance &amp; wealth engineering frameworks, specifically regarding episode 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60" s="27" t="inlineStr">
        <is>
          <t>2026-10-18</t>
        </is>
      </c>
      <c r="Y760" s="27" t="inlineStr">
        <is>
          <t>C</t>
        </is>
      </c>
      <c r="Z760" s="27" t="n">
        <v>74.59999999999999</v>
      </c>
      <c r="AA760" s="27" t="inlineStr">
        <is>
          <t>Qualified</t>
        </is>
      </c>
      <c r="AB760" s="27" t="inlineStr"/>
      <c r="AC760" s="28">
        <f>IF(A760="","",IF(COUNTIF($H$5:$H$1004,H760)&gt;1,"DUPLICATE","UNIQUE"))</f>
        <v/>
      </c>
      <c r="AD760" s="28">
        <f>IF(A760="","",IF(AA760="Rejected",IF(AB760&lt;&gt;"","REJECTED","ADD REASON"),IF(AND(B760&lt;&gt;"",C760&lt;&gt;"",D760&lt;&gt;"",E760&lt;&gt;"",F760&lt;&gt;"",G760&lt;&gt;"",H760&lt;&gt;"",J760&lt;&gt;"",K760&lt;&gt;"",N760&lt;&gt;"",O760&lt;&gt;"",P760&lt;&gt;"",Q760&lt;&gt;"",R760&lt;&gt;"",S760&lt;&gt;"",T760&lt;&gt;"",V760&lt;&gt;"",W760&lt;&gt;"",X760&lt;&gt;"",Y760&lt;&gt;""),"COMPLETE","MISSING FIELDS")))</f>
        <v/>
      </c>
    </row>
    <row r="761" ht="15" customHeight="1" s="15">
      <c r="A761" s="27" t="inlineStr">
        <is>
          <t>LEAD-0757</t>
        </is>
      </c>
      <c r="B761" s="27" t="inlineStr">
        <is>
          <t>Sebastian Lockwood</t>
        </is>
      </c>
      <c r="C761" s="27" t="inlineStr">
        <is>
          <t>Podcaster</t>
        </is>
      </c>
      <c r="D761" s="27" t="inlineStr">
        <is>
          <t>CA</t>
        </is>
      </c>
      <c r="E761" s="27" t="inlineStr">
        <is>
          <t>English</t>
        </is>
      </c>
      <c r="F761" s="27" t="inlineStr">
        <is>
          <t>Apple Podcasts</t>
        </is>
      </c>
      <c r="G761" s="27" t="inlineStr">
        <is>
          <t>https://podcasts.apple.com/ca/podcast/sebastianlockwood/id1000757</t>
        </is>
      </c>
      <c r="H761" s="27" t="inlineStr">
        <is>
          <t>AP-CA-1000757</t>
        </is>
      </c>
      <c r="I761" s="27" t="inlineStr">
        <is>
          <t>96,000</t>
        </is>
      </c>
      <c r="J761" s="27" t="inlineStr">
        <is>
          <t>2026-10-15</t>
        </is>
      </c>
      <c r="K761" s="27" t="inlineStr">
        <is>
          <t>https://sebastianlockwood.com/episodes/158</t>
        </is>
      </c>
      <c r="L761" s="27" t="n">
        <v>15</v>
      </c>
      <c r="M761" s="27" t="n">
        <v>17</v>
      </c>
      <c r="N761" s="27" t="inlineStr">
        <is>
          <t>Sponsor</t>
        </is>
      </c>
      <c r="O761" s="27" t="inlineStr">
        <is>
          <t>https://sebastianlockwood.com/partners</t>
        </is>
      </c>
      <c r="P761" s="27" t="inlineStr">
        <is>
          <t>Multilingual Audio Dubbing</t>
        </is>
      </c>
      <c r="Q761" s="27" t="inlineStr">
        <is>
          <t>https://sebastianlockwood.com/highlights</t>
        </is>
      </c>
      <c r="R761" s="27" t="inlineStr">
        <is>
          <t>LinkedIn</t>
        </is>
      </c>
      <c r="S761" s="27" t="inlineStr">
        <is>
          <t>https://linkedin.com/in/sebastianlockwood</t>
        </is>
      </c>
      <c r="T761" s="27" t="inlineStr">
        <is>
          <t>https://sebastianlockwood.com/about</t>
        </is>
      </c>
      <c r="U761" s="27" t="inlineStr">
        <is>
          <t>Email</t>
        </is>
      </c>
      <c r="V761" s="27" t="inlineStr">
        <is>
          <t>health &amp; longevity science frameworks, specifically regarding episode 8 on Health &amp; Longevity Science workflow optimization</t>
        </is>
      </c>
      <c r="W761" s="27" t="inlineStr">
        <is>
          <t>Hi Sebastian, loved your recent piece on 'health &amp; longevity science frameworks, specifically regarding episode 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61" s="27" t="inlineStr">
        <is>
          <t>2026-10-18</t>
        </is>
      </c>
      <c r="Y761" s="27" t="inlineStr">
        <is>
          <t>C</t>
        </is>
      </c>
      <c r="Z761" s="27" t="n">
        <v>74.59999999999999</v>
      </c>
      <c r="AA761" s="27" t="inlineStr">
        <is>
          <t>Qualified</t>
        </is>
      </c>
      <c r="AB761" s="27" t="inlineStr"/>
      <c r="AC761" s="28">
        <f>IF(A761="","",IF(COUNTIF($H$5:$H$1004,H761)&gt;1,"DUPLICATE","UNIQUE"))</f>
        <v/>
      </c>
      <c r="AD761" s="28">
        <f>IF(A761="","",IF(AA761="Rejected",IF(AB761&lt;&gt;"","REJECTED","ADD REASON"),IF(AND(B761&lt;&gt;"",C761&lt;&gt;"",D761&lt;&gt;"",E761&lt;&gt;"",F761&lt;&gt;"",G761&lt;&gt;"",H761&lt;&gt;"",J761&lt;&gt;"",K761&lt;&gt;"",N761&lt;&gt;"",O761&lt;&gt;"",P761&lt;&gt;"",Q761&lt;&gt;"",R761&lt;&gt;"",S761&lt;&gt;"",T761&lt;&gt;"",V761&lt;&gt;"",W761&lt;&gt;"",X761&lt;&gt;"",Y761&lt;&gt;""),"COMPLETE","MISSING FIELDS")))</f>
        <v/>
      </c>
    </row>
    <row r="762" ht="15" customHeight="1" s="15">
      <c r="A762" s="27" t="inlineStr">
        <is>
          <t>LEAD-0758</t>
        </is>
      </c>
      <c r="B762" s="27" t="inlineStr">
        <is>
          <t>Sebastian Montague</t>
        </is>
      </c>
      <c r="C762" s="27" t="inlineStr">
        <is>
          <t>YouTuber</t>
        </is>
      </c>
      <c r="D762" s="27" t="inlineStr">
        <is>
          <t>CA</t>
        </is>
      </c>
      <c r="E762" s="27" t="inlineStr">
        <is>
          <t>English</t>
        </is>
      </c>
      <c r="F762" s="27" t="inlineStr">
        <is>
          <t>YouTube</t>
        </is>
      </c>
      <c r="G762" s="27" t="inlineStr">
        <is>
          <t>https://www.youtube.com/@sebastianmontague</t>
        </is>
      </c>
      <c r="H762" s="27" t="inlineStr">
        <is>
          <t>UCCA00758444988</t>
        </is>
      </c>
      <c r="I762" s="27" t="inlineStr">
        <is>
          <t>480,000</t>
        </is>
      </c>
      <c r="J762" s="27" t="inlineStr">
        <is>
          <t>2026-10-16</t>
        </is>
      </c>
      <c r="K762" s="27" t="inlineStr">
        <is>
          <t>https://www.youtube.com/watch?v=ca00758</t>
        </is>
      </c>
      <c r="L762" s="27" t="n">
        <v>16</v>
      </c>
      <c r="M762" s="27" t="n">
        <v>18</v>
      </c>
      <c r="N762" s="27" t="inlineStr">
        <is>
          <t>Membership</t>
        </is>
      </c>
      <c r="O762" s="27" t="inlineStr">
        <is>
          <t>https://sebastianmontague.com/community</t>
        </is>
      </c>
      <c r="P762" s="27" t="inlineStr">
        <is>
          <t>Missing Video Captions &amp; Retention Clips</t>
        </is>
      </c>
      <c r="Q762" s="27" t="inlineStr">
        <is>
          <t>https://sebastianmontague.com/highlights</t>
        </is>
      </c>
      <c r="R762" s="27" t="inlineStr">
        <is>
          <t>X (Twitter)</t>
        </is>
      </c>
      <c r="S762" s="27" t="inlineStr">
        <is>
          <t>https://x.com/sebastianmontague</t>
        </is>
      </c>
      <c r="T762" s="27" t="inlineStr">
        <is>
          <t>https://sebastianmontague.com/links</t>
        </is>
      </c>
      <c r="U762" s="27" t="inlineStr">
        <is>
          <t>LinkedIn</t>
        </is>
      </c>
      <c r="V762" s="27" t="inlineStr">
        <is>
          <t>education &amp; applied coding frameworks, specifically regarding episode 9 on Education &amp; Applied Coding workflow optimization</t>
        </is>
      </c>
      <c r="W762" s="27" t="inlineStr">
        <is>
          <t>Hi Sebastian, loved your recent piece on 'education &amp; applied coding frameworks, specifically regarding episode 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62" s="27" t="inlineStr">
        <is>
          <t>2026-10-18</t>
        </is>
      </c>
      <c r="Y762" s="27" t="inlineStr">
        <is>
          <t>C</t>
        </is>
      </c>
      <c r="Z762" s="27" t="n">
        <v>74.5</v>
      </c>
      <c r="AA762" s="27" t="inlineStr">
        <is>
          <t>Qualified</t>
        </is>
      </c>
      <c r="AB762" s="27" t="inlineStr"/>
      <c r="AC762" s="28">
        <f>IF(A762="","",IF(COUNTIF($H$5:$H$1004,H762)&gt;1,"DUPLICATE","UNIQUE"))</f>
        <v/>
      </c>
      <c r="AD762" s="28">
        <f>IF(A762="","",IF(AA762="Rejected",IF(AB762&lt;&gt;"","REJECTED","ADD REASON"),IF(AND(B762&lt;&gt;"",C762&lt;&gt;"",D762&lt;&gt;"",E762&lt;&gt;"",F762&lt;&gt;"",G762&lt;&gt;"",H762&lt;&gt;"",J762&lt;&gt;"",K762&lt;&gt;"",N762&lt;&gt;"",O762&lt;&gt;"",P762&lt;&gt;"",Q762&lt;&gt;"",R762&lt;&gt;"",S762&lt;&gt;"",T762&lt;&gt;"",V762&lt;&gt;"",W762&lt;&gt;"",X762&lt;&gt;"",Y762&lt;&gt;""),"COMPLETE","MISSING FIELDS")))</f>
        <v/>
      </c>
    </row>
    <row r="763" ht="15" customHeight="1" s="15">
      <c r="A763" s="27" t="inlineStr">
        <is>
          <t>LEAD-0759</t>
        </is>
      </c>
      <c r="B763" s="27" t="inlineStr">
        <is>
          <t>Sebastian Northwood</t>
        </is>
      </c>
      <c r="C763" s="27" t="inlineStr">
        <is>
          <t>Podcaster</t>
        </is>
      </c>
      <c r="D763" s="27" t="inlineStr">
        <is>
          <t>CA</t>
        </is>
      </c>
      <c r="E763" s="27" t="inlineStr">
        <is>
          <t>English</t>
        </is>
      </c>
      <c r="F763" s="27" t="inlineStr">
        <is>
          <t>Apple Podcasts</t>
        </is>
      </c>
      <c r="G763" s="27" t="inlineStr">
        <is>
          <t>https://podcasts.apple.com/ca/podcast/sebastiannorthwood/id1000759</t>
        </is>
      </c>
      <c r="H763" s="27" t="inlineStr">
        <is>
          <t>AP-CA-1000759</t>
        </is>
      </c>
      <c r="I763" s="27" t="inlineStr">
        <is>
          <t>120,000</t>
        </is>
      </c>
      <c r="J763" s="27" t="inlineStr">
        <is>
          <t>2026-10-17</t>
        </is>
      </c>
      <c r="K763" s="27" t="inlineStr">
        <is>
          <t>https://sebastiannorthwood.com/episodes/160</t>
        </is>
      </c>
      <c r="L763" s="27" t="n">
        <v>17</v>
      </c>
      <c r="M763" s="27" t="n">
        <v>19</v>
      </c>
      <c r="N763" s="27" t="inlineStr">
        <is>
          <t>Product</t>
        </is>
      </c>
      <c r="O763" s="27" t="inlineStr">
        <is>
          <t>https://sebastiannorthwood.com/shop</t>
        </is>
      </c>
      <c r="P763" s="27" t="inlineStr">
        <is>
          <t>Shorts Repurposing Bottleneck</t>
        </is>
      </c>
      <c r="Q763" s="27" t="inlineStr">
        <is>
          <t>https://sebastiannorthwood.com/highlights</t>
        </is>
      </c>
      <c r="R763" s="27" t="inlineStr">
        <is>
          <t>Email</t>
        </is>
      </c>
      <c r="S763" s="27" t="inlineStr">
        <is>
          <t>hello@sebastiannorthwood.com</t>
        </is>
      </c>
      <c r="T763" s="27" t="inlineStr">
        <is>
          <t>https://sebastiannorthwood.com/work-with-me</t>
        </is>
      </c>
      <c r="U763" s="27" t="inlineStr">
        <is>
          <t>LinkedIn</t>
        </is>
      </c>
      <c r="V763" s="27" t="inlineStr">
        <is>
          <t>e-commerce &amp; digital brands frameworks, specifically regarding episode 10 on E-Commerce &amp; Digital Brands workflow optimization</t>
        </is>
      </c>
      <c r="W763" s="27" t="inlineStr">
        <is>
          <t>Hi Sebastian, loved your recent piece on 'e-commerce &amp; digital brands frameworks, specifically regarding episode 10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63" s="27" t="inlineStr">
        <is>
          <t>2026-10-18</t>
        </is>
      </c>
      <c r="Y763" s="27" t="inlineStr">
        <is>
          <t>C</t>
        </is>
      </c>
      <c r="Z763" s="27" t="n">
        <v>74.5</v>
      </c>
      <c r="AA763" s="27" t="inlineStr">
        <is>
          <t>Qualified</t>
        </is>
      </c>
      <c r="AB763" s="27" t="inlineStr"/>
      <c r="AC763" s="28">
        <f>IF(A763="","",IF(COUNTIF($H$5:$H$1004,H763)&gt;1,"DUPLICATE","UNIQUE"))</f>
        <v/>
      </c>
      <c r="AD763" s="28">
        <f>IF(A763="","",IF(AA763="Rejected",IF(AB763&lt;&gt;"","REJECTED","ADD REASON"),IF(AND(B763&lt;&gt;"",C763&lt;&gt;"",D763&lt;&gt;"",E763&lt;&gt;"",F763&lt;&gt;"",G763&lt;&gt;"",H763&lt;&gt;"",J763&lt;&gt;"",K763&lt;&gt;"",N763&lt;&gt;"",O763&lt;&gt;"",P763&lt;&gt;"",Q763&lt;&gt;"",R763&lt;&gt;"",S763&lt;&gt;"",T763&lt;&gt;"",V763&lt;&gt;"",W763&lt;&gt;"",X763&lt;&gt;"",Y763&lt;&gt;""),"COMPLETE","MISSING FIELDS")))</f>
        <v/>
      </c>
    </row>
    <row r="764" ht="15" customHeight="1" s="15">
      <c r="A764" s="27" t="inlineStr">
        <is>
          <t>LEAD-0760</t>
        </is>
      </c>
      <c r="B764" s="27" t="inlineStr">
        <is>
          <t>Sebastian Oakley</t>
        </is>
      </c>
      <c r="C764" s="27" t="inlineStr">
        <is>
          <t>YouTuber</t>
        </is>
      </c>
      <c r="D764" s="27" t="inlineStr">
        <is>
          <t>CA</t>
        </is>
      </c>
      <c r="E764" s="27" t="inlineStr">
        <is>
          <t>English</t>
        </is>
      </c>
      <c r="F764" s="27" t="inlineStr">
        <is>
          <t>YouTube</t>
        </is>
      </c>
      <c r="G764" s="27" t="inlineStr">
        <is>
          <t>https://www.youtube.com/@sebastianoakley</t>
        </is>
      </c>
      <c r="H764" s="27" t="inlineStr">
        <is>
          <t>UCCA00760815541</t>
        </is>
      </c>
      <c r="I764" s="27" t="inlineStr">
        <is>
          <t>520,000</t>
        </is>
      </c>
      <c r="J764" s="27" t="inlineStr">
        <is>
          <t>2026-10-10</t>
        </is>
      </c>
      <c r="K764" s="27" t="inlineStr">
        <is>
          <t>https://www.youtube.com/watch?v=ca00760</t>
        </is>
      </c>
      <c r="L764" s="27" t="n">
        <v>8</v>
      </c>
      <c r="M764" s="27" t="n">
        <v>20</v>
      </c>
      <c r="N764" s="27" t="inlineStr">
        <is>
          <t>Consulting</t>
        </is>
      </c>
      <c r="O764" s="27" t="inlineStr">
        <is>
          <t>https://sebastianoakley.com/advisory</t>
        </is>
      </c>
      <c r="P764" s="27" t="inlineStr">
        <is>
          <t>Shorts Repurposing Bottleneck</t>
        </is>
      </c>
      <c r="Q764" s="27" t="inlineStr">
        <is>
          <t>https://sebastianoakley.com/highlights</t>
        </is>
      </c>
      <c r="R764" s="27" t="inlineStr">
        <is>
          <t>Email</t>
        </is>
      </c>
      <c r="S764" s="27" t="inlineStr">
        <is>
          <t>contact@sebastianoakley.com</t>
        </is>
      </c>
      <c r="T764" s="27" t="inlineStr">
        <is>
          <t>https://sebastianoakley.com/contact</t>
        </is>
      </c>
      <c r="U764" s="27" t="inlineStr">
        <is>
          <t>LinkedIn</t>
        </is>
      </c>
      <c r="V764" s="27" t="inlineStr">
        <is>
          <t>tech &amp; ai frameworks, specifically regarding episode 11 on Tech &amp; AI workflow optimization</t>
        </is>
      </c>
      <c r="W764" s="27" t="inlineStr">
        <is>
          <t>Hi Sebastian, loved your recent piece on 'tech &amp; ai frameworks, specifically regarding episode 11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64" s="27" t="inlineStr">
        <is>
          <t>2026-10-18</t>
        </is>
      </c>
      <c r="Y764" s="27" t="inlineStr">
        <is>
          <t>C</t>
        </is>
      </c>
      <c r="Z764" s="27" t="n">
        <v>74.40000000000001</v>
      </c>
      <c r="AA764" s="27" t="inlineStr">
        <is>
          <t>Qualified</t>
        </is>
      </c>
      <c r="AB764" s="27" t="inlineStr"/>
      <c r="AC764" s="28">
        <f>IF(A764="","",IF(COUNTIF($H$5:$H$1004,H764)&gt;1,"DUPLICATE","UNIQUE"))</f>
        <v/>
      </c>
      <c r="AD764" s="28">
        <f>IF(A764="","",IF(AA764="Rejected",IF(AB764&lt;&gt;"","REJECTED","ADD REASON"),IF(AND(B764&lt;&gt;"",C764&lt;&gt;"",D764&lt;&gt;"",E764&lt;&gt;"",F764&lt;&gt;"",G764&lt;&gt;"",H764&lt;&gt;"",J764&lt;&gt;"",K764&lt;&gt;"",N764&lt;&gt;"",O764&lt;&gt;"",P764&lt;&gt;"",Q764&lt;&gt;"",R764&lt;&gt;"",S764&lt;&gt;"",T764&lt;&gt;"",V764&lt;&gt;"",W764&lt;&gt;"",X764&lt;&gt;"",Y764&lt;&gt;""),"COMPLETE","MISSING FIELDS")))</f>
        <v/>
      </c>
    </row>
    <row r="765" ht="15" customHeight="1" s="15">
      <c r="A765" s="27" t="inlineStr">
        <is>
          <t>LEAD-0761</t>
        </is>
      </c>
      <c r="B765" s="27" t="inlineStr">
        <is>
          <t>Sebastian Pemberton</t>
        </is>
      </c>
      <c r="C765" s="27" t="inlineStr">
        <is>
          <t>Podcaster</t>
        </is>
      </c>
      <c r="D765" s="27" t="inlineStr">
        <is>
          <t>CA</t>
        </is>
      </c>
      <c r="E765" s="27" t="inlineStr">
        <is>
          <t>English</t>
        </is>
      </c>
      <c r="F765" s="27" t="inlineStr">
        <is>
          <t>Apple Podcasts</t>
        </is>
      </c>
      <c r="G765" s="27" t="inlineStr">
        <is>
          <t>https://podcasts.apple.com/ca/podcast/sebastianpemberton/id1000761</t>
        </is>
      </c>
      <c r="H765" s="27" t="inlineStr">
        <is>
          <t>AP-CA-1000761</t>
        </is>
      </c>
      <c r="I765" s="27" t="inlineStr">
        <is>
          <t>144,000</t>
        </is>
      </c>
      <c r="J765" s="27" t="inlineStr">
        <is>
          <t>2026-10-11</t>
        </is>
      </c>
      <c r="K765" s="27" t="inlineStr">
        <is>
          <t>https://sebastianpemberton.com/episodes/162</t>
        </is>
      </c>
      <c r="L765" s="27" t="n">
        <v>9</v>
      </c>
      <c r="M765" s="27" t="n">
        <v>21</v>
      </c>
      <c r="N765" s="27" t="inlineStr">
        <is>
          <t>Newsletter Subscription</t>
        </is>
      </c>
      <c r="O765" s="27" t="inlineStr">
        <is>
          <t>https://sebastianpemberton.com/subscribe</t>
        </is>
      </c>
      <c r="P765" s="27" t="inlineStr">
        <is>
          <t>Missing Video Captions &amp; Retention Clips</t>
        </is>
      </c>
      <c r="Q765" s="27" t="inlineStr">
        <is>
          <t>https://sebastianpemberton.com/highlights</t>
        </is>
      </c>
      <c r="R765" s="27" t="inlineStr">
        <is>
          <t>LinkedIn</t>
        </is>
      </c>
      <c r="S765" s="27" t="inlineStr">
        <is>
          <t>https://linkedin.com/in/sebastianpemberton</t>
        </is>
      </c>
      <c r="T765" s="27" t="inlineStr">
        <is>
          <t>https://sebastianpemberton.com/about</t>
        </is>
      </c>
      <c r="U765" s="27" t="inlineStr">
        <is>
          <t>Email</t>
        </is>
      </c>
      <c r="V765" s="27" t="inlineStr">
        <is>
          <t>saas &amp; product growth frameworks, specifically regarding episode 12 on SaaS &amp; Product Growth workflow optimization</t>
        </is>
      </c>
      <c r="W765" s="27" t="inlineStr">
        <is>
          <t>Hi Sebastian, loved your recent piece on 'saas &amp; product growth frameworks, specifically regarding episode 12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65" s="27" t="inlineStr">
        <is>
          <t>2026-10-18</t>
        </is>
      </c>
      <c r="Y765" s="27" t="inlineStr">
        <is>
          <t>C</t>
        </is>
      </c>
      <c r="Z765" s="27" t="n">
        <v>74.3</v>
      </c>
      <c r="AA765" s="27" t="inlineStr">
        <is>
          <t>Qualified</t>
        </is>
      </c>
      <c r="AB765" s="27" t="inlineStr"/>
      <c r="AC765" s="28">
        <f>IF(A765="","",IF(COUNTIF($H$5:$H$1004,H765)&gt;1,"DUPLICATE","UNIQUE"))</f>
        <v/>
      </c>
      <c r="AD765" s="28">
        <f>IF(A765="","",IF(AA765="Rejected",IF(AB765&lt;&gt;"","REJECTED","ADD REASON"),IF(AND(B765&lt;&gt;"",C765&lt;&gt;"",D765&lt;&gt;"",E765&lt;&gt;"",F765&lt;&gt;"",G765&lt;&gt;"",H765&lt;&gt;"",J765&lt;&gt;"",K765&lt;&gt;"",N765&lt;&gt;"",O765&lt;&gt;"",P765&lt;&gt;"",Q765&lt;&gt;"",R765&lt;&gt;"",S765&lt;&gt;"",T765&lt;&gt;"",V765&lt;&gt;"",W765&lt;&gt;"",X765&lt;&gt;"",Y765&lt;&gt;""),"COMPLETE","MISSING FIELDS")))</f>
        <v/>
      </c>
    </row>
    <row r="766" ht="15" customHeight="1" s="15">
      <c r="A766" s="27" t="inlineStr">
        <is>
          <t>LEAD-0762</t>
        </is>
      </c>
      <c r="B766" s="27" t="inlineStr">
        <is>
          <t>Sebastian Quatermain</t>
        </is>
      </c>
      <c r="C766" s="27" t="inlineStr">
        <is>
          <t>Expert-Led Creator</t>
        </is>
      </c>
      <c r="D766" s="27" t="inlineStr">
        <is>
          <t>CA</t>
        </is>
      </c>
      <c r="E766" s="27" t="inlineStr">
        <is>
          <t>English</t>
        </is>
      </c>
      <c r="F766" s="27" t="inlineStr">
        <is>
          <t>YouTube</t>
        </is>
      </c>
      <c r="G766" s="27" t="inlineStr">
        <is>
          <t>https://www.youtube.com/@sebastianquatermain</t>
        </is>
      </c>
      <c r="H766" s="27" t="inlineStr">
        <is>
          <t>UCCA00762503385</t>
        </is>
      </c>
      <c r="I766" s="27" t="inlineStr">
        <is>
          <t>560,000</t>
        </is>
      </c>
      <c r="J766" s="27" t="inlineStr">
        <is>
          <t>2026-10-12</t>
        </is>
      </c>
      <c r="K766" s="27" t="inlineStr">
        <is>
          <t>https://www.youtube.com/watch?v=ca00762</t>
        </is>
      </c>
      <c r="L766" s="27" t="n">
        <v>10</v>
      </c>
      <c r="M766" s="27" t="n">
        <v>22</v>
      </c>
      <c r="N766" s="27" t="inlineStr">
        <is>
          <t>Affiliate</t>
        </is>
      </c>
      <c r="O766" s="27" t="inlineStr">
        <is>
          <t>https://sebastianquatermain.com/resources</t>
        </is>
      </c>
      <c r="P766" s="27" t="inlineStr">
        <is>
          <t>Editing Backlog &amp; Team Workflow Overhead</t>
        </is>
      </c>
      <c r="Q766" s="27" t="inlineStr">
        <is>
          <t>https://sebastianquatermain.com/highlights</t>
        </is>
      </c>
      <c r="R766" s="27" t="inlineStr">
        <is>
          <t>X (Twitter)</t>
        </is>
      </c>
      <c r="S766" s="27" t="inlineStr">
        <is>
          <t>https://x.com/sebastianquatermain</t>
        </is>
      </c>
      <c r="T766" s="27" t="inlineStr">
        <is>
          <t>https://sebastianquatermain.com/links</t>
        </is>
      </c>
      <c r="U766" s="27" t="inlineStr">
        <is>
          <t>LinkedIn</t>
        </is>
      </c>
      <c r="V766" s="27" t="inlineStr">
        <is>
          <t>creator business &amp; monetization frameworks, specifically regarding episode 13 on Creator Business &amp; Monetization workflow optimization</t>
        </is>
      </c>
      <c r="W766" s="27" t="inlineStr">
        <is>
          <t>Hi Sebastian, loved your recent piece on 'creator business &amp; monetization frameworks, specifically regarding episode 13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66" s="27" t="inlineStr">
        <is>
          <t>2026-10-18</t>
        </is>
      </c>
      <c r="Y766" s="27" t="inlineStr">
        <is>
          <t>C</t>
        </is>
      </c>
      <c r="Z766" s="27" t="n">
        <v>74.3</v>
      </c>
      <c r="AA766" s="27" t="inlineStr">
        <is>
          <t>Qualified</t>
        </is>
      </c>
      <c r="AB766" s="27" t="inlineStr"/>
      <c r="AC766" s="28">
        <f>IF(A766="","",IF(COUNTIF($H$5:$H$1004,H766)&gt;1,"DUPLICATE","UNIQUE"))</f>
        <v/>
      </c>
      <c r="AD766" s="28">
        <f>IF(A766="","",IF(AA766="Rejected",IF(AB766&lt;&gt;"","REJECTED","ADD REASON"),IF(AND(B766&lt;&gt;"",C766&lt;&gt;"",D766&lt;&gt;"",E766&lt;&gt;"",F766&lt;&gt;"",G766&lt;&gt;"",H766&lt;&gt;"",J766&lt;&gt;"",K766&lt;&gt;"",N766&lt;&gt;"",O766&lt;&gt;"",P766&lt;&gt;"",Q766&lt;&gt;"",R766&lt;&gt;"",S766&lt;&gt;"",T766&lt;&gt;"",V766&lt;&gt;"",W766&lt;&gt;"",X766&lt;&gt;"",Y766&lt;&gt;""),"COMPLETE","MISSING FIELDS")))</f>
        <v/>
      </c>
    </row>
    <row r="767" ht="15" customHeight="1" s="15">
      <c r="A767" s="27" t="inlineStr">
        <is>
          <t>LEAD-0763</t>
        </is>
      </c>
      <c r="B767" s="27" t="inlineStr">
        <is>
          <t>Sebastian Radcliffe</t>
        </is>
      </c>
      <c r="C767" s="27" t="inlineStr">
        <is>
          <t>YouTuber</t>
        </is>
      </c>
      <c r="D767" s="27" t="inlineStr">
        <is>
          <t>CA</t>
        </is>
      </c>
      <c r="E767" s="27" t="inlineStr">
        <is>
          <t>English</t>
        </is>
      </c>
      <c r="F767" s="27" t="inlineStr">
        <is>
          <t>YouTube</t>
        </is>
      </c>
      <c r="G767" s="27" t="inlineStr">
        <is>
          <t>https://www.youtube.com/@sebastianradcliffe</t>
        </is>
      </c>
      <c r="H767" s="27" t="inlineStr">
        <is>
          <t>UCCA00763375441</t>
        </is>
      </c>
      <c r="I767" s="27" t="inlineStr">
        <is>
          <t>580,000</t>
        </is>
      </c>
      <c r="J767" s="27" t="inlineStr">
        <is>
          <t>2026-10-13</t>
        </is>
      </c>
      <c r="K767" s="27" t="inlineStr">
        <is>
          <t>https://www.youtube.com/watch?v=ca00763</t>
        </is>
      </c>
      <c r="L767" s="27" t="n">
        <v>11</v>
      </c>
      <c r="M767" s="27" t="n">
        <v>23</v>
      </c>
      <c r="N767" s="27" t="inlineStr">
        <is>
          <t>Course</t>
        </is>
      </c>
      <c r="O767" s="27" t="inlineStr">
        <is>
          <t>https://sebastianradcliffe.com/academy</t>
        </is>
      </c>
      <c r="P767" s="27" t="inlineStr">
        <is>
          <t>Shorts Repurposing Bottleneck</t>
        </is>
      </c>
      <c r="Q767" s="27" t="inlineStr">
        <is>
          <t>https://sebastianradcliffe.com/highlights</t>
        </is>
      </c>
      <c r="R767" s="27" t="inlineStr">
        <is>
          <t>Email</t>
        </is>
      </c>
      <c r="S767" s="27" t="inlineStr">
        <is>
          <t>hello@sebastianradcliffe.com</t>
        </is>
      </c>
      <c r="T767" s="27" t="inlineStr">
        <is>
          <t>https://sebastianradcliffe.com/work-with-me</t>
        </is>
      </c>
      <c r="U767" s="27" t="inlineStr">
        <is>
          <t>LinkedIn</t>
        </is>
      </c>
      <c r="V767" s="27" t="inlineStr">
        <is>
          <t>productivity &amp; personal systems frameworks, specifically regarding episode 14 on Productivity &amp; Personal Systems workflow optimization</t>
        </is>
      </c>
      <c r="W767" s="27" t="inlineStr">
        <is>
          <t>Hi Sebastian, loved your recent piece on 'productivity &amp; personal systems frameworks, specifically regarding episode 14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67" s="27" t="inlineStr">
        <is>
          <t>2026-10-18</t>
        </is>
      </c>
      <c r="Y767" s="27" t="inlineStr">
        <is>
          <t>C</t>
        </is>
      </c>
      <c r="Z767" s="27" t="n">
        <v>74.2</v>
      </c>
      <c r="AA767" s="27" t="inlineStr">
        <is>
          <t>Qualified</t>
        </is>
      </c>
      <c r="AB767" s="27" t="inlineStr"/>
      <c r="AC767" s="28">
        <f>IF(A767="","",IF(COUNTIF($H$5:$H$1004,H767)&gt;1,"DUPLICATE","UNIQUE"))</f>
        <v/>
      </c>
      <c r="AD767" s="28">
        <f>IF(A767="","",IF(AA767="Rejected",IF(AB767&lt;&gt;"","REJECTED","ADD REASON"),IF(AND(B767&lt;&gt;"",C767&lt;&gt;"",D767&lt;&gt;"",E767&lt;&gt;"",F767&lt;&gt;"",G767&lt;&gt;"",H767&lt;&gt;"",J767&lt;&gt;"",K767&lt;&gt;"",N767&lt;&gt;"",O767&lt;&gt;"",P767&lt;&gt;"",Q767&lt;&gt;"",R767&lt;&gt;"",S767&lt;&gt;"",T767&lt;&gt;"",V767&lt;&gt;"",W767&lt;&gt;"",X767&lt;&gt;"",Y767&lt;&gt;""),"COMPLETE","MISSING FIELDS")))</f>
        <v/>
      </c>
    </row>
    <row r="768" ht="15" customHeight="1" s="15">
      <c r="A768" s="27" t="inlineStr">
        <is>
          <t>LEAD-0764</t>
        </is>
      </c>
      <c r="B768" s="27" t="inlineStr">
        <is>
          <t>Sebastian Stanhope</t>
        </is>
      </c>
      <c r="C768" s="27" t="inlineStr">
        <is>
          <t>Podcaster</t>
        </is>
      </c>
      <c r="D768" s="27" t="inlineStr">
        <is>
          <t>CA</t>
        </is>
      </c>
      <c r="E768" s="27" t="inlineStr">
        <is>
          <t>English</t>
        </is>
      </c>
      <c r="F768" s="27" t="inlineStr">
        <is>
          <t>Apple Podcasts</t>
        </is>
      </c>
      <c r="G768" s="27" t="inlineStr">
        <is>
          <t>https://podcasts.apple.com/ca/podcast/sebastianstanhope/id1000764</t>
        </is>
      </c>
      <c r="H768" s="27" t="inlineStr">
        <is>
          <t>AP-CA-1000764</t>
        </is>
      </c>
      <c r="I768" s="27" t="inlineStr">
        <is>
          <t>180,000</t>
        </is>
      </c>
      <c r="J768" s="27" t="inlineStr">
        <is>
          <t>2026-10-14</t>
        </is>
      </c>
      <c r="K768" s="27" t="inlineStr">
        <is>
          <t>https://sebastianstanhope.com/episodes/165</t>
        </is>
      </c>
      <c r="L768" s="27" t="n">
        <v>12</v>
      </c>
      <c r="M768" s="27" t="n">
        <v>24</v>
      </c>
      <c r="N768" s="27" t="inlineStr">
        <is>
          <t>Sponsor</t>
        </is>
      </c>
      <c r="O768" s="27" t="inlineStr">
        <is>
          <t>https://sebastianstanhope.com/partners</t>
        </is>
      </c>
      <c r="P768" s="27" t="inlineStr">
        <is>
          <t>Inconsistent Cross-Platform Publishing</t>
        </is>
      </c>
      <c r="Q768" s="27" t="inlineStr">
        <is>
          <t>https://sebastianstanhope.com/highlights</t>
        </is>
      </c>
      <c r="R768" s="27" t="inlineStr">
        <is>
          <t>Email</t>
        </is>
      </c>
      <c r="S768" s="27" t="inlineStr">
        <is>
          <t>contact@sebastianstanhope.com</t>
        </is>
      </c>
      <c r="T768" s="27" t="inlineStr">
        <is>
          <t>https://sebastianstanhope.com/contact</t>
        </is>
      </c>
      <c r="U768" s="27" t="inlineStr">
        <is>
          <t>LinkedIn</t>
        </is>
      </c>
      <c r="V768" s="27" t="inlineStr">
        <is>
          <t>leadership &amp; team ops frameworks, specifically regarding episode 15 on Leadership &amp; Team Ops workflow optimization</t>
        </is>
      </c>
      <c r="W768" s="27" t="inlineStr">
        <is>
          <t>Hi Sebastian, loved your recent piece on 'leadership &amp; team ops frameworks, specifically regarding episode 15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68" s="27" t="inlineStr">
        <is>
          <t>2026-10-18</t>
        </is>
      </c>
      <c r="Y768" s="27" t="inlineStr">
        <is>
          <t>C</t>
        </is>
      </c>
      <c r="Z768" s="27" t="n">
        <v>74.2</v>
      </c>
      <c r="AA768" s="27" t="inlineStr">
        <is>
          <t>Qualified</t>
        </is>
      </c>
      <c r="AB768" s="27" t="inlineStr"/>
      <c r="AC768" s="28">
        <f>IF(A768="","",IF(COUNTIF($H$5:$H$1004,H768)&gt;1,"DUPLICATE","UNIQUE"))</f>
        <v/>
      </c>
      <c r="AD768" s="28">
        <f>IF(A768="","",IF(AA768="Rejected",IF(AB768&lt;&gt;"","REJECTED","ADD REASON"),IF(AND(B768&lt;&gt;"",C768&lt;&gt;"",D768&lt;&gt;"",E768&lt;&gt;"",F768&lt;&gt;"",G768&lt;&gt;"",H768&lt;&gt;"",J768&lt;&gt;"",K768&lt;&gt;"",N768&lt;&gt;"",O768&lt;&gt;"",P768&lt;&gt;"",Q768&lt;&gt;"",R768&lt;&gt;"",S768&lt;&gt;"",T768&lt;&gt;"",V768&lt;&gt;"",W768&lt;&gt;"",X768&lt;&gt;"",Y768&lt;&gt;""),"COMPLETE","MISSING FIELDS")))</f>
        <v/>
      </c>
    </row>
    <row r="769" ht="15" customHeight="1" s="15">
      <c r="A769" s="27" t="inlineStr">
        <is>
          <t>LEAD-0765</t>
        </is>
      </c>
      <c r="B769" s="27" t="inlineStr">
        <is>
          <t>Sebastian Thackery</t>
        </is>
      </c>
      <c r="C769" s="27" t="inlineStr">
        <is>
          <t>Expert-Led Creator</t>
        </is>
      </c>
      <c r="D769" s="27" t="inlineStr">
        <is>
          <t>CA</t>
        </is>
      </c>
      <c r="E769" s="27" t="inlineStr">
        <is>
          <t>English</t>
        </is>
      </c>
      <c r="F769" s="27" t="inlineStr">
        <is>
          <t>LinkedIn</t>
        </is>
      </c>
      <c r="G769" s="27" t="inlineStr">
        <is>
          <t>https://www.linkedin.com/in/sebastianthackery</t>
        </is>
      </c>
      <c r="H769" s="27" t="inlineStr">
        <is>
          <t>LI-sebastianthackery-0765</t>
        </is>
      </c>
      <c r="I769" s="27" t="inlineStr">
        <is>
          <t>96,000</t>
        </is>
      </c>
      <c r="J769" s="27" t="inlineStr">
        <is>
          <t>2026-10-15</t>
        </is>
      </c>
      <c r="K769" s="27" t="inlineStr">
        <is>
          <t>https://sebastianthackery.com/posts/16</t>
        </is>
      </c>
      <c r="L769" s="27" t="n">
        <v>13</v>
      </c>
      <c r="M769" s="27" t="n">
        <v>25</v>
      </c>
      <c r="N769" s="27" t="inlineStr">
        <is>
          <t>Membership</t>
        </is>
      </c>
      <c r="O769" s="27" t="inlineStr">
        <is>
          <t>https://sebastianthackery.com/community</t>
        </is>
      </c>
      <c r="P769" s="27" t="inlineStr">
        <is>
          <t>Editing Backlog &amp; Team Workflow Overhead</t>
        </is>
      </c>
      <c r="Q769" s="27" t="inlineStr">
        <is>
          <t>https://sebastianthackery.com/highlights</t>
        </is>
      </c>
      <c r="R769" s="27" t="inlineStr">
        <is>
          <t>LinkedIn</t>
        </is>
      </c>
      <c r="S769" s="27" t="inlineStr">
        <is>
          <t>https://linkedin.com/in/sebastianthackery</t>
        </is>
      </c>
      <c r="T769" s="27" t="inlineStr">
        <is>
          <t>https://sebastianthackery.com/about</t>
        </is>
      </c>
      <c r="U769" s="27" t="inlineStr">
        <is>
          <t>Email</t>
        </is>
      </c>
      <c r="V769" s="27" t="inlineStr">
        <is>
          <t>b2b marketing &amp; sales frameworks, specifically regarding episode 16 on B2B Marketing &amp; Sales workflow optimization</t>
        </is>
      </c>
      <c r="W769" s="27" t="inlineStr">
        <is>
          <t>Hi Sebastian, loved your recent piece on 'b2b marketing &amp; sales frameworks, specifically regarding episode 16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69" s="27" t="inlineStr">
        <is>
          <t>2026-10-18</t>
        </is>
      </c>
      <c r="Y769" s="27" t="inlineStr">
        <is>
          <t>C</t>
        </is>
      </c>
      <c r="Z769" s="27" t="n">
        <v>74.09999999999999</v>
      </c>
      <c r="AA769" s="27" t="inlineStr">
        <is>
          <t>Qualified</t>
        </is>
      </c>
      <c r="AB769" s="27" t="inlineStr"/>
      <c r="AC769" s="28">
        <f>IF(A769="","",IF(COUNTIF($H$5:$H$1004,H769)&gt;1,"DUPLICATE","UNIQUE"))</f>
        <v/>
      </c>
      <c r="AD769" s="28">
        <f>IF(A769="","",IF(AA769="Rejected",IF(AB769&lt;&gt;"","REJECTED","ADD REASON"),IF(AND(B769&lt;&gt;"",C769&lt;&gt;"",D769&lt;&gt;"",E769&lt;&gt;"",F769&lt;&gt;"",G769&lt;&gt;"",H769&lt;&gt;"",J769&lt;&gt;"",K769&lt;&gt;"",N769&lt;&gt;"",O769&lt;&gt;"",P769&lt;&gt;"",Q769&lt;&gt;"",R769&lt;&gt;"",S769&lt;&gt;"",T769&lt;&gt;"",V769&lt;&gt;"",W769&lt;&gt;"",X769&lt;&gt;"",Y769&lt;&gt;""),"COMPLETE","MISSING FIELDS")))</f>
        <v/>
      </c>
    </row>
    <row r="770" ht="15" customHeight="1" s="15">
      <c r="A770" s="27" t="inlineStr">
        <is>
          <t>LEAD-0766</t>
        </is>
      </c>
      <c r="B770" s="27" t="inlineStr">
        <is>
          <t>Sebastian Underwood</t>
        </is>
      </c>
      <c r="C770" s="27" t="inlineStr">
        <is>
          <t>YouTuber</t>
        </is>
      </c>
      <c r="D770" s="27" t="inlineStr">
        <is>
          <t>CA</t>
        </is>
      </c>
      <c r="E770" s="27" t="inlineStr">
        <is>
          <t>English</t>
        </is>
      </c>
      <c r="F770" s="27" t="inlineStr">
        <is>
          <t>YouTube</t>
        </is>
      </c>
      <c r="G770" s="27" t="inlineStr">
        <is>
          <t>https://www.youtube.com/@sebastianunderwood</t>
        </is>
      </c>
      <c r="H770" s="27" t="inlineStr">
        <is>
          <t>UCCA00766733811</t>
        </is>
      </c>
      <c r="I770" s="27" t="inlineStr">
        <is>
          <t>640,000</t>
        </is>
      </c>
      <c r="J770" s="27" t="inlineStr">
        <is>
          <t>2026-10-16</t>
        </is>
      </c>
      <c r="K770" s="27" t="inlineStr">
        <is>
          <t>https://www.youtube.com/watch?v=ca00766</t>
        </is>
      </c>
      <c r="L770" s="27" t="n">
        <v>14</v>
      </c>
      <c r="M770" s="27" t="n">
        <v>26</v>
      </c>
      <c r="N770" s="27" t="inlineStr">
        <is>
          <t>Product</t>
        </is>
      </c>
      <c r="O770" s="27" t="inlineStr">
        <is>
          <t>https://sebastianunderwood.com/shop</t>
        </is>
      </c>
      <c r="P770" s="27" t="inlineStr">
        <is>
          <t>Multilingual Audio Dubbing</t>
        </is>
      </c>
      <c r="Q770" s="27" t="inlineStr">
        <is>
          <t>https://sebastianunderwood.com/highlights</t>
        </is>
      </c>
      <c r="R770" s="27" t="inlineStr">
        <is>
          <t>X (Twitter)</t>
        </is>
      </c>
      <c r="S770" s="27" t="inlineStr">
        <is>
          <t>https://x.com/sebastianunderwood</t>
        </is>
      </c>
      <c r="T770" s="27" t="inlineStr">
        <is>
          <t>https://sebastianunderwood.com/links</t>
        </is>
      </c>
      <c r="U770" s="27" t="inlineStr">
        <is>
          <t>LinkedIn</t>
        </is>
      </c>
      <c r="V770" s="27" t="inlineStr">
        <is>
          <t>finance &amp; wealth engineering frameworks, specifically regarding episode 17 on Finance &amp; Wealth Engineering workflow optimization</t>
        </is>
      </c>
      <c r="W770" s="27" t="inlineStr">
        <is>
          <t>Hi Sebastian, loved your recent piece on 'finance &amp; wealth engineering frameworks, specifically regarding episode 17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70" s="27" t="inlineStr">
        <is>
          <t>2026-10-18</t>
        </is>
      </c>
      <c r="Y770" s="27" t="inlineStr">
        <is>
          <t>C</t>
        </is>
      </c>
      <c r="Z770" s="27" t="n">
        <v>74</v>
      </c>
      <c r="AA770" s="27" t="inlineStr">
        <is>
          <t>Qualified</t>
        </is>
      </c>
      <c r="AB770" s="27" t="inlineStr"/>
      <c r="AC770" s="28">
        <f>IF(A770="","",IF(COUNTIF($H$5:$H$1004,H770)&gt;1,"DUPLICATE","UNIQUE"))</f>
        <v/>
      </c>
      <c r="AD770" s="28">
        <f>IF(A770="","",IF(AA770="Rejected",IF(AB770&lt;&gt;"","REJECTED","ADD REASON"),IF(AND(B770&lt;&gt;"",C770&lt;&gt;"",D770&lt;&gt;"",E770&lt;&gt;"",F770&lt;&gt;"",G770&lt;&gt;"",H770&lt;&gt;"",J770&lt;&gt;"",K770&lt;&gt;"",N770&lt;&gt;"",O770&lt;&gt;"",P770&lt;&gt;"",Q770&lt;&gt;"",R770&lt;&gt;"",S770&lt;&gt;"",T770&lt;&gt;"",V770&lt;&gt;"",W770&lt;&gt;"",X770&lt;&gt;"",Y770&lt;&gt;""),"COMPLETE","MISSING FIELDS")))</f>
        <v/>
      </c>
    </row>
    <row r="771" ht="15" customHeight="1" s="15">
      <c r="A771" s="27" t="inlineStr">
        <is>
          <t>LEAD-0767</t>
        </is>
      </c>
      <c r="B771" s="27" t="inlineStr">
        <is>
          <t>Sebastian Vanguard</t>
        </is>
      </c>
      <c r="C771" s="27" t="inlineStr">
        <is>
          <t>Podcaster</t>
        </is>
      </c>
      <c r="D771" s="27" t="inlineStr">
        <is>
          <t>CA</t>
        </is>
      </c>
      <c r="E771" s="27" t="inlineStr">
        <is>
          <t>English</t>
        </is>
      </c>
      <c r="F771" s="27" t="inlineStr">
        <is>
          <t>Apple Podcasts</t>
        </is>
      </c>
      <c r="G771" s="27" t="inlineStr">
        <is>
          <t>https://podcasts.apple.com/ca/podcast/sebastianvanguard/id1000767</t>
        </is>
      </c>
      <c r="H771" s="27" t="inlineStr">
        <is>
          <t>AP-CA-1000767</t>
        </is>
      </c>
      <c r="I771" s="27" t="inlineStr">
        <is>
          <t>216,000</t>
        </is>
      </c>
      <c r="J771" s="27" t="inlineStr">
        <is>
          <t>2026-10-17</t>
        </is>
      </c>
      <c r="K771" s="27" t="inlineStr">
        <is>
          <t>https://sebastianvanguard.com/episodes/168</t>
        </is>
      </c>
      <c r="L771" s="27" t="n">
        <v>15</v>
      </c>
      <c r="M771" s="27" t="n">
        <v>27</v>
      </c>
      <c r="N771" s="27" t="inlineStr">
        <is>
          <t>Consulting</t>
        </is>
      </c>
      <c r="O771" s="27" t="inlineStr">
        <is>
          <t>https://sebastianvanguard.com/advisory</t>
        </is>
      </c>
      <c r="P771" s="27" t="inlineStr">
        <is>
          <t>Multilingual Audio Dubbing</t>
        </is>
      </c>
      <c r="Q771" s="27" t="inlineStr">
        <is>
          <t>https://sebastianvanguard.com/highlights</t>
        </is>
      </c>
      <c r="R771" s="27" t="inlineStr">
        <is>
          <t>Email</t>
        </is>
      </c>
      <c r="S771" s="27" t="inlineStr">
        <is>
          <t>hello@sebastianvanguard.com</t>
        </is>
      </c>
      <c r="T771" s="27" t="inlineStr">
        <is>
          <t>https://sebastianvanguard.com/work-with-me</t>
        </is>
      </c>
      <c r="U771" s="27" t="inlineStr">
        <is>
          <t>LinkedIn</t>
        </is>
      </c>
      <c r="V771" s="27" t="inlineStr">
        <is>
          <t>health &amp; longevity science frameworks, specifically regarding episode 18 on Health &amp; Longevity Science workflow optimization</t>
        </is>
      </c>
      <c r="W771" s="27" t="inlineStr">
        <is>
          <t>Hi Sebastian, loved your recent piece on 'health &amp; longevity science frameworks, specifically regarding episode 18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71" s="27" t="inlineStr">
        <is>
          <t>2026-10-18</t>
        </is>
      </c>
      <c r="Y771" s="27" t="inlineStr">
        <is>
          <t>C</t>
        </is>
      </c>
      <c r="Z771" s="27" t="n">
        <v>74</v>
      </c>
      <c r="AA771" s="27" t="inlineStr">
        <is>
          <t>Qualified</t>
        </is>
      </c>
      <c r="AB771" s="27" t="inlineStr"/>
      <c r="AC771" s="28">
        <f>IF(A771="","",IF(COUNTIF($H$5:$H$1004,H771)&gt;1,"DUPLICATE","UNIQUE"))</f>
        <v/>
      </c>
      <c r="AD771" s="28">
        <f>IF(A771="","",IF(AA771="Rejected",IF(AB771&lt;&gt;"","REJECTED","ADD REASON"),IF(AND(B771&lt;&gt;"",C771&lt;&gt;"",D771&lt;&gt;"",E771&lt;&gt;"",F771&lt;&gt;"",G771&lt;&gt;"",H771&lt;&gt;"",J771&lt;&gt;"",K771&lt;&gt;"",N771&lt;&gt;"",O771&lt;&gt;"",P771&lt;&gt;"",Q771&lt;&gt;"",R771&lt;&gt;"",S771&lt;&gt;"",T771&lt;&gt;"",V771&lt;&gt;"",W771&lt;&gt;"",X771&lt;&gt;"",Y771&lt;&gt;""),"COMPLETE","MISSING FIELDS")))</f>
        <v/>
      </c>
    </row>
    <row r="772" ht="15" customHeight="1" s="15">
      <c r="A772" s="27" t="inlineStr">
        <is>
          <t>LEAD-0768</t>
        </is>
      </c>
      <c r="B772" s="27" t="inlineStr">
        <is>
          <t>Sebastian Waverly</t>
        </is>
      </c>
      <c r="C772" s="27" t="inlineStr">
        <is>
          <t>YouTuber</t>
        </is>
      </c>
      <c r="D772" s="27" t="inlineStr">
        <is>
          <t>CA</t>
        </is>
      </c>
      <c r="E772" s="27" t="inlineStr">
        <is>
          <t>English</t>
        </is>
      </c>
      <c r="F772" s="27" t="inlineStr">
        <is>
          <t>YouTube</t>
        </is>
      </c>
      <c r="G772" s="27" t="inlineStr">
        <is>
          <t>https://www.youtube.com/@sebastianwaverly</t>
        </is>
      </c>
      <c r="H772" s="27" t="inlineStr">
        <is>
          <t>UCCA00768484130</t>
        </is>
      </c>
      <c r="I772" s="27" t="inlineStr">
        <is>
          <t>680,000</t>
        </is>
      </c>
      <c r="J772" s="27" t="inlineStr">
        <is>
          <t>2026-10-10</t>
        </is>
      </c>
      <c r="K772" s="27" t="inlineStr">
        <is>
          <t>https://www.youtube.com/watch?v=ca00768</t>
        </is>
      </c>
      <c r="L772" s="27" t="n">
        <v>16</v>
      </c>
      <c r="M772" s="27" t="n">
        <v>28</v>
      </c>
      <c r="N772" s="27" t="inlineStr">
        <is>
          <t>Newsletter Subscription</t>
        </is>
      </c>
      <c r="O772" s="27" t="inlineStr">
        <is>
          <t>https://sebastianwaverly.com/subscribe</t>
        </is>
      </c>
      <c r="P772" s="27" t="inlineStr">
        <is>
          <t>Missing Video Captions &amp; Retention Clips</t>
        </is>
      </c>
      <c r="Q772" s="27" t="inlineStr">
        <is>
          <t>https://sebastianwaverly.com/highlights</t>
        </is>
      </c>
      <c r="R772" s="27" t="inlineStr">
        <is>
          <t>Email</t>
        </is>
      </c>
      <c r="S772" s="27" t="inlineStr">
        <is>
          <t>contact@sebastianwaverly.com</t>
        </is>
      </c>
      <c r="T772" s="27" t="inlineStr">
        <is>
          <t>https://sebastianwaverly.com/contact</t>
        </is>
      </c>
      <c r="U772" s="27" t="inlineStr">
        <is>
          <t>LinkedIn</t>
        </is>
      </c>
      <c r="V772" s="27" t="inlineStr">
        <is>
          <t>education &amp; applied coding frameworks, specifically regarding episode 19 on Education &amp; Applied Coding workflow optimization</t>
        </is>
      </c>
      <c r="W772" s="27" t="inlineStr">
        <is>
          <t>Hi Sebastian, loved your recent piece on 'education &amp; applied coding frameworks, specifically regarding episode 19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72" s="27" t="inlineStr">
        <is>
          <t>2026-10-18</t>
        </is>
      </c>
      <c r="Y772" s="27" t="inlineStr">
        <is>
          <t>C</t>
        </is>
      </c>
      <c r="Z772" s="27" t="n">
        <v>73.90000000000001</v>
      </c>
      <c r="AA772" s="27" t="inlineStr">
        <is>
          <t>Qualified</t>
        </is>
      </c>
      <c r="AB772" s="27" t="inlineStr"/>
      <c r="AC772" s="28">
        <f>IF(A772="","",IF(COUNTIF($H$5:$H$1004,H772)&gt;1,"DUPLICATE","UNIQUE"))</f>
        <v/>
      </c>
      <c r="AD772" s="28">
        <f>IF(A772="","",IF(AA772="Rejected",IF(AB772&lt;&gt;"","REJECTED","ADD REASON"),IF(AND(B772&lt;&gt;"",C772&lt;&gt;"",D772&lt;&gt;"",E772&lt;&gt;"",F772&lt;&gt;"",G772&lt;&gt;"",H772&lt;&gt;"",J772&lt;&gt;"",K772&lt;&gt;"",N772&lt;&gt;"",O772&lt;&gt;"",P772&lt;&gt;"",Q772&lt;&gt;"",R772&lt;&gt;"",S772&lt;&gt;"",T772&lt;&gt;"",V772&lt;&gt;"",W772&lt;&gt;"",X772&lt;&gt;"",Y772&lt;&gt;""),"COMPLETE","MISSING FIELDS")))</f>
        <v/>
      </c>
    </row>
    <row r="773" ht="15" customHeight="1" s="15">
      <c r="A773" s="27" t="inlineStr">
        <is>
          <t>LEAD-0769</t>
        </is>
      </c>
      <c r="B773" s="27" t="inlineStr">
        <is>
          <t>Sebastian Yardley</t>
        </is>
      </c>
      <c r="C773" s="27" t="inlineStr">
        <is>
          <t>Podcaster</t>
        </is>
      </c>
      <c r="D773" s="27" t="inlineStr">
        <is>
          <t>CA</t>
        </is>
      </c>
      <c r="E773" s="27" t="inlineStr">
        <is>
          <t>English</t>
        </is>
      </c>
      <c r="F773" s="27" t="inlineStr">
        <is>
          <t>Apple Podcasts</t>
        </is>
      </c>
      <c r="G773" s="27" t="inlineStr">
        <is>
          <t>https://podcasts.apple.com/ca/podcast/sebastianyardley/id1000769</t>
        </is>
      </c>
      <c r="H773" s="27" t="inlineStr">
        <is>
          <t>AP-CA-1000769</t>
        </is>
      </c>
      <c r="I773" s="27" t="inlineStr">
        <is>
          <t>240,000</t>
        </is>
      </c>
      <c r="J773" s="27" t="inlineStr">
        <is>
          <t>2026-10-11</t>
        </is>
      </c>
      <c r="K773" s="27" t="inlineStr">
        <is>
          <t>https://sebastianyardley.com/episodes/170</t>
        </is>
      </c>
      <c r="L773" s="27" t="n">
        <v>17</v>
      </c>
      <c r="M773" s="27" t="n">
        <v>29</v>
      </c>
      <c r="N773" s="27" t="inlineStr">
        <is>
          <t>Affiliate</t>
        </is>
      </c>
      <c r="O773" s="27" t="inlineStr">
        <is>
          <t>https://sebastianyardley.com/resources</t>
        </is>
      </c>
      <c r="P773" s="27" t="inlineStr">
        <is>
          <t>Shorts Repurposing Bottleneck</t>
        </is>
      </c>
      <c r="Q773" s="27" t="inlineStr">
        <is>
          <t>https://sebastianyardley.com/highlights</t>
        </is>
      </c>
      <c r="R773" s="27" t="inlineStr">
        <is>
          <t>LinkedIn</t>
        </is>
      </c>
      <c r="S773" s="27" t="inlineStr">
        <is>
          <t>https://linkedin.com/in/sebastianyardley</t>
        </is>
      </c>
      <c r="T773" s="27" t="inlineStr">
        <is>
          <t>https://sebastianyardley.com/about</t>
        </is>
      </c>
      <c r="U773" s="27" t="inlineStr">
        <is>
          <t>Email</t>
        </is>
      </c>
      <c r="V773" s="27" t="inlineStr">
        <is>
          <t>e-commerce &amp; digital brands frameworks, specifically regarding episode 20 on E-Commerce &amp; Digital Brands workflow optimization</t>
        </is>
      </c>
      <c r="W773" s="27" t="inlineStr">
        <is>
          <t>Hi Sebastian, loved your recent piece on 'e-commerce &amp; digital brands frameworks, specifically regarding episode 20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73" s="27" t="inlineStr">
        <is>
          <t>2026-10-18</t>
        </is>
      </c>
      <c r="Y773" s="27" t="inlineStr">
        <is>
          <t>C</t>
        </is>
      </c>
      <c r="Z773" s="27" t="n">
        <v>73.90000000000001</v>
      </c>
      <c r="AA773" s="27" t="inlineStr">
        <is>
          <t>Qualified</t>
        </is>
      </c>
      <c r="AB773" s="27" t="inlineStr"/>
      <c r="AC773" s="28">
        <f>IF(A773="","",IF(COUNTIF($H$5:$H$1004,H773)&gt;1,"DUPLICATE","UNIQUE"))</f>
        <v/>
      </c>
      <c r="AD773" s="28">
        <f>IF(A773="","",IF(AA773="Rejected",IF(AB773&lt;&gt;"","REJECTED","ADD REASON"),IF(AND(B773&lt;&gt;"",C773&lt;&gt;"",D773&lt;&gt;"",E773&lt;&gt;"",F773&lt;&gt;"",G773&lt;&gt;"",H773&lt;&gt;"",J773&lt;&gt;"",K773&lt;&gt;"",N773&lt;&gt;"",O773&lt;&gt;"",P773&lt;&gt;"",Q773&lt;&gt;"",R773&lt;&gt;"",S773&lt;&gt;"",T773&lt;&gt;"",V773&lt;&gt;"",W773&lt;&gt;"",X773&lt;&gt;"",Y773&lt;&gt;""),"COMPLETE","MISSING FIELDS")))</f>
        <v/>
      </c>
    </row>
    <row r="774" ht="15" customHeight="1" s="15">
      <c r="A774" s="27" t="inlineStr">
        <is>
          <t>LEAD-0770</t>
        </is>
      </c>
      <c r="B774" s="27" t="inlineStr">
        <is>
          <t>Sebastian Zimmerman</t>
        </is>
      </c>
      <c r="C774" s="27" t="inlineStr">
        <is>
          <t>YouTuber</t>
        </is>
      </c>
      <c r="D774" s="27" t="inlineStr">
        <is>
          <t>CA</t>
        </is>
      </c>
      <c r="E774" s="27" t="inlineStr">
        <is>
          <t>English</t>
        </is>
      </c>
      <c r="F774" s="27" t="inlineStr">
        <is>
          <t>YouTube</t>
        </is>
      </c>
      <c r="G774" s="27" t="inlineStr">
        <is>
          <t>https://www.youtube.com/@sebastianzimmerman</t>
        </is>
      </c>
      <c r="H774" s="27" t="inlineStr">
        <is>
          <t>UCCA00770529873</t>
        </is>
      </c>
      <c r="I774" s="27" t="inlineStr">
        <is>
          <t>20,000</t>
        </is>
      </c>
      <c r="J774" s="27" t="inlineStr">
        <is>
          <t>2026-10-12</t>
        </is>
      </c>
      <c r="K774" s="27" t="inlineStr">
        <is>
          <t>https://www.youtube.com/watch?v=ca00770</t>
        </is>
      </c>
      <c r="L774" s="27" t="n">
        <v>8</v>
      </c>
      <c r="M774" s="27" t="n">
        <v>30</v>
      </c>
      <c r="N774" s="27" t="inlineStr">
        <is>
          <t>Course</t>
        </is>
      </c>
      <c r="O774" s="27" t="inlineStr">
        <is>
          <t>https://sebastianzimmerman.com/academy</t>
        </is>
      </c>
      <c r="P774" s="27" t="inlineStr">
        <is>
          <t>Shorts Repurposing Bottleneck</t>
        </is>
      </c>
      <c r="Q774" s="27" t="inlineStr">
        <is>
          <t>https://sebastianzimmerman.com/highlights</t>
        </is>
      </c>
      <c r="R774" s="27" t="inlineStr">
        <is>
          <t>X (Twitter)</t>
        </is>
      </c>
      <c r="S774" s="27" t="inlineStr">
        <is>
          <t>https://x.com/sebastianzimmerman</t>
        </is>
      </c>
      <c r="T774" s="27" t="inlineStr">
        <is>
          <t>https://sebastianzimmerman.com/links</t>
        </is>
      </c>
      <c r="U774" s="27" t="inlineStr">
        <is>
          <t>LinkedIn</t>
        </is>
      </c>
      <c r="V774" s="27" t="inlineStr">
        <is>
          <t>tech &amp; ai frameworks, specifically regarding episode 21 on Tech &amp; AI workflow optimization</t>
        </is>
      </c>
      <c r="W774" s="27" t="inlineStr">
        <is>
          <t>Hi Sebastian, loved your recent piece on 'tech &amp; ai frameworks, specifically regarding episode 21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74" s="27" t="inlineStr">
        <is>
          <t>2026-10-18</t>
        </is>
      </c>
      <c r="Y774" s="27" t="inlineStr">
        <is>
          <t>C</t>
        </is>
      </c>
      <c r="Z774" s="27" t="n">
        <v>73.8</v>
      </c>
      <c r="AA774" s="27" t="inlineStr">
        <is>
          <t>Qualified</t>
        </is>
      </c>
      <c r="AB774" s="27" t="inlineStr"/>
      <c r="AC774" s="28">
        <f>IF(A774="","",IF(COUNTIF($H$5:$H$1004,H774)&gt;1,"DUPLICATE","UNIQUE"))</f>
        <v/>
      </c>
      <c r="AD774" s="28">
        <f>IF(A774="","",IF(AA774="Rejected",IF(AB774&lt;&gt;"","REJECTED","ADD REASON"),IF(AND(B774&lt;&gt;"",C774&lt;&gt;"",D774&lt;&gt;"",E774&lt;&gt;"",F774&lt;&gt;"",G774&lt;&gt;"",H774&lt;&gt;"",J774&lt;&gt;"",K774&lt;&gt;"",N774&lt;&gt;"",O774&lt;&gt;"",P774&lt;&gt;"",Q774&lt;&gt;"",R774&lt;&gt;"",S774&lt;&gt;"",T774&lt;&gt;"",V774&lt;&gt;"",W774&lt;&gt;"",X774&lt;&gt;"",Y774&lt;&gt;""),"COMPLETE","MISSING FIELDS")))</f>
        <v/>
      </c>
    </row>
    <row r="775" ht="15" customHeight="1" s="15">
      <c r="A775" s="27" t="inlineStr">
        <is>
          <t>LEAD-0771</t>
        </is>
      </c>
      <c r="B775" s="27" t="inlineStr">
        <is>
          <t>Sebastian Sterling</t>
        </is>
      </c>
      <c r="C775" s="27" t="inlineStr">
        <is>
          <t>Podcaster</t>
        </is>
      </c>
      <c r="D775" s="27" t="inlineStr">
        <is>
          <t>CA</t>
        </is>
      </c>
      <c r="E775" s="27" t="inlineStr">
        <is>
          <t>English</t>
        </is>
      </c>
      <c r="F775" s="27" t="inlineStr">
        <is>
          <t>Apple Podcasts</t>
        </is>
      </c>
      <c r="G775" s="27" t="inlineStr">
        <is>
          <t>https://podcasts.apple.com/ca/podcast/sebastiansterling/id1000771</t>
        </is>
      </c>
      <c r="H775" s="27" t="inlineStr">
        <is>
          <t>AP-CA-1000771</t>
        </is>
      </c>
      <c r="I775" s="27" t="inlineStr">
        <is>
          <t>264,000</t>
        </is>
      </c>
      <c r="J775" s="27" t="inlineStr">
        <is>
          <t>2026-10-13</t>
        </is>
      </c>
      <c r="K775" s="27" t="inlineStr">
        <is>
          <t>https://sebastiansterling.com/episodes/172</t>
        </is>
      </c>
      <c r="L775" s="27" t="n">
        <v>9</v>
      </c>
      <c r="M775" s="27" t="n">
        <v>31</v>
      </c>
      <c r="N775" s="27" t="inlineStr">
        <is>
          <t>Sponsor</t>
        </is>
      </c>
      <c r="O775" s="27" t="inlineStr">
        <is>
          <t>https://sebastiansterling.com/partners</t>
        </is>
      </c>
      <c r="P775" s="27" t="inlineStr">
        <is>
          <t>Missing Video Captions &amp; Retention Clips</t>
        </is>
      </c>
      <c r="Q775" s="27" t="inlineStr">
        <is>
          <t>https://sebastiansterling.com/highlights</t>
        </is>
      </c>
      <c r="R775" s="27" t="inlineStr">
        <is>
          <t>Email</t>
        </is>
      </c>
      <c r="S775" s="27" t="inlineStr">
        <is>
          <t>hello@sebastiansterling.com</t>
        </is>
      </c>
      <c r="T775" s="27" t="inlineStr">
        <is>
          <t>https://sebastiansterling.com/work-with-me</t>
        </is>
      </c>
      <c r="U775" s="27" t="inlineStr">
        <is>
          <t>LinkedIn</t>
        </is>
      </c>
      <c r="V775" s="27" t="inlineStr">
        <is>
          <t>saas &amp; product growth frameworks, specifically regarding episode 22 on SaaS &amp; Product Growth workflow optimization</t>
        </is>
      </c>
      <c r="W775" s="27" t="inlineStr">
        <is>
          <t>Hi Sebastian, loved your recent piece on 'saas &amp; product growth frameworks, specifically regarding episode 22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75" s="27" t="inlineStr">
        <is>
          <t>2026-10-18</t>
        </is>
      </c>
      <c r="Y775" s="27" t="inlineStr">
        <is>
          <t>C</t>
        </is>
      </c>
      <c r="Z775" s="27" t="n">
        <v>73.7</v>
      </c>
      <c r="AA775" s="27" t="inlineStr">
        <is>
          <t>Qualified</t>
        </is>
      </c>
      <c r="AB775" s="27" t="inlineStr"/>
      <c r="AC775" s="28">
        <f>IF(A775="","",IF(COUNTIF($H$5:$H$1004,H775)&gt;1,"DUPLICATE","UNIQUE"))</f>
        <v/>
      </c>
      <c r="AD775" s="28">
        <f>IF(A775="","",IF(AA775="Rejected",IF(AB775&lt;&gt;"","REJECTED","ADD REASON"),IF(AND(B775&lt;&gt;"",C775&lt;&gt;"",D775&lt;&gt;"",E775&lt;&gt;"",F775&lt;&gt;"",G775&lt;&gt;"",H775&lt;&gt;"",J775&lt;&gt;"",K775&lt;&gt;"",N775&lt;&gt;"",O775&lt;&gt;"",P775&lt;&gt;"",Q775&lt;&gt;"",R775&lt;&gt;"",S775&lt;&gt;"",T775&lt;&gt;"",V775&lt;&gt;"",W775&lt;&gt;"",X775&lt;&gt;"",Y775&lt;&gt;""),"COMPLETE","MISSING FIELDS")))</f>
        <v/>
      </c>
    </row>
    <row r="776" ht="15" customHeight="1" s="15">
      <c r="A776" s="27" t="inlineStr">
        <is>
          <t>LEAD-0772</t>
        </is>
      </c>
      <c r="B776" s="27" t="inlineStr">
        <is>
          <t>Sebastian Cross</t>
        </is>
      </c>
      <c r="C776" s="27" t="inlineStr">
        <is>
          <t>Expert-Led Creator</t>
        </is>
      </c>
      <c r="D776" s="27" t="inlineStr">
        <is>
          <t>CA</t>
        </is>
      </c>
      <c r="E776" s="27" t="inlineStr">
        <is>
          <t>English</t>
        </is>
      </c>
      <c r="F776" s="27" t="inlineStr">
        <is>
          <t>YouTube</t>
        </is>
      </c>
      <c r="G776" s="27" t="inlineStr">
        <is>
          <t>https://www.youtube.com/@sebastiancross</t>
        </is>
      </c>
      <c r="H776" s="27" t="inlineStr">
        <is>
          <t>UCCA00772840025</t>
        </is>
      </c>
      <c r="I776" s="27" t="inlineStr">
        <is>
          <t>60,000</t>
        </is>
      </c>
      <c r="J776" s="27" t="inlineStr">
        <is>
          <t>2026-10-14</t>
        </is>
      </c>
      <c r="K776" s="27" t="inlineStr">
        <is>
          <t>https://www.youtube.com/watch?v=ca00772</t>
        </is>
      </c>
      <c r="L776" s="27" t="n">
        <v>10</v>
      </c>
      <c r="M776" s="27" t="n">
        <v>32</v>
      </c>
      <c r="N776" s="27" t="inlineStr">
        <is>
          <t>Membership</t>
        </is>
      </c>
      <c r="O776" s="27" t="inlineStr">
        <is>
          <t>https://sebastiancross.com/community</t>
        </is>
      </c>
      <c r="P776" s="27" t="inlineStr">
        <is>
          <t>Editing Backlog &amp; Team Workflow Overhead</t>
        </is>
      </c>
      <c r="Q776" s="27" t="inlineStr">
        <is>
          <t>https://sebastiancross.com/highlights</t>
        </is>
      </c>
      <c r="R776" s="27" t="inlineStr">
        <is>
          <t>Email</t>
        </is>
      </c>
      <c r="S776" s="27" t="inlineStr">
        <is>
          <t>contact@sebastiancross.com</t>
        </is>
      </c>
      <c r="T776" s="27" t="inlineStr">
        <is>
          <t>https://sebastiancross.com/contact</t>
        </is>
      </c>
      <c r="U776" s="27" t="inlineStr">
        <is>
          <t>LinkedIn</t>
        </is>
      </c>
      <c r="V776" s="27" t="inlineStr">
        <is>
          <t>creator business &amp; monetization frameworks, specifically regarding episode 23 on Creator Business &amp; Monetization workflow optimization</t>
        </is>
      </c>
      <c r="W776" s="27" t="inlineStr">
        <is>
          <t>Hi Sebastian, loved your recent piece on 'creator business &amp; monetization frameworks, specifically regarding episode 23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76" s="27" t="inlineStr">
        <is>
          <t>2026-10-18</t>
        </is>
      </c>
      <c r="Y776" s="27" t="inlineStr">
        <is>
          <t>C</t>
        </is>
      </c>
      <c r="Z776" s="27" t="n">
        <v>73.7</v>
      </c>
      <c r="AA776" s="27" t="inlineStr">
        <is>
          <t>Qualified</t>
        </is>
      </c>
      <c r="AB776" s="27" t="inlineStr"/>
      <c r="AC776" s="28">
        <f>IF(A776="","",IF(COUNTIF($H$5:$H$1004,H776)&gt;1,"DUPLICATE","UNIQUE"))</f>
        <v/>
      </c>
      <c r="AD776" s="28">
        <f>IF(A776="","",IF(AA776="Rejected",IF(AB776&lt;&gt;"","REJECTED","ADD REASON"),IF(AND(B776&lt;&gt;"",C776&lt;&gt;"",D776&lt;&gt;"",E776&lt;&gt;"",F776&lt;&gt;"",G776&lt;&gt;"",H776&lt;&gt;"",J776&lt;&gt;"",K776&lt;&gt;"",N776&lt;&gt;"",O776&lt;&gt;"",P776&lt;&gt;"",Q776&lt;&gt;"",R776&lt;&gt;"",S776&lt;&gt;"",T776&lt;&gt;"",V776&lt;&gt;"",W776&lt;&gt;"",X776&lt;&gt;"",Y776&lt;&gt;""),"COMPLETE","MISSING FIELDS")))</f>
        <v/>
      </c>
    </row>
    <row r="777" ht="15" customHeight="1" s="15">
      <c r="A777" s="27" t="inlineStr">
        <is>
          <t>LEAD-0773</t>
        </is>
      </c>
      <c r="B777" s="27" t="inlineStr">
        <is>
          <t>Sebastian Vance</t>
        </is>
      </c>
      <c r="C777" s="27" t="inlineStr">
        <is>
          <t>YouTuber</t>
        </is>
      </c>
      <c r="D777" s="27" t="inlineStr">
        <is>
          <t>CA</t>
        </is>
      </c>
      <c r="E777" s="27" t="inlineStr">
        <is>
          <t>English</t>
        </is>
      </c>
      <c r="F777" s="27" t="inlineStr">
        <is>
          <t>YouTube</t>
        </is>
      </c>
      <c r="G777" s="27" t="inlineStr">
        <is>
          <t>https://www.youtube.com/@sebastianvance</t>
        </is>
      </c>
      <c r="H777" s="27" t="inlineStr">
        <is>
          <t>UCCA00773428839</t>
        </is>
      </c>
      <c r="I777" s="27" t="inlineStr">
        <is>
          <t>80,000</t>
        </is>
      </c>
      <c r="J777" s="27" t="inlineStr">
        <is>
          <t>2026-10-15</t>
        </is>
      </c>
      <c r="K777" s="27" t="inlineStr">
        <is>
          <t>https://www.youtube.com/watch?v=ca00773</t>
        </is>
      </c>
      <c r="L777" s="27" t="n">
        <v>11</v>
      </c>
      <c r="M777" s="27" t="n">
        <v>33</v>
      </c>
      <c r="N777" s="27" t="inlineStr">
        <is>
          <t>Product</t>
        </is>
      </c>
      <c r="O777" s="27" t="inlineStr">
        <is>
          <t>https://sebastianvance.com/shop</t>
        </is>
      </c>
      <c r="P777" s="27" t="inlineStr">
        <is>
          <t>Shorts Repurposing Bottleneck</t>
        </is>
      </c>
      <c r="Q777" s="27" t="inlineStr">
        <is>
          <t>https://sebastianvance.com/highlights</t>
        </is>
      </c>
      <c r="R777" s="27" t="inlineStr">
        <is>
          <t>LinkedIn</t>
        </is>
      </c>
      <c r="S777" s="27" t="inlineStr">
        <is>
          <t>https://linkedin.com/in/sebastianvance</t>
        </is>
      </c>
      <c r="T777" s="27" t="inlineStr">
        <is>
          <t>https://sebastianvance.com/about</t>
        </is>
      </c>
      <c r="U777" s="27" t="inlineStr">
        <is>
          <t>Email</t>
        </is>
      </c>
      <c r="V777" s="27" t="inlineStr">
        <is>
          <t>productivity &amp; personal systems frameworks, specifically regarding episode 24 on Productivity &amp; Personal Systems workflow optimization</t>
        </is>
      </c>
      <c r="W777" s="27" t="inlineStr">
        <is>
          <t>Hi Sebastian, loved your recent piece on 'productivity &amp; personal systems frameworks, specifically regarding episode 24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77" s="27" t="inlineStr">
        <is>
          <t>2026-10-18</t>
        </is>
      </c>
      <c r="Y777" s="27" t="inlineStr">
        <is>
          <t>C</t>
        </is>
      </c>
      <c r="Z777" s="27" t="n">
        <v>73.59999999999999</v>
      </c>
      <c r="AA777" s="27" t="inlineStr">
        <is>
          <t>Qualified</t>
        </is>
      </c>
      <c r="AB777" s="27" t="inlineStr"/>
      <c r="AC777" s="28">
        <f>IF(A777="","",IF(COUNTIF($H$5:$H$1004,H777)&gt;1,"DUPLICATE","UNIQUE"))</f>
        <v/>
      </c>
      <c r="AD777" s="28">
        <f>IF(A777="","",IF(AA777="Rejected",IF(AB777&lt;&gt;"","REJECTED","ADD REASON"),IF(AND(B777&lt;&gt;"",C777&lt;&gt;"",D777&lt;&gt;"",E777&lt;&gt;"",F777&lt;&gt;"",G777&lt;&gt;"",H777&lt;&gt;"",J777&lt;&gt;"",K777&lt;&gt;"",N777&lt;&gt;"",O777&lt;&gt;"",P777&lt;&gt;"",Q777&lt;&gt;"",R777&lt;&gt;"",S777&lt;&gt;"",T777&lt;&gt;"",V777&lt;&gt;"",W777&lt;&gt;"",X777&lt;&gt;"",Y777&lt;&gt;""),"COMPLETE","MISSING FIELDS")))</f>
        <v/>
      </c>
    </row>
    <row r="778" ht="15" customHeight="1" s="15">
      <c r="A778" s="27" t="inlineStr">
        <is>
          <t>LEAD-0774</t>
        </is>
      </c>
      <c r="B778" s="27" t="inlineStr">
        <is>
          <t>Sebastian Mercer</t>
        </is>
      </c>
      <c r="C778" s="27" t="inlineStr">
        <is>
          <t>Podcaster</t>
        </is>
      </c>
      <c r="D778" s="27" t="inlineStr">
        <is>
          <t>CA</t>
        </is>
      </c>
      <c r="E778" s="27" t="inlineStr">
        <is>
          <t>English</t>
        </is>
      </c>
      <c r="F778" s="27" t="inlineStr">
        <is>
          <t>Apple Podcasts</t>
        </is>
      </c>
      <c r="G778" s="27" t="inlineStr">
        <is>
          <t>https://podcasts.apple.com/ca/podcast/sebastianmercer/id1000774</t>
        </is>
      </c>
      <c r="H778" s="27" t="inlineStr">
        <is>
          <t>AP-CA-1000774</t>
        </is>
      </c>
      <c r="I778" s="27" t="inlineStr">
        <is>
          <t>300,000</t>
        </is>
      </c>
      <c r="J778" s="27" t="inlineStr">
        <is>
          <t>2026-10-16</t>
        </is>
      </c>
      <c r="K778" s="27" t="inlineStr">
        <is>
          <t>https://sebastianmercer.com/episodes/175</t>
        </is>
      </c>
      <c r="L778" s="27" t="n">
        <v>12</v>
      </c>
      <c r="M778" s="27" t="n">
        <v>16</v>
      </c>
      <c r="N778" s="27" t="inlineStr">
        <is>
          <t>Consulting</t>
        </is>
      </c>
      <c r="O778" s="27" t="inlineStr">
        <is>
          <t>https://sebastianmercer.com/advisory</t>
        </is>
      </c>
      <c r="P778" s="27" t="inlineStr">
        <is>
          <t>Inconsistent Cross-Platform Publishing</t>
        </is>
      </c>
      <c r="Q778" s="27" t="inlineStr">
        <is>
          <t>https://sebastianmercer.com/highlights</t>
        </is>
      </c>
      <c r="R778" s="27" t="inlineStr">
        <is>
          <t>X (Twitter)</t>
        </is>
      </c>
      <c r="S778" s="27" t="inlineStr">
        <is>
          <t>https://x.com/sebastianmercer</t>
        </is>
      </c>
      <c r="T778" s="27" t="inlineStr">
        <is>
          <t>https://sebastianmercer.com/links</t>
        </is>
      </c>
      <c r="U778" s="27" t="inlineStr">
        <is>
          <t>LinkedIn</t>
        </is>
      </c>
      <c r="V778" s="27" t="inlineStr">
        <is>
          <t>leadership &amp; team ops frameworks, specifically regarding episode 25 on Leadership &amp; Team Ops workflow optimization</t>
        </is>
      </c>
      <c r="W778" s="27" t="inlineStr">
        <is>
          <t>Hi Sebastian, loved your recent piece on 'leadership &amp; team ops frameworks, specifically regarding episode 25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78" s="27" t="inlineStr">
        <is>
          <t>2026-10-18</t>
        </is>
      </c>
      <c r="Y778" s="27" t="inlineStr">
        <is>
          <t>C</t>
        </is>
      </c>
      <c r="Z778" s="27" t="n">
        <v>73.59999999999999</v>
      </c>
      <c r="AA778" s="27" t="inlineStr">
        <is>
          <t>Qualified</t>
        </is>
      </c>
      <c r="AB778" s="27" t="inlineStr"/>
      <c r="AC778" s="28">
        <f>IF(A778="","",IF(COUNTIF($H$5:$H$1004,H778)&gt;1,"DUPLICATE","UNIQUE"))</f>
        <v/>
      </c>
      <c r="AD778" s="28">
        <f>IF(A778="","",IF(AA778="Rejected",IF(AB778&lt;&gt;"","REJECTED","ADD REASON"),IF(AND(B778&lt;&gt;"",C778&lt;&gt;"",D778&lt;&gt;"",E778&lt;&gt;"",F778&lt;&gt;"",G778&lt;&gt;"",H778&lt;&gt;"",J778&lt;&gt;"",K778&lt;&gt;"",N778&lt;&gt;"",O778&lt;&gt;"",P778&lt;&gt;"",Q778&lt;&gt;"",R778&lt;&gt;"",S778&lt;&gt;"",T778&lt;&gt;"",V778&lt;&gt;"",W778&lt;&gt;"",X778&lt;&gt;"",Y778&lt;&gt;""),"COMPLETE","MISSING FIELDS")))</f>
        <v/>
      </c>
    </row>
    <row r="779" ht="15" customHeight="1" s="15">
      <c r="A779" s="27" t="inlineStr">
        <is>
          <t>LEAD-0775</t>
        </is>
      </c>
      <c r="B779" s="27" t="inlineStr">
        <is>
          <t>Sebastian Sinclair</t>
        </is>
      </c>
      <c r="C779" s="27" t="inlineStr">
        <is>
          <t>Expert-Led Creator</t>
        </is>
      </c>
      <c r="D779" s="27" t="inlineStr">
        <is>
          <t>CA</t>
        </is>
      </c>
      <c r="E779" s="27" t="inlineStr">
        <is>
          <t>English</t>
        </is>
      </c>
      <c r="F779" s="27" t="inlineStr">
        <is>
          <t>LinkedIn</t>
        </is>
      </c>
      <c r="G779" s="27" t="inlineStr">
        <is>
          <t>https://www.linkedin.com/in/sebastiansinclair</t>
        </is>
      </c>
      <c r="H779" s="27" t="inlineStr">
        <is>
          <t>LI-sebastiansinclair-0775</t>
        </is>
      </c>
      <c r="I779" s="27" t="inlineStr">
        <is>
          <t>156,000</t>
        </is>
      </c>
      <c r="J779" s="27" t="inlineStr">
        <is>
          <t>2026-10-17</t>
        </is>
      </c>
      <c r="K779" s="27" t="inlineStr">
        <is>
          <t>https://sebastiansinclair.com/posts/26</t>
        </is>
      </c>
      <c r="L779" s="27" t="n">
        <v>13</v>
      </c>
      <c r="M779" s="27" t="n">
        <v>17</v>
      </c>
      <c r="N779" s="27" t="inlineStr">
        <is>
          <t>Newsletter Subscription</t>
        </is>
      </c>
      <c r="O779" s="27" t="inlineStr">
        <is>
          <t>https://sebastiansinclair.com/subscribe</t>
        </is>
      </c>
      <c r="P779" s="27" t="inlineStr">
        <is>
          <t>Editing Backlog &amp; Team Workflow Overhead</t>
        </is>
      </c>
      <c r="Q779" s="27" t="inlineStr">
        <is>
          <t>https://sebastiansinclair.com/highlights</t>
        </is>
      </c>
      <c r="R779" s="27" t="inlineStr">
        <is>
          <t>Email</t>
        </is>
      </c>
      <c r="S779" s="27" t="inlineStr">
        <is>
          <t>hello@sebastiansinclair.com</t>
        </is>
      </c>
      <c r="T779" s="27" t="inlineStr">
        <is>
          <t>https://sebastiansinclair.com/work-with-me</t>
        </is>
      </c>
      <c r="U779" s="27" t="inlineStr">
        <is>
          <t>LinkedIn</t>
        </is>
      </c>
      <c r="V779" s="27" t="inlineStr">
        <is>
          <t>b2b marketing &amp; sales frameworks, specifically regarding episode 26 on B2B Marketing &amp; Sales workflow optimization</t>
        </is>
      </c>
      <c r="W779" s="27" t="inlineStr">
        <is>
          <t>Hi Sebastian, loved your recent piece on 'b2b marketing &amp; sales frameworks, specifically regarding episode 26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79" s="27" t="inlineStr">
        <is>
          <t>2026-10-18</t>
        </is>
      </c>
      <c r="Y779" s="27" t="inlineStr">
        <is>
          <t>C</t>
        </is>
      </c>
      <c r="Z779" s="27" t="n">
        <v>73.5</v>
      </c>
      <c r="AA779" s="27" t="inlineStr">
        <is>
          <t>Qualified</t>
        </is>
      </c>
      <c r="AB779" s="27" t="inlineStr"/>
      <c r="AC779" s="28">
        <f>IF(A779="","",IF(COUNTIF($H$5:$H$1004,H779)&gt;1,"DUPLICATE","UNIQUE"))</f>
        <v/>
      </c>
      <c r="AD779" s="28">
        <f>IF(A779="","",IF(AA779="Rejected",IF(AB779&lt;&gt;"","REJECTED","ADD REASON"),IF(AND(B779&lt;&gt;"",C779&lt;&gt;"",D779&lt;&gt;"",E779&lt;&gt;"",F779&lt;&gt;"",G779&lt;&gt;"",H779&lt;&gt;"",J779&lt;&gt;"",K779&lt;&gt;"",N779&lt;&gt;"",O779&lt;&gt;"",P779&lt;&gt;"",Q779&lt;&gt;"",R779&lt;&gt;"",S779&lt;&gt;"",T779&lt;&gt;"",V779&lt;&gt;"",W779&lt;&gt;"",X779&lt;&gt;"",Y779&lt;&gt;""),"COMPLETE","MISSING FIELDS")))</f>
        <v/>
      </c>
    </row>
    <row r="780" ht="15" customHeight="1" s="15">
      <c r="A780" s="27" t="inlineStr">
        <is>
          <t>LEAD-0776</t>
        </is>
      </c>
      <c r="B780" s="27" t="inlineStr">
        <is>
          <t>Sebastian Carrington</t>
        </is>
      </c>
      <c r="C780" s="27" t="inlineStr">
        <is>
          <t>YouTuber</t>
        </is>
      </c>
      <c r="D780" s="27" t="inlineStr">
        <is>
          <t>CA</t>
        </is>
      </c>
      <c r="E780" s="27" t="inlineStr">
        <is>
          <t>English</t>
        </is>
      </c>
      <c r="F780" s="27" t="inlineStr">
        <is>
          <t>YouTube</t>
        </is>
      </c>
      <c r="G780" s="27" t="inlineStr">
        <is>
          <t>https://www.youtube.com/@sebastiancarrington</t>
        </is>
      </c>
      <c r="H780" s="27" t="inlineStr">
        <is>
          <t>UCCA00776508927</t>
        </is>
      </c>
      <c r="I780" s="27" t="inlineStr">
        <is>
          <t>140,000</t>
        </is>
      </c>
      <c r="J780" s="27" t="inlineStr">
        <is>
          <t>2026-10-10</t>
        </is>
      </c>
      <c r="K780" s="27" t="inlineStr">
        <is>
          <t>https://www.youtube.com/watch?v=ca00776</t>
        </is>
      </c>
      <c r="L780" s="27" t="n">
        <v>14</v>
      </c>
      <c r="M780" s="27" t="n">
        <v>18</v>
      </c>
      <c r="N780" s="27" t="inlineStr">
        <is>
          <t>Affiliate</t>
        </is>
      </c>
      <c r="O780" s="27" t="inlineStr">
        <is>
          <t>https://sebastiancarrington.com/resources</t>
        </is>
      </c>
      <c r="P780" s="27" t="inlineStr">
        <is>
          <t>Multilingual Audio Dubbing</t>
        </is>
      </c>
      <c r="Q780" s="27" t="inlineStr">
        <is>
          <t>https://sebastiancarrington.com/highlights</t>
        </is>
      </c>
      <c r="R780" s="27" t="inlineStr">
        <is>
          <t>Email</t>
        </is>
      </c>
      <c r="S780" s="27" t="inlineStr">
        <is>
          <t>contact@sebastiancarrington.com</t>
        </is>
      </c>
      <c r="T780" s="27" t="inlineStr">
        <is>
          <t>https://sebastiancarrington.com/contact</t>
        </is>
      </c>
      <c r="U780" s="27" t="inlineStr">
        <is>
          <t>LinkedIn</t>
        </is>
      </c>
      <c r="V780" s="27" t="inlineStr">
        <is>
          <t>finance &amp; wealth engineering frameworks, specifically regarding episode 27 on Finance &amp; Wealth Engineering workflow optimization</t>
        </is>
      </c>
      <c r="W780" s="27" t="inlineStr">
        <is>
          <t>Hi Sebastian,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80" s="27" t="inlineStr">
        <is>
          <t>2026-10-18</t>
        </is>
      </c>
      <c r="Y780" s="27" t="inlineStr">
        <is>
          <t>C</t>
        </is>
      </c>
      <c r="Z780" s="27" t="n">
        <v>73.40000000000001</v>
      </c>
      <c r="AA780" s="27" t="inlineStr">
        <is>
          <t>Qualified</t>
        </is>
      </c>
      <c r="AB780" s="27" t="inlineStr"/>
      <c r="AC780" s="28">
        <f>IF(A780="","",IF(COUNTIF($H$5:$H$1004,H780)&gt;1,"DUPLICATE","UNIQUE"))</f>
        <v/>
      </c>
      <c r="AD780" s="28">
        <f>IF(A780="","",IF(AA780="Rejected",IF(AB780&lt;&gt;"","REJECTED","ADD REASON"),IF(AND(B780&lt;&gt;"",C780&lt;&gt;"",D780&lt;&gt;"",E780&lt;&gt;"",F780&lt;&gt;"",G780&lt;&gt;"",H780&lt;&gt;"",J780&lt;&gt;"",K780&lt;&gt;"",N780&lt;&gt;"",O780&lt;&gt;"",P780&lt;&gt;"",Q780&lt;&gt;"",R780&lt;&gt;"",S780&lt;&gt;"",T780&lt;&gt;"",V780&lt;&gt;"",W780&lt;&gt;"",X780&lt;&gt;"",Y780&lt;&gt;""),"COMPLETE","MISSING FIELDS")))</f>
        <v/>
      </c>
    </row>
    <row r="781" ht="15" customHeight="1" s="15">
      <c r="A781" s="27" t="inlineStr">
        <is>
          <t>LEAD-0777</t>
        </is>
      </c>
      <c r="B781" s="27" t="inlineStr">
        <is>
          <t>Sebastian Prescott</t>
        </is>
      </c>
      <c r="C781" s="27" t="inlineStr">
        <is>
          <t>Podcaster</t>
        </is>
      </c>
      <c r="D781" s="27" t="inlineStr">
        <is>
          <t>CA</t>
        </is>
      </c>
      <c r="E781" s="27" t="inlineStr">
        <is>
          <t>English</t>
        </is>
      </c>
      <c r="F781" s="27" t="inlineStr">
        <is>
          <t>Apple Podcasts</t>
        </is>
      </c>
      <c r="G781" s="27" t="inlineStr">
        <is>
          <t>https://podcasts.apple.com/ca/podcast/sebastianprescott/id1000777</t>
        </is>
      </c>
      <c r="H781" s="27" t="inlineStr">
        <is>
          <t>AP-CA-1000777</t>
        </is>
      </c>
      <c r="I781" s="27" t="inlineStr">
        <is>
          <t>36,000</t>
        </is>
      </c>
      <c r="J781" s="27" t="inlineStr">
        <is>
          <t>2026-10-11</t>
        </is>
      </c>
      <c r="K781" s="27" t="inlineStr">
        <is>
          <t>https://sebastianprescott.com/episodes/178</t>
        </is>
      </c>
      <c r="L781" s="27" t="n">
        <v>15</v>
      </c>
      <c r="M781" s="27" t="n">
        <v>19</v>
      </c>
      <c r="N781" s="27" t="inlineStr">
        <is>
          <t>Course</t>
        </is>
      </c>
      <c r="O781" s="27" t="inlineStr">
        <is>
          <t>https://sebastianprescott.com/academy</t>
        </is>
      </c>
      <c r="P781" s="27" t="inlineStr">
        <is>
          <t>Multilingual Audio Dubbing</t>
        </is>
      </c>
      <c r="Q781" s="27" t="inlineStr">
        <is>
          <t>https://sebastianprescott.com/highlights</t>
        </is>
      </c>
      <c r="R781" s="27" t="inlineStr">
        <is>
          <t>LinkedIn</t>
        </is>
      </c>
      <c r="S781" s="27" t="inlineStr">
        <is>
          <t>https://linkedin.com/in/sebastianprescott</t>
        </is>
      </c>
      <c r="T781" s="27" t="inlineStr">
        <is>
          <t>https://sebastianprescott.com/about</t>
        </is>
      </c>
      <c r="U781" s="27" t="inlineStr">
        <is>
          <t>Email</t>
        </is>
      </c>
      <c r="V781" s="27" t="inlineStr">
        <is>
          <t>health &amp; longevity science frameworks, specifically regarding episode 28 on Health &amp; Longevity Science workflow optimization</t>
        </is>
      </c>
      <c r="W781" s="27" t="inlineStr">
        <is>
          <t>Hi Sebastian,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81" s="27" t="inlineStr">
        <is>
          <t>2026-10-18</t>
        </is>
      </c>
      <c r="Y781" s="27" t="inlineStr">
        <is>
          <t>C</t>
        </is>
      </c>
      <c r="Z781" s="27" t="n">
        <v>73.40000000000001</v>
      </c>
      <c r="AA781" s="27" t="inlineStr">
        <is>
          <t>Qualified</t>
        </is>
      </c>
      <c r="AB781" s="27" t="inlineStr"/>
      <c r="AC781" s="28">
        <f>IF(A781="","",IF(COUNTIF($H$5:$H$1004,H781)&gt;1,"DUPLICATE","UNIQUE"))</f>
        <v/>
      </c>
      <c r="AD781" s="28">
        <f>IF(A781="","",IF(AA781="Rejected",IF(AB781&lt;&gt;"","REJECTED","ADD REASON"),IF(AND(B781&lt;&gt;"",C781&lt;&gt;"",D781&lt;&gt;"",E781&lt;&gt;"",F781&lt;&gt;"",G781&lt;&gt;"",H781&lt;&gt;"",J781&lt;&gt;"",K781&lt;&gt;"",N781&lt;&gt;"",O781&lt;&gt;"",P781&lt;&gt;"",Q781&lt;&gt;"",R781&lt;&gt;"",S781&lt;&gt;"",T781&lt;&gt;"",V781&lt;&gt;"",W781&lt;&gt;"",X781&lt;&gt;"",Y781&lt;&gt;""),"COMPLETE","MISSING FIELDS")))</f>
        <v/>
      </c>
    </row>
    <row r="782" ht="15" customHeight="1" s="15">
      <c r="A782" s="27" t="inlineStr">
        <is>
          <t>LEAD-0778</t>
        </is>
      </c>
      <c r="B782" s="27" t="inlineStr">
        <is>
          <t>Sebastian Winslow</t>
        </is>
      </c>
      <c r="C782" s="27" t="inlineStr">
        <is>
          <t>YouTuber</t>
        </is>
      </c>
      <c r="D782" s="27" t="inlineStr">
        <is>
          <t>CA</t>
        </is>
      </c>
      <c r="E782" s="27" t="inlineStr">
        <is>
          <t>English</t>
        </is>
      </c>
      <c r="F782" s="27" t="inlineStr">
        <is>
          <t>YouTube</t>
        </is>
      </c>
      <c r="G782" s="27" t="inlineStr">
        <is>
          <t>https://www.youtube.com/@sebastianwinslow</t>
        </is>
      </c>
      <c r="H782" s="27" t="inlineStr">
        <is>
          <t>UCCA00778588697</t>
        </is>
      </c>
      <c r="I782" s="27" t="inlineStr">
        <is>
          <t>180,000</t>
        </is>
      </c>
      <c r="J782" s="27" t="inlineStr">
        <is>
          <t>2026-10-12</t>
        </is>
      </c>
      <c r="K782" s="27" t="inlineStr">
        <is>
          <t>https://www.youtube.com/watch?v=ca00778</t>
        </is>
      </c>
      <c r="L782" s="27" t="n">
        <v>16</v>
      </c>
      <c r="M782" s="27" t="n">
        <v>20</v>
      </c>
      <c r="N782" s="27" t="inlineStr">
        <is>
          <t>Sponsor</t>
        </is>
      </c>
      <c r="O782" s="27" t="inlineStr">
        <is>
          <t>https://sebastianwinslow.com/partners</t>
        </is>
      </c>
      <c r="P782" s="27" t="inlineStr">
        <is>
          <t>Missing Video Captions &amp; Retention Clips</t>
        </is>
      </c>
      <c r="Q782" s="27" t="inlineStr">
        <is>
          <t>https://sebastianwinslow.com/highlights</t>
        </is>
      </c>
      <c r="R782" s="27" t="inlineStr">
        <is>
          <t>X (Twitter)</t>
        </is>
      </c>
      <c r="S782" s="27" t="inlineStr">
        <is>
          <t>https://x.com/sebastianwinslow</t>
        </is>
      </c>
      <c r="T782" s="27" t="inlineStr">
        <is>
          <t>https://sebastianwinslow.com/links</t>
        </is>
      </c>
      <c r="U782" s="27" t="inlineStr">
        <is>
          <t>LinkedIn</t>
        </is>
      </c>
      <c r="V782" s="27" t="inlineStr">
        <is>
          <t>education &amp; applied coding frameworks, specifically regarding episode 29 on Education &amp; Applied Coding workflow optimization</t>
        </is>
      </c>
      <c r="W782" s="27" t="inlineStr">
        <is>
          <t>Hi Sebastian,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82" s="27" t="inlineStr">
        <is>
          <t>2026-10-18</t>
        </is>
      </c>
      <c r="Y782" s="27" t="inlineStr">
        <is>
          <t>C</t>
        </is>
      </c>
      <c r="Z782" s="27" t="n">
        <v>73.3</v>
      </c>
      <c r="AA782" s="27" t="inlineStr">
        <is>
          <t>Qualified</t>
        </is>
      </c>
      <c r="AB782" s="27" t="inlineStr"/>
      <c r="AC782" s="28">
        <f>IF(A782="","",IF(COUNTIF($H$5:$H$1004,H782)&gt;1,"DUPLICATE","UNIQUE"))</f>
        <v/>
      </c>
      <c r="AD782" s="28">
        <f>IF(A782="","",IF(AA782="Rejected",IF(AB782&lt;&gt;"","REJECTED","ADD REASON"),IF(AND(B782&lt;&gt;"",C782&lt;&gt;"",D782&lt;&gt;"",E782&lt;&gt;"",F782&lt;&gt;"",G782&lt;&gt;"",H782&lt;&gt;"",J782&lt;&gt;"",K782&lt;&gt;"",N782&lt;&gt;"",O782&lt;&gt;"",P782&lt;&gt;"",Q782&lt;&gt;"",R782&lt;&gt;"",S782&lt;&gt;"",T782&lt;&gt;"",V782&lt;&gt;"",W782&lt;&gt;"",X782&lt;&gt;"",Y782&lt;&gt;""),"COMPLETE","MISSING FIELDS")))</f>
        <v/>
      </c>
    </row>
    <row r="783" ht="15" customHeight="1" s="15">
      <c r="A783" s="27" t="inlineStr">
        <is>
          <t>LEAD-0779</t>
        </is>
      </c>
      <c r="B783" s="27" t="inlineStr">
        <is>
          <t>Sebastian Bradford</t>
        </is>
      </c>
      <c r="C783" s="27" t="inlineStr">
        <is>
          <t>Podcaster</t>
        </is>
      </c>
      <c r="D783" s="27" t="inlineStr">
        <is>
          <t>CA</t>
        </is>
      </c>
      <c r="E783" s="27" t="inlineStr">
        <is>
          <t>English</t>
        </is>
      </c>
      <c r="F783" s="27" t="inlineStr">
        <is>
          <t>Apple Podcasts</t>
        </is>
      </c>
      <c r="G783" s="27" t="inlineStr">
        <is>
          <t>https://podcasts.apple.com/ca/podcast/sebastianbradford/id1000779</t>
        </is>
      </c>
      <c r="H783" s="27" t="inlineStr">
        <is>
          <t>AP-CA-1000779</t>
        </is>
      </c>
      <c r="I783" s="27" t="inlineStr">
        <is>
          <t>60,000</t>
        </is>
      </c>
      <c r="J783" s="27" t="inlineStr">
        <is>
          <t>2026-10-13</t>
        </is>
      </c>
      <c r="K783" s="27" t="inlineStr">
        <is>
          <t>https://sebastianbradford.com/episodes/180</t>
        </is>
      </c>
      <c r="L783" s="27" t="n">
        <v>17</v>
      </c>
      <c r="M783" s="27" t="n">
        <v>21</v>
      </c>
      <c r="N783" s="27" t="inlineStr">
        <is>
          <t>Membership</t>
        </is>
      </c>
      <c r="O783" s="27" t="inlineStr">
        <is>
          <t>https://sebastianbradford.com/community</t>
        </is>
      </c>
      <c r="P783" s="27" t="inlineStr">
        <is>
          <t>Shorts Repurposing Bottleneck</t>
        </is>
      </c>
      <c r="Q783" s="27" t="inlineStr">
        <is>
          <t>https://sebastianbradford.com/highlights</t>
        </is>
      </c>
      <c r="R783" s="27" t="inlineStr">
        <is>
          <t>Email</t>
        </is>
      </c>
      <c r="S783" s="27" t="inlineStr">
        <is>
          <t>hello@sebastianbradford.com</t>
        </is>
      </c>
      <c r="T783" s="27" t="inlineStr">
        <is>
          <t>https://sebastianbradford.com/work-with-me</t>
        </is>
      </c>
      <c r="U783" s="27" t="inlineStr">
        <is>
          <t>LinkedIn</t>
        </is>
      </c>
      <c r="V783" s="27" t="inlineStr">
        <is>
          <t>e-commerce &amp; digital brands frameworks, specifically regarding episode 30 on E-Commerce &amp; Digital Brands workflow optimization</t>
        </is>
      </c>
      <c r="W783" s="27" t="inlineStr">
        <is>
          <t>Hi Sebastian,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83" s="27" t="inlineStr">
        <is>
          <t>2026-10-18</t>
        </is>
      </c>
      <c r="Y783" s="27" t="inlineStr">
        <is>
          <t>C</t>
        </is>
      </c>
      <c r="Z783" s="27" t="n">
        <v>73.3</v>
      </c>
      <c r="AA783" s="27" t="inlineStr">
        <is>
          <t>Qualified</t>
        </is>
      </c>
      <c r="AB783" s="27" t="inlineStr"/>
      <c r="AC783" s="28">
        <f>IF(A783="","",IF(COUNTIF($H$5:$H$1004,H783)&gt;1,"DUPLICATE","UNIQUE"))</f>
        <v/>
      </c>
      <c r="AD783" s="28">
        <f>IF(A783="","",IF(AA783="Rejected",IF(AB783&lt;&gt;"","REJECTED","ADD REASON"),IF(AND(B783&lt;&gt;"",C783&lt;&gt;"",D783&lt;&gt;"",E783&lt;&gt;"",F783&lt;&gt;"",G783&lt;&gt;"",H783&lt;&gt;"",J783&lt;&gt;"",K783&lt;&gt;"",N783&lt;&gt;"",O783&lt;&gt;"",P783&lt;&gt;"",Q783&lt;&gt;"",R783&lt;&gt;"",S783&lt;&gt;"",T783&lt;&gt;"",V783&lt;&gt;"",W783&lt;&gt;"",X783&lt;&gt;"",Y783&lt;&gt;""),"COMPLETE","MISSING FIELDS")))</f>
        <v/>
      </c>
    </row>
    <row r="784" ht="15" customHeight="1" s="15">
      <c r="A784" s="27" t="inlineStr">
        <is>
          <t>LEAD-0780</t>
        </is>
      </c>
      <c r="B784" s="27" t="inlineStr">
        <is>
          <t>Sebastian Kensington</t>
        </is>
      </c>
      <c r="C784" s="27" t="inlineStr">
        <is>
          <t>YouTuber</t>
        </is>
      </c>
      <c r="D784" s="27" t="inlineStr">
        <is>
          <t>CA</t>
        </is>
      </c>
      <c r="E784" s="27" t="inlineStr">
        <is>
          <t>English</t>
        </is>
      </c>
      <c r="F784" s="27" t="inlineStr">
        <is>
          <t>YouTube</t>
        </is>
      </c>
      <c r="G784" s="27" t="inlineStr">
        <is>
          <t>https://www.youtube.com/@sebastiankensington</t>
        </is>
      </c>
      <c r="H784" s="27" t="inlineStr">
        <is>
          <t>UCCA00780812359</t>
        </is>
      </c>
      <c r="I784" s="27" t="inlineStr">
        <is>
          <t>220,000</t>
        </is>
      </c>
      <c r="J784" s="27" t="inlineStr">
        <is>
          <t>2026-10-14</t>
        </is>
      </c>
      <c r="K784" s="27" t="inlineStr">
        <is>
          <t>https://www.youtube.com/watch?v=ca00780</t>
        </is>
      </c>
      <c r="L784" s="27" t="n">
        <v>8</v>
      </c>
      <c r="M784" s="27" t="n">
        <v>22</v>
      </c>
      <c r="N784" s="27" t="inlineStr">
        <is>
          <t>Product</t>
        </is>
      </c>
      <c r="O784" s="27" t="inlineStr">
        <is>
          <t>https://sebastiankensington.com/shop</t>
        </is>
      </c>
      <c r="P784" s="27" t="inlineStr">
        <is>
          <t>Shorts Repurposing Bottleneck</t>
        </is>
      </c>
      <c r="Q784" s="27" t="inlineStr">
        <is>
          <t>https://sebastiankensington.com/highlights</t>
        </is>
      </c>
      <c r="R784" s="27" t="inlineStr">
        <is>
          <t>Email</t>
        </is>
      </c>
      <c r="S784" s="27" t="inlineStr">
        <is>
          <t>contact@sebastiankensington.com</t>
        </is>
      </c>
      <c r="T784" s="27" t="inlineStr">
        <is>
          <t>https://sebastiankensington.com/contact</t>
        </is>
      </c>
      <c r="U784" s="27" t="inlineStr">
        <is>
          <t>LinkedIn</t>
        </is>
      </c>
      <c r="V784" s="27" t="inlineStr">
        <is>
          <t>tech &amp; ai frameworks, specifically regarding episode 31 on Tech &amp; AI workflow optimization</t>
        </is>
      </c>
      <c r="W784" s="27" t="inlineStr">
        <is>
          <t>Hi Sebastian,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84" s="27" t="inlineStr">
        <is>
          <t>2026-10-18</t>
        </is>
      </c>
      <c r="Y784" s="27" t="inlineStr">
        <is>
          <t>C</t>
        </is>
      </c>
      <c r="Z784" s="27" t="n">
        <v>73.2</v>
      </c>
      <c r="AA784" s="27" t="inlineStr">
        <is>
          <t>Qualified</t>
        </is>
      </c>
      <c r="AB784" s="27" t="inlineStr"/>
      <c r="AC784" s="28">
        <f>IF(A784="","",IF(COUNTIF($H$5:$H$1004,H784)&gt;1,"DUPLICATE","UNIQUE"))</f>
        <v/>
      </c>
      <c r="AD784" s="28">
        <f>IF(A784="","",IF(AA784="Rejected",IF(AB784&lt;&gt;"","REJECTED","ADD REASON"),IF(AND(B784&lt;&gt;"",C784&lt;&gt;"",D784&lt;&gt;"",E784&lt;&gt;"",F784&lt;&gt;"",G784&lt;&gt;"",H784&lt;&gt;"",J784&lt;&gt;"",K784&lt;&gt;"",N784&lt;&gt;"",O784&lt;&gt;"",P784&lt;&gt;"",Q784&lt;&gt;"",R784&lt;&gt;"",S784&lt;&gt;"",T784&lt;&gt;"",V784&lt;&gt;"",W784&lt;&gt;"",X784&lt;&gt;"",Y784&lt;&gt;""),"COMPLETE","MISSING FIELDS")))</f>
        <v/>
      </c>
    </row>
    <row r="785" ht="15" customHeight="1" s="15">
      <c r="A785" s="27" t="inlineStr">
        <is>
          <t>LEAD-0781</t>
        </is>
      </c>
      <c r="B785" s="27" t="inlineStr">
        <is>
          <t>Sebastian Lancaster</t>
        </is>
      </c>
      <c r="C785" s="27" t="inlineStr">
        <is>
          <t>Podcaster</t>
        </is>
      </c>
      <c r="D785" s="27" t="inlineStr">
        <is>
          <t>CA</t>
        </is>
      </c>
      <c r="E785" s="27" t="inlineStr">
        <is>
          <t>English</t>
        </is>
      </c>
      <c r="F785" s="27" t="inlineStr">
        <is>
          <t>Apple Podcasts</t>
        </is>
      </c>
      <c r="G785" s="27" t="inlineStr">
        <is>
          <t>https://podcasts.apple.com/ca/podcast/sebastianlancaster/id1000781</t>
        </is>
      </c>
      <c r="H785" s="27" t="inlineStr">
        <is>
          <t>AP-CA-1000781</t>
        </is>
      </c>
      <c r="I785" s="27" t="inlineStr">
        <is>
          <t>84,000</t>
        </is>
      </c>
      <c r="J785" s="27" t="inlineStr">
        <is>
          <t>2026-10-15</t>
        </is>
      </c>
      <c r="K785" s="27" t="inlineStr">
        <is>
          <t>https://sebastianlancaster.com/episodes/182</t>
        </is>
      </c>
      <c r="L785" s="27" t="n">
        <v>9</v>
      </c>
      <c r="M785" s="27" t="n">
        <v>23</v>
      </c>
      <c r="N785" s="27" t="inlineStr">
        <is>
          <t>Consulting</t>
        </is>
      </c>
      <c r="O785" s="27" t="inlineStr">
        <is>
          <t>https://sebastianlancaster.com/advisory</t>
        </is>
      </c>
      <c r="P785" s="27" t="inlineStr">
        <is>
          <t>Missing Video Captions &amp; Retention Clips</t>
        </is>
      </c>
      <c r="Q785" s="27" t="inlineStr">
        <is>
          <t>https://sebastianlancaster.com/highlights</t>
        </is>
      </c>
      <c r="R785" s="27" t="inlineStr">
        <is>
          <t>LinkedIn</t>
        </is>
      </c>
      <c r="S785" s="27" t="inlineStr">
        <is>
          <t>https://linkedin.com/in/sebastianlancaster</t>
        </is>
      </c>
      <c r="T785" s="27" t="inlineStr">
        <is>
          <t>https://sebastianlancaster.com/about</t>
        </is>
      </c>
      <c r="U785" s="27" t="inlineStr">
        <is>
          <t>Email</t>
        </is>
      </c>
      <c r="V785" s="27" t="inlineStr">
        <is>
          <t>saas &amp; product growth frameworks, specifically regarding episode 32 on SaaS &amp; Product Growth workflow optimization</t>
        </is>
      </c>
      <c r="W785" s="27" t="inlineStr">
        <is>
          <t>Hi Sebastian,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85" s="27" t="inlineStr">
        <is>
          <t>2026-10-18</t>
        </is>
      </c>
      <c r="Y785" s="27" t="inlineStr">
        <is>
          <t>C</t>
        </is>
      </c>
      <c r="Z785" s="27" t="n">
        <v>73.09999999999999</v>
      </c>
      <c r="AA785" s="27" t="inlineStr">
        <is>
          <t>Qualified</t>
        </is>
      </c>
      <c r="AB785" s="27" t="inlineStr"/>
      <c r="AC785" s="28">
        <f>IF(A785="","",IF(COUNTIF($H$5:$H$1004,H785)&gt;1,"DUPLICATE","UNIQUE"))</f>
        <v/>
      </c>
      <c r="AD785" s="28">
        <f>IF(A785="","",IF(AA785="Rejected",IF(AB785&lt;&gt;"","REJECTED","ADD REASON"),IF(AND(B785&lt;&gt;"",C785&lt;&gt;"",D785&lt;&gt;"",E785&lt;&gt;"",F785&lt;&gt;"",G785&lt;&gt;"",H785&lt;&gt;"",J785&lt;&gt;"",K785&lt;&gt;"",N785&lt;&gt;"",O785&lt;&gt;"",P785&lt;&gt;"",Q785&lt;&gt;"",R785&lt;&gt;"",S785&lt;&gt;"",T785&lt;&gt;"",V785&lt;&gt;"",W785&lt;&gt;"",X785&lt;&gt;"",Y785&lt;&gt;""),"COMPLETE","MISSING FIELDS")))</f>
        <v/>
      </c>
    </row>
    <row r="786" ht="15" customHeight="1" s="15">
      <c r="A786" s="27" t="inlineStr">
        <is>
          <t>LEAD-0782</t>
        </is>
      </c>
      <c r="B786" s="27" t="inlineStr">
        <is>
          <t>Sebastian Montgomery</t>
        </is>
      </c>
      <c r="C786" s="27" t="inlineStr">
        <is>
          <t>Expert-Led Creator</t>
        </is>
      </c>
      <c r="D786" s="27" t="inlineStr">
        <is>
          <t>CA</t>
        </is>
      </c>
      <c r="E786" s="27" t="inlineStr">
        <is>
          <t>English</t>
        </is>
      </c>
      <c r="F786" s="27" t="inlineStr">
        <is>
          <t>YouTube</t>
        </is>
      </c>
      <c r="G786" s="27" t="inlineStr">
        <is>
          <t>https://www.youtube.com/@sebastianmontgomery</t>
        </is>
      </c>
      <c r="H786" s="27" t="inlineStr">
        <is>
          <t>UCCA00782727947</t>
        </is>
      </c>
      <c r="I786" s="27" t="inlineStr">
        <is>
          <t>260,000</t>
        </is>
      </c>
      <c r="J786" s="27" t="inlineStr">
        <is>
          <t>2026-10-16</t>
        </is>
      </c>
      <c r="K786" s="27" t="inlineStr">
        <is>
          <t>https://www.youtube.com/watch?v=ca00782</t>
        </is>
      </c>
      <c r="L786" s="27" t="n">
        <v>10</v>
      </c>
      <c r="M786" s="27" t="n">
        <v>24</v>
      </c>
      <c r="N786" s="27" t="inlineStr">
        <is>
          <t>Newsletter Subscription</t>
        </is>
      </c>
      <c r="O786" s="27" t="inlineStr">
        <is>
          <t>https://sebastianmontgomery.com/subscribe</t>
        </is>
      </c>
      <c r="P786" s="27" t="inlineStr">
        <is>
          <t>Editing Backlog &amp; Team Workflow Overhead</t>
        </is>
      </c>
      <c r="Q786" s="27" t="inlineStr">
        <is>
          <t>https://sebastianmontgomery.com/highlights</t>
        </is>
      </c>
      <c r="R786" s="27" t="inlineStr">
        <is>
          <t>X (Twitter)</t>
        </is>
      </c>
      <c r="S786" s="27" t="inlineStr">
        <is>
          <t>https://x.com/sebastianmontgomery</t>
        </is>
      </c>
      <c r="T786" s="27" t="inlineStr">
        <is>
          <t>https://sebastianmontgomery.com/links</t>
        </is>
      </c>
      <c r="U786" s="27" t="inlineStr">
        <is>
          <t>LinkedIn</t>
        </is>
      </c>
      <c r="V786" s="27" t="inlineStr">
        <is>
          <t>creator business &amp; monetization frameworks, specifically regarding episode 33 on Creator Business &amp; Monetization workflow optimization</t>
        </is>
      </c>
      <c r="W786" s="27" t="inlineStr">
        <is>
          <t>Hi Sebastian,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86" s="27" t="inlineStr">
        <is>
          <t>2026-10-18</t>
        </is>
      </c>
      <c r="Y786" s="27" t="inlineStr">
        <is>
          <t>C</t>
        </is>
      </c>
      <c r="Z786" s="27" t="n">
        <v>73.09999999999999</v>
      </c>
      <c r="AA786" s="27" t="inlineStr">
        <is>
          <t>Qualified</t>
        </is>
      </c>
      <c r="AB786" s="27" t="inlineStr"/>
      <c r="AC786" s="28">
        <f>IF(A786="","",IF(COUNTIF($H$5:$H$1004,H786)&gt;1,"DUPLICATE","UNIQUE"))</f>
        <v/>
      </c>
      <c r="AD786" s="28">
        <f>IF(A786="","",IF(AA786="Rejected",IF(AB786&lt;&gt;"","REJECTED","ADD REASON"),IF(AND(B786&lt;&gt;"",C786&lt;&gt;"",D786&lt;&gt;"",E786&lt;&gt;"",F786&lt;&gt;"",G786&lt;&gt;"",H786&lt;&gt;"",J786&lt;&gt;"",K786&lt;&gt;"",N786&lt;&gt;"",O786&lt;&gt;"",P786&lt;&gt;"",Q786&lt;&gt;"",R786&lt;&gt;"",S786&lt;&gt;"",T786&lt;&gt;"",V786&lt;&gt;"",W786&lt;&gt;"",X786&lt;&gt;"",Y786&lt;&gt;""),"COMPLETE","MISSING FIELDS")))</f>
        <v/>
      </c>
    </row>
    <row r="787" ht="15" customHeight="1" s="15">
      <c r="A787" s="27" t="inlineStr">
        <is>
          <t>LEAD-0783</t>
        </is>
      </c>
      <c r="B787" s="27" t="inlineStr">
        <is>
          <t>Sebastian Barrington</t>
        </is>
      </c>
      <c r="C787" s="27" t="inlineStr">
        <is>
          <t>YouTuber</t>
        </is>
      </c>
      <c r="D787" s="27" t="inlineStr">
        <is>
          <t>CA</t>
        </is>
      </c>
      <c r="E787" s="27" t="inlineStr">
        <is>
          <t>English</t>
        </is>
      </c>
      <c r="F787" s="27" t="inlineStr">
        <is>
          <t>YouTube</t>
        </is>
      </c>
      <c r="G787" s="27" t="inlineStr">
        <is>
          <t>https://www.youtube.com/@sebastianbarrington</t>
        </is>
      </c>
      <c r="H787" s="27" t="inlineStr">
        <is>
          <t>UCCA00783145529</t>
        </is>
      </c>
      <c r="I787" s="27" t="inlineStr">
        <is>
          <t>280,000</t>
        </is>
      </c>
      <c r="J787" s="27" t="inlineStr">
        <is>
          <t>2026-10-17</t>
        </is>
      </c>
      <c r="K787" s="27" t="inlineStr">
        <is>
          <t>https://www.youtube.com/watch?v=ca00783</t>
        </is>
      </c>
      <c r="L787" s="27" t="n">
        <v>11</v>
      </c>
      <c r="M787" s="27" t="n">
        <v>25</v>
      </c>
      <c r="N787" s="27" t="inlineStr">
        <is>
          <t>Affiliate</t>
        </is>
      </c>
      <c r="O787" s="27" t="inlineStr">
        <is>
          <t>https://sebastianbarrington.com/resources</t>
        </is>
      </c>
      <c r="P787" s="27" t="inlineStr">
        <is>
          <t>Shorts Repurposing Bottleneck</t>
        </is>
      </c>
      <c r="Q787" s="27" t="inlineStr">
        <is>
          <t>https://sebastianbarrington.com/highlights</t>
        </is>
      </c>
      <c r="R787" s="27" t="inlineStr">
        <is>
          <t>Email</t>
        </is>
      </c>
      <c r="S787" s="27" t="inlineStr">
        <is>
          <t>hello@sebastianbarrington.com</t>
        </is>
      </c>
      <c r="T787" s="27" t="inlineStr">
        <is>
          <t>https://sebastianbarrington.com/work-with-me</t>
        </is>
      </c>
      <c r="U787" s="27" t="inlineStr">
        <is>
          <t>LinkedIn</t>
        </is>
      </c>
      <c r="V787" s="27" t="inlineStr">
        <is>
          <t>productivity &amp; personal systems frameworks, specifically regarding episode 34 on Productivity &amp; Personal Systems workflow optimization</t>
        </is>
      </c>
      <c r="W787" s="27" t="inlineStr">
        <is>
          <t>Hi Sebastian,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87" s="27" t="inlineStr">
        <is>
          <t>2026-10-18</t>
        </is>
      </c>
      <c r="Y787" s="27" t="inlineStr">
        <is>
          <t>C</t>
        </is>
      </c>
      <c r="Z787" s="27" t="n">
        <v>73</v>
      </c>
      <c r="AA787" s="27" t="inlineStr">
        <is>
          <t>Qualified</t>
        </is>
      </c>
      <c r="AB787" s="27" t="inlineStr"/>
      <c r="AC787" s="28">
        <f>IF(A787="","",IF(COUNTIF($H$5:$H$1004,H787)&gt;1,"DUPLICATE","UNIQUE"))</f>
        <v/>
      </c>
      <c r="AD787" s="28">
        <f>IF(A787="","",IF(AA787="Rejected",IF(AB787&lt;&gt;"","REJECTED","ADD REASON"),IF(AND(B787&lt;&gt;"",C787&lt;&gt;"",D787&lt;&gt;"",E787&lt;&gt;"",F787&lt;&gt;"",G787&lt;&gt;"",H787&lt;&gt;"",J787&lt;&gt;"",K787&lt;&gt;"",N787&lt;&gt;"",O787&lt;&gt;"",P787&lt;&gt;"",Q787&lt;&gt;"",R787&lt;&gt;"",S787&lt;&gt;"",T787&lt;&gt;"",V787&lt;&gt;"",W787&lt;&gt;"",X787&lt;&gt;"",Y787&lt;&gt;""),"COMPLETE","MISSING FIELDS")))</f>
        <v/>
      </c>
    </row>
    <row r="788" ht="15" customHeight="1" s="15">
      <c r="A788" s="27" t="inlineStr">
        <is>
          <t>LEAD-0784</t>
        </is>
      </c>
      <c r="B788" s="27" t="inlineStr">
        <is>
          <t>Sebastian Thornton</t>
        </is>
      </c>
      <c r="C788" s="27" t="inlineStr">
        <is>
          <t>Podcaster</t>
        </is>
      </c>
      <c r="D788" s="27" t="inlineStr">
        <is>
          <t>CA</t>
        </is>
      </c>
      <c r="E788" s="27" t="inlineStr">
        <is>
          <t>English</t>
        </is>
      </c>
      <c r="F788" s="27" t="inlineStr">
        <is>
          <t>Apple Podcasts</t>
        </is>
      </c>
      <c r="G788" s="27" t="inlineStr">
        <is>
          <t>https://podcasts.apple.com/ca/podcast/sebastianthornton/id1000784</t>
        </is>
      </c>
      <c r="H788" s="27" t="inlineStr">
        <is>
          <t>AP-CA-1000784</t>
        </is>
      </c>
      <c r="I788" s="27" t="inlineStr">
        <is>
          <t>120,000</t>
        </is>
      </c>
      <c r="J788" s="27" t="inlineStr">
        <is>
          <t>2026-10-10</t>
        </is>
      </c>
      <c r="K788" s="27" t="inlineStr">
        <is>
          <t>https://sebastianthornton.com/episodes/185</t>
        </is>
      </c>
      <c r="L788" s="27" t="n">
        <v>12</v>
      </c>
      <c r="M788" s="27" t="n">
        <v>26</v>
      </c>
      <c r="N788" s="27" t="inlineStr">
        <is>
          <t>Course</t>
        </is>
      </c>
      <c r="O788" s="27" t="inlineStr">
        <is>
          <t>https://sebastianthornton.com/academy</t>
        </is>
      </c>
      <c r="P788" s="27" t="inlineStr">
        <is>
          <t>Inconsistent Cross-Platform Publishing</t>
        </is>
      </c>
      <c r="Q788" s="27" t="inlineStr">
        <is>
          <t>https://sebastianthornton.com/highlights</t>
        </is>
      </c>
      <c r="R788" s="27" t="inlineStr">
        <is>
          <t>Email</t>
        </is>
      </c>
      <c r="S788" s="27" t="inlineStr">
        <is>
          <t>contact@sebastianthornton.com</t>
        </is>
      </c>
      <c r="T788" s="27" t="inlineStr">
        <is>
          <t>https://sebastianthornton.com/contact</t>
        </is>
      </c>
      <c r="U788" s="27" t="inlineStr">
        <is>
          <t>LinkedIn</t>
        </is>
      </c>
      <c r="V788" s="27" t="inlineStr">
        <is>
          <t>leadership &amp; team ops frameworks, specifically regarding episode 35 on Leadership &amp; Team Ops workflow optimization</t>
        </is>
      </c>
      <c r="W788" s="27" t="inlineStr">
        <is>
          <t>Hi Sebastian,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88" s="27" t="inlineStr">
        <is>
          <t>2026-10-18</t>
        </is>
      </c>
      <c r="Y788" s="27" t="inlineStr">
        <is>
          <t>C</t>
        </is>
      </c>
      <c r="Z788" s="27" t="n">
        <v>73</v>
      </c>
      <c r="AA788" s="27" t="inlineStr">
        <is>
          <t>Qualified</t>
        </is>
      </c>
      <c r="AB788" s="27" t="inlineStr"/>
      <c r="AC788" s="28">
        <f>IF(A788="","",IF(COUNTIF($H$5:$H$1004,H788)&gt;1,"DUPLICATE","UNIQUE"))</f>
        <v/>
      </c>
      <c r="AD788" s="28">
        <f>IF(A788="","",IF(AA788="Rejected",IF(AB788&lt;&gt;"","REJECTED","ADD REASON"),IF(AND(B788&lt;&gt;"",C788&lt;&gt;"",D788&lt;&gt;"",E788&lt;&gt;"",F788&lt;&gt;"",G788&lt;&gt;"",H788&lt;&gt;"",J788&lt;&gt;"",K788&lt;&gt;"",N788&lt;&gt;"",O788&lt;&gt;"",P788&lt;&gt;"",Q788&lt;&gt;"",R788&lt;&gt;"",S788&lt;&gt;"",T788&lt;&gt;"",V788&lt;&gt;"",W788&lt;&gt;"",X788&lt;&gt;"",Y788&lt;&gt;""),"COMPLETE","MISSING FIELDS")))</f>
        <v/>
      </c>
    </row>
    <row r="789" ht="15" customHeight="1" s="15">
      <c r="A789" s="27" t="inlineStr">
        <is>
          <t>LEAD-0785</t>
        </is>
      </c>
      <c r="B789" s="27" t="inlineStr">
        <is>
          <t>Sebastian Wellington</t>
        </is>
      </c>
      <c r="C789" s="27" t="inlineStr">
        <is>
          <t>Expert-Led Creator</t>
        </is>
      </c>
      <c r="D789" s="27" t="inlineStr">
        <is>
          <t>CA</t>
        </is>
      </c>
      <c r="E789" s="27" t="inlineStr">
        <is>
          <t>English</t>
        </is>
      </c>
      <c r="F789" s="27" t="inlineStr">
        <is>
          <t>LinkedIn</t>
        </is>
      </c>
      <c r="G789" s="27" t="inlineStr">
        <is>
          <t>https://www.linkedin.com/in/sebastianwellington</t>
        </is>
      </c>
      <c r="H789" s="27" t="inlineStr">
        <is>
          <t>LI-sebastianwellington-0785</t>
        </is>
      </c>
      <c r="I789" s="27" t="inlineStr">
        <is>
          <t>36,000</t>
        </is>
      </c>
      <c r="J789" s="27" t="inlineStr">
        <is>
          <t>2026-10-11</t>
        </is>
      </c>
      <c r="K789" s="27" t="inlineStr">
        <is>
          <t>https://sebastianwellington.com/posts/36</t>
        </is>
      </c>
      <c r="L789" s="27" t="n">
        <v>13</v>
      </c>
      <c r="M789" s="27" t="n">
        <v>27</v>
      </c>
      <c r="N789" s="27" t="inlineStr">
        <is>
          <t>Sponsor</t>
        </is>
      </c>
      <c r="O789" s="27" t="inlineStr">
        <is>
          <t>https://sebastianwellington.com/partners</t>
        </is>
      </c>
      <c r="P789" s="27" t="inlineStr">
        <is>
          <t>Editing Backlog &amp; Team Workflow Overhead</t>
        </is>
      </c>
      <c r="Q789" s="27" t="inlineStr">
        <is>
          <t>https://sebastianwellington.com/highlights</t>
        </is>
      </c>
      <c r="R789" s="27" t="inlineStr">
        <is>
          <t>LinkedIn</t>
        </is>
      </c>
      <c r="S789" s="27" t="inlineStr">
        <is>
          <t>https://linkedin.com/in/sebastianwellington</t>
        </is>
      </c>
      <c r="T789" s="27" t="inlineStr">
        <is>
          <t>https://sebastianwellington.com/about</t>
        </is>
      </c>
      <c r="U789" s="27" t="inlineStr">
        <is>
          <t>Email</t>
        </is>
      </c>
      <c r="V789" s="27" t="inlineStr">
        <is>
          <t>b2b marketing &amp; sales frameworks, specifically regarding episode 36 on B2B Marketing &amp; Sales workflow optimization</t>
        </is>
      </c>
      <c r="W789" s="27" t="inlineStr">
        <is>
          <t>Hi Sebastian,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89" s="27" t="inlineStr">
        <is>
          <t>2026-10-18</t>
        </is>
      </c>
      <c r="Y789" s="27" t="inlineStr">
        <is>
          <t>C</t>
        </is>
      </c>
      <c r="Z789" s="27" t="n">
        <v>72.90000000000001</v>
      </c>
      <c r="AA789" s="27" t="inlineStr">
        <is>
          <t>Qualified</t>
        </is>
      </c>
      <c r="AB789" s="27" t="inlineStr"/>
      <c r="AC789" s="28">
        <f>IF(A789="","",IF(COUNTIF($H$5:$H$1004,H789)&gt;1,"DUPLICATE","UNIQUE"))</f>
        <v/>
      </c>
      <c r="AD789" s="28">
        <f>IF(A789="","",IF(AA789="Rejected",IF(AB789&lt;&gt;"","REJECTED","ADD REASON"),IF(AND(B789&lt;&gt;"",C789&lt;&gt;"",D789&lt;&gt;"",E789&lt;&gt;"",F789&lt;&gt;"",G789&lt;&gt;"",H789&lt;&gt;"",J789&lt;&gt;"",K789&lt;&gt;"",N789&lt;&gt;"",O789&lt;&gt;"",P789&lt;&gt;"",Q789&lt;&gt;"",R789&lt;&gt;"",S789&lt;&gt;"",T789&lt;&gt;"",V789&lt;&gt;"",W789&lt;&gt;"",X789&lt;&gt;"",Y789&lt;&gt;""),"COMPLETE","MISSING FIELDS")))</f>
        <v/>
      </c>
    </row>
    <row r="790" ht="15" customHeight="1" s="15">
      <c r="A790" s="27" t="inlineStr">
        <is>
          <t>LEAD-0786</t>
        </is>
      </c>
      <c r="B790" s="27" t="inlineStr">
        <is>
          <t>Tristan Ashford</t>
        </is>
      </c>
      <c r="C790" s="27" t="inlineStr">
        <is>
          <t>YouTuber</t>
        </is>
      </c>
      <c r="D790" s="27" t="inlineStr">
        <is>
          <t>CA</t>
        </is>
      </c>
      <c r="E790" s="27" t="inlineStr">
        <is>
          <t>English</t>
        </is>
      </c>
      <c r="F790" s="27" t="inlineStr">
        <is>
          <t>YouTube</t>
        </is>
      </c>
      <c r="G790" s="27" t="inlineStr">
        <is>
          <t>https://www.youtube.com/@tristanashford</t>
        </is>
      </c>
      <c r="H790" s="27" t="inlineStr">
        <is>
          <t>UCCA00786031120</t>
        </is>
      </c>
      <c r="I790" s="27" t="inlineStr">
        <is>
          <t>340,000</t>
        </is>
      </c>
      <c r="J790" s="27" t="inlineStr">
        <is>
          <t>2026-10-12</t>
        </is>
      </c>
      <c r="K790" s="27" t="inlineStr">
        <is>
          <t>https://www.youtube.com/watch?v=ca00786</t>
        </is>
      </c>
      <c r="L790" s="27" t="n">
        <v>14</v>
      </c>
      <c r="M790" s="27" t="n">
        <v>28</v>
      </c>
      <c r="N790" s="27" t="inlineStr">
        <is>
          <t>Membership</t>
        </is>
      </c>
      <c r="O790" s="27" t="inlineStr">
        <is>
          <t>https://tristanashford.com/community</t>
        </is>
      </c>
      <c r="P790" s="27" t="inlineStr">
        <is>
          <t>Multilingual Audio Dubbing</t>
        </is>
      </c>
      <c r="Q790" s="27" t="inlineStr">
        <is>
          <t>https://tristanashford.com/highlights</t>
        </is>
      </c>
      <c r="R790" s="27" t="inlineStr">
        <is>
          <t>X (Twitter)</t>
        </is>
      </c>
      <c r="S790" s="27" t="inlineStr">
        <is>
          <t>https://x.com/tristanashford</t>
        </is>
      </c>
      <c r="T790" s="27" t="inlineStr">
        <is>
          <t>https://tristanashford.com/links</t>
        </is>
      </c>
      <c r="U790" s="27" t="inlineStr">
        <is>
          <t>LinkedIn</t>
        </is>
      </c>
      <c r="V790" s="27" t="inlineStr">
        <is>
          <t>finance &amp; wealth engineering frameworks, specifically regarding episode 37 on Finance &amp; Wealth Engineering workflow optimization</t>
        </is>
      </c>
      <c r="W790" s="27" t="inlineStr">
        <is>
          <t>Hi Tristan,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90" s="27" t="inlineStr">
        <is>
          <t>2026-10-18</t>
        </is>
      </c>
      <c r="Y790" s="27" t="inlineStr">
        <is>
          <t>C</t>
        </is>
      </c>
      <c r="Z790" s="27" t="n">
        <v>72.8</v>
      </c>
      <c r="AA790" s="27" t="inlineStr">
        <is>
          <t>Qualified</t>
        </is>
      </c>
      <c r="AB790" s="27" t="inlineStr"/>
      <c r="AC790" s="28">
        <f>IF(A790="","",IF(COUNTIF($H$5:$H$1004,H790)&gt;1,"DUPLICATE","UNIQUE"))</f>
        <v/>
      </c>
      <c r="AD790" s="28">
        <f>IF(A790="","",IF(AA790="Rejected",IF(AB790&lt;&gt;"","REJECTED","ADD REASON"),IF(AND(B790&lt;&gt;"",C790&lt;&gt;"",D790&lt;&gt;"",E790&lt;&gt;"",F790&lt;&gt;"",G790&lt;&gt;"",H790&lt;&gt;"",J790&lt;&gt;"",K790&lt;&gt;"",N790&lt;&gt;"",O790&lt;&gt;"",P790&lt;&gt;"",Q790&lt;&gt;"",R790&lt;&gt;"",S790&lt;&gt;"",T790&lt;&gt;"",V790&lt;&gt;"",W790&lt;&gt;"",X790&lt;&gt;"",Y790&lt;&gt;""),"COMPLETE","MISSING FIELDS")))</f>
        <v/>
      </c>
    </row>
    <row r="791" ht="15" customHeight="1" s="15">
      <c r="A791" s="27" t="inlineStr">
        <is>
          <t>LEAD-0787</t>
        </is>
      </c>
      <c r="B791" s="27" t="inlineStr">
        <is>
          <t>Tristan Bancroft</t>
        </is>
      </c>
      <c r="C791" s="27" t="inlineStr">
        <is>
          <t>Podcaster</t>
        </is>
      </c>
      <c r="D791" s="27" t="inlineStr">
        <is>
          <t>CA</t>
        </is>
      </c>
      <c r="E791" s="27" t="inlineStr">
        <is>
          <t>English</t>
        </is>
      </c>
      <c r="F791" s="27" t="inlineStr">
        <is>
          <t>Apple Podcasts</t>
        </is>
      </c>
      <c r="G791" s="27" t="inlineStr">
        <is>
          <t>https://podcasts.apple.com/ca/podcast/tristanbancroft/id1000787</t>
        </is>
      </c>
      <c r="H791" s="27" t="inlineStr">
        <is>
          <t>AP-CA-1000787</t>
        </is>
      </c>
      <c r="I791" s="27" t="inlineStr">
        <is>
          <t>156,000</t>
        </is>
      </c>
      <c r="J791" s="27" t="inlineStr">
        <is>
          <t>2026-10-13</t>
        </is>
      </c>
      <c r="K791" s="27" t="inlineStr">
        <is>
          <t>https://tristanbancroft.com/episodes/188</t>
        </is>
      </c>
      <c r="L791" s="27" t="n">
        <v>15</v>
      </c>
      <c r="M791" s="27" t="n">
        <v>29</v>
      </c>
      <c r="N791" s="27" t="inlineStr">
        <is>
          <t>Product</t>
        </is>
      </c>
      <c r="O791" s="27" t="inlineStr">
        <is>
          <t>https://tristanbancroft.com/shop</t>
        </is>
      </c>
      <c r="P791" s="27" t="inlineStr">
        <is>
          <t>Multilingual Audio Dubbing</t>
        </is>
      </c>
      <c r="Q791" s="27" t="inlineStr">
        <is>
          <t>https://tristanbancroft.com/highlights</t>
        </is>
      </c>
      <c r="R791" s="27" t="inlineStr">
        <is>
          <t>Email</t>
        </is>
      </c>
      <c r="S791" s="27" t="inlineStr">
        <is>
          <t>hello@tristanbancroft.com</t>
        </is>
      </c>
      <c r="T791" s="27" t="inlineStr">
        <is>
          <t>https://tristanbancroft.com/work-with-me</t>
        </is>
      </c>
      <c r="U791" s="27" t="inlineStr">
        <is>
          <t>LinkedIn</t>
        </is>
      </c>
      <c r="V791" s="27" t="inlineStr">
        <is>
          <t>health &amp; longevity science frameworks, specifically regarding episode 38 on Health &amp; Longevity Science workflow optimization</t>
        </is>
      </c>
      <c r="W791" s="27" t="inlineStr">
        <is>
          <t>Hi Tristan,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91" s="27" t="inlineStr">
        <is>
          <t>2026-10-18</t>
        </is>
      </c>
      <c r="Y791" s="27" t="inlineStr">
        <is>
          <t>C</t>
        </is>
      </c>
      <c r="Z791" s="27" t="n">
        <v>72.8</v>
      </c>
      <c r="AA791" s="27" t="inlineStr">
        <is>
          <t>Qualified</t>
        </is>
      </c>
      <c r="AB791" s="27" t="inlineStr"/>
      <c r="AC791" s="28">
        <f>IF(A791="","",IF(COUNTIF($H$5:$H$1004,H791)&gt;1,"DUPLICATE","UNIQUE"))</f>
        <v/>
      </c>
      <c r="AD791" s="28">
        <f>IF(A791="","",IF(AA791="Rejected",IF(AB791&lt;&gt;"","REJECTED","ADD REASON"),IF(AND(B791&lt;&gt;"",C791&lt;&gt;"",D791&lt;&gt;"",E791&lt;&gt;"",F791&lt;&gt;"",G791&lt;&gt;"",H791&lt;&gt;"",J791&lt;&gt;"",K791&lt;&gt;"",N791&lt;&gt;"",O791&lt;&gt;"",P791&lt;&gt;"",Q791&lt;&gt;"",R791&lt;&gt;"",S791&lt;&gt;"",T791&lt;&gt;"",V791&lt;&gt;"",W791&lt;&gt;"",X791&lt;&gt;"",Y791&lt;&gt;""),"COMPLETE","MISSING FIELDS")))</f>
        <v/>
      </c>
    </row>
    <row r="792" ht="15" customHeight="1" s="15">
      <c r="A792" s="27" t="inlineStr">
        <is>
          <t>LEAD-0788</t>
        </is>
      </c>
      <c r="B792" s="27" t="inlineStr">
        <is>
          <t>Tristan Calloway</t>
        </is>
      </c>
      <c r="C792" s="27" t="inlineStr">
        <is>
          <t>YouTuber</t>
        </is>
      </c>
      <c r="D792" s="27" t="inlineStr">
        <is>
          <t>CA</t>
        </is>
      </c>
      <c r="E792" s="27" t="inlineStr">
        <is>
          <t>English</t>
        </is>
      </c>
      <c r="F792" s="27" t="inlineStr">
        <is>
          <t>YouTube</t>
        </is>
      </c>
      <c r="G792" s="27" t="inlineStr">
        <is>
          <t>https://www.youtube.com/@tristancalloway</t>
        </is>
      </c>
      <c r="H792" s="27" t="inlineStr">
        <is>
          <t>UCCA00788456143</t>
        </is>
      </c>
      <c r="I792" s="27" t="inlineStr">
        <is>
          <t>380,000</t>
        </is>
      </c>
      <c r="J792" s="27" t="inlineStr">
        <is>
          <t>2026-10-14</t>
        </is>
      </c>
      <c r="K792" s="27" t="inlineStr">
        <is>
          <t>https://www.youtube.com/watch?v=ca00788</t>
        </is>
      </c>
      <c r="L792" s="27" t="n">
        <v>16</v>
      </c>
      <c r="M792" s="27" t="n">
        <v>30</v>
      </c>
      <c r="N792" s="27" t="inlineStr">
        <is>
          <t>Consulting</t>
        </is>
      </c>
      <c r="O792" s="27" t="inlineStr">
        <is>
          <t>https://tristancalloway.com/advisory</t>
        </is>
      </c>
      <c r="P792" s="27" t="inlineStr">
        <is>
          <t>Missing Video Captions &amp; Retention Clips</t>
        </is>
      </c>
      <c r="Q792" s="27" t="inlineStr">
        <is>
          <t>https://tristancalloway.com/highlights</t>
        </is>
      </c>
      <c r="R792" s="27" t="inlineStr">
        <is>
          <t>Email</t>
        </is>
      </c>
      <c r="S792" s="27" t="inlineStr">
        <is>
          <t>contact@tristancalloway.com</t>
        </is>
      </c>
      <c r="T792" s="27" t="inlineStr">
        <is>
          <t>https://tristancalloway.com/contact</t>
        </is>
      </c>
      <c r="U792" s="27" t="inlineStr">
        <is>
          <t>LinkedIn</t>
        </is>
      </c>
      <c r="V792" s="27" t="inlineStr">
        <is>
          <t>education &amp; applied coding frameworks, specifically regarding episode 39 on Education &amp; Applied Coding workflow optimization</t>
        </is>
      </c>
      <c r="W792" s="27" t="inlineStr">
        <is>
          <t>Hi Tristan,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92" s="27" t="inlineStr">
        <is>
          <t>2026-10-18</t>
        </is>
      </c>
      <c r="Y792" s="27" t="inlineStr">
        <is>
          <t>C</t>
        </is>
      </c>
      <c r="Z792" s="27" t="n">
        <v>72.7</v>
      </c>
      <c r="AA792" s="27" t="inlineStr">
        <is>
          <t>Qualified</t>
        </is>
      </c>
      <c r="AB792" s="27" t="inlineStr"/>
      <c r="AC792" s="28">
        <f>IF(A792="","",IF(COUNTIF($H$5:$H$1004,H792)&gt;1,"DUPLICATE","UNIQUE"))</f>
        <v/>
      </c>
      <c r="AD792" s="28">
        <f>IF(A792="","",IF(AA792="Rejected",IF(AB792&lt;&gt;"","REJECTED","ADD REASON"),IF(AND(B792&lt;&gt;"",C792&lt;&gt;"",D792&lt;&gt;"",E792&lt;&gt;"",F792&lt;&gt;"",G792&lt;&gt;"",H792&lt;&gt;"",J792&lt;&gt;"",K792&lt;&gt;"",N792&lt;&gt;"",O792&lt;&gt;"",P792&lt;&gt;"",Q792&lt;&gt;"",R792&lt;&gt;"",S792&lt;&gt;"",T792&lt;&gt;"",V792&lt;&gt;"",W792&lt;&gt;"",X792&lt;&gt;"",Y792&lt;&gt;""),"COMPLETE","MISSING FIELDS")))</f>
        <v/>
      </c>
    </row>
    <row r="793" ht="15" customHeight="1" s="15">
      <c r="A793" s="27" t="inlineStr">
        <is>
          <t>LEAD-0789</t>
        </is>
      </c>
      <c r="B793" s="27" t="inlineStr">
        <is>
          <t>Tristan Delaney</t>
        </is>
      </c>
      <c r="C793" s="27" t="inlineStr">
        <is>
          <t>Podcaster</t>
        </is>
      </c>
      <c r="D793" s="27" t="inlineStr">
        <is>
          <t>CA</t>
        </is>
      </c>
      <c r="E793" s="27" t="inlineStr">
        <is>
          <t>English</t>
        </is>
      </c>
      <c r="F793" s="27" t="inlineStr">
        <is>
          <t>Apple Podcasts</t>
        </is>
      </c>
      <c r="G793" s="27" t="inlineStr">
        <is>
          <t>https://podcasts.apple.com/ca/podcast/tristandelaney/id1000789</t>
        </is>
      </c>
      <c r="H793" s="27" t="inlineStr">
        <is>
          <t>AP-CA-1000789</t>
        </is>
      </c>
      <c r="I793" s="27" t="inlineStr">
        <is>
          <t>180,000</t>
        </is>
      </c>
      <c r="J793" s="27" t="inlineStr">
        <is>
          <t>2026-10-15</t>
        </is>
      </c>
      <c r="K793" s="27" t="inlineStr">
        <is>
          <t>https://tristandelaney.com/episodes/190</t>
        </is>
      </c>
      <c r="L793" s="27" t="n">
        <v>17</v>
      </c>
      <c r="M793" s="27" t="n">
        <v>31</v>
      </c>
      <c r="N793" s="27" t="inlineStr">
        <is>
          <t>Newsletter Subscription</t>
        </is>
      </c>
      <c r="O793" s="27" t="inlineStr">
        <is>
          <t>https://tristandelaney.com/subscribe</t>
        </is>
      </c>
      <c r="P793" s="27" t="inlineStr">
        <is>
          <t>Shorts Repurposing Bottleneck</t>
        </is>
      </c>
      <c r="Q793" s="27" t="inlineStr">
        <is>
          <t>https://tristandelaney.com/highlights</t>
        </is>
      </c>
      <c r="R793" s="27" t="inlineStr">
        <is>
          <t>LinkedIn</t>
        </is>
      </c>
      <c r="S793" s="27" t="inlineStr">
        <is>
          <t>https://linkedin.com/in/tristandelaney</t>
        </is>
      </c>
      <c r="T793" s="27" t="inlineStr">
        <is>
          <t>https://tristandelaney.com/about</t>
        </is>
      </c>
      <c r="U793" s="27" t="inlineStr">
        <is>
          <t>Email</t>
        </is>
      </c>
      <c r="V793" s="27" t="inlineStr">
        <is>
          <t>e-commerce &amp; digital brands frameworks, specifically regarding episode 40 on E-Commerce &amp; Digital Brands workflow optimization</t>
        </is>
      </c>
      <c r="W793" s="27" t="inlineStr">
        <is>
          <t>Hi Tristan,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93" s="27" t="inlineStr">
        <is>
          <t>2026-10-18</t>
        </is>
      </c>
      <c r="Y793" s="27" t="inlineStr">
        <is>
          <t>C</t>
        </is>
      </c>
      <c r="Z793" s="27" t="n">
        <v>72.7</v>
      </c>
      <c r="AA793" s="27" t="inlineStr">
        <is>
          <t>Qualified</t>
        </is>
      </c>
      <c r="AB793" s="27" t="inlineStr"/>
      <c r="AC793" s="28">
        <f>IF(A793="","",IF(COUNTIF($H$5:$H$1004,H793)&gt;1,"DUPLICATE","UNIQUE"))</f>
        <v/>
      </c>
      <c r="AD793" s="28">
        <f>IF(A793="","",IF(AA793="Rejected",IF(AB793&lt;&gt;"","REJECTED","ADD REASON"),IF(AND(B793&lt;&gt;"",C793&lt;&gt;"",D793&lt;&gt;"",E793&lt;&gt;"",F793&lt;&gt;"",G793&lt;&gt;"",H793&lt;&gt;"",J793&lt;&gt;"",K793&lt;&gt;"",N793&lt;&gt;"",O793&lt;&gt;"",P793&lt;&gt;"",Q793&lt;&gt;"",R793&lt;&gt;"",S793&lt;&gt;"",T793&lt;&gt;"",V793&lt;&gt;"",W793&lt;&gt;"",X793&lt;&gt;"",Y793&lt;&gt;""),"COMPLETE","MISSING FIELDS")))</f>
        <v/>
      </c>
    </row>
    <row r="794" ht="15" customHeight="1" s="15">
      <c r="A794" s="27" t="inlineStr">
        <is>
          <t>LEAD-0790</t>
        </is>
      </c>
      <c r="B794" s="27" t="inlineStr">
        <is>
          <t>Tristan Eastwood</t>
        </is>
      </c>
      <c r="C794" s="27" t="inlineStr">
        <is>
          <t>YouTuber</t>
        </is>
      </c>
      <c r="D794" s="27" t="inlineStr">
        <is>
          <t>CA</t>
        </is>
      </c>
      <c r="E794" s="27" t="inlineStr">
        <is>
          <t>English</t>
        </is>
      </c>
      <c r="F794" s="27" t="inlineStr">
        <is>
          <t>YouTube</t>
        </is>
      </c>
      <c r="G794" s="27" t="inlineStr">
        <is>
          <t>https://www.youtube.com/@tristaneastwood</t>
        </is>
      </c>
      <c r="H794" s="27" t="inlineStr">
        <is>
          <t>UCCA00790357003</t>
        </is>
      </c>
      <c r="I794" s="27" t="inlineStr">
        <is>
          <t>420,000</t>
        </is>
      </c>
      <c r="J794" s="27" t="inlineStr">
        <is>
          <t>2026-10-16</t>
        </is>
      </c>
      <c r="K794" s="27" t="inlineStr">
        <is>
          <t>https://www.youtube.com/watch?v=ca00790</t>
        </is>
      </c>
      <c r="L794" s="27" t="n">
        <v>8</v>
      </c>
      <c r="M794" s="27" t="n">
        <v>32</v>
      </c>
      <c r="N794" s="27" t="inlineStr">
        <is>
          <t>Affiliate</t>
        </is>
      </c>
      <c r="O794" s="27" t="inlineStr">
        <is>
          <t>https://tristaneastwood.com/resources</t>
        </is>
      </c>
      <c r="P794" s="27" t="inlineStr">
        <is>
          <t>Shorts Repurposing Bottleneck</t>
        </is>
      </c>
      <c r="Q794" s="27" t="inlineStr">
        <is>
          <t>https://tristaneastwood.com/highlights</t>
        </is>
      </c>
      <c r="R794" s="27" t="inlineStr">
        <is>
          <t>X (Twitter)</t>
        </is>
      </c>
      <c r="S794" s="27" t="inlineStr">
        <is>
          <t>https://x.com/tristaneastwood</t>
        </is>
      </c>
      <c r="T794" s="27" t="inlineStr">
        <is>
          <t>https://tristaneastwood.com/links</t>
        </is>
      </c>
      <c r="U794" s="27" t="inlineStr">
        <is>
          <t>LinkedIn</t>
        </is>
      </c>
      <c r="V794" s="27" t="inlineStr">
        <is>
          <t>tech &amp; ai frameworks, specifically regarding episode 41 on Tech &amp; AI workflow optimization</t>
        </is>
      </c>
      <c r="W794" s="27" t="inlineStr">
        <is>
          <t>Hi Tristan,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94" s="27" t="inlineStr">
        <is>
          <t>2026-10-18</t>
        </is>
      </c>
      <c r="Y794" s="27" t="inlineStr">
        <is>
          <t>C</t>
        </is>
      </c>
      <c r="Z794" s="27" t="n">
        <v>72.59999999999999</v>
      </c>
      <c r="AA794" s="27" t="inlineStr">
        <is>
          <t>Qualified</t>
        </is>
      </c>
      <c r="AB794" s="27" t="inlineStr"/>
      <c r="AC794" s="28">
        <f>IF(A794="","",IF(COUNTIF($H$5:$H$1004,H794)&gt;1,"DUPLICATE","UNIQUE"))</f>
        <v/>
      </c>
      <c r="AD794" s="28">
        <f>IF(A794="","",IF(AA794="Rejected",IF(AB794&lt;&gt;"","REJECTED","ADD REASON"),IF(AND(B794&lt;&gt;"",C794&lt;&gt;"",D794&lt;&gt;"",E794&lt;&gt;"",F794&lt;&gt;"",G794&lt;&gt;"",H794&lt;&gt;"",J794&lt;&gt;"",K794&lt;&gt;"",N794&lt;&gt;"",O794&lt;&gt;"",P794&lt;&gt;"",Q794&lt;&gt;"",R794&lt;&gt;"",S794&lt;&gt;"",T794&lt;&gt;"",V794&lt;&gt;"",W794&lt;&gt;"",X794&lt;&gt;"",Y794&lt;&gt;""),"COMPLETE","MISSING FIELDS")))</f>
        <v/>
      </c>
    </row>
    <row r="795" ht="15" customHeight="1" s="15">
      <c r="A795" s="27" t="inlineStr">
        <is>
          <t>LEAD-0791</t>
        </is>
      </c>
      <c r="B795" s="27" t="inlineStr">
        <is>
          <t>Tristan Fairchild</t>
        </is>
      </c>
      <c r="C795" s="27" t="inlineStr">
        <is>
          <t>Podcaster</t>
        </is>
      </c>
      <c r="D795" s="27" t="inlineStr">
        <is>
          <t>CA</t>
        </is>
      </c>
      <c r="E795" s="27" t="inlineStr">
        <is>
          <t>English</t>
        </is>
      </c>
      <c r="F795" s="27" t="inlineStr">
        <is>
          <t>Apple Podcasts</t>
        </is>
      </c>
      <c r="G795" s="27" t="inlineStr">
        <is>
          <t>https://podcasts.apple.com/ca/podcast/tristanfairchild/id1000791</t>
        </is>
      </c>
      <c r="H795" s="27" t="inlineStr">
        <is>
          <t>AP-CA-1000791</t>
        </is>
      </c>
      <c r="I795" s="27" t="inlineStr">
        <is>
          <t>204,000</t>
        </is>
      </c>
      <c r="J795" s="27" t="inlineStr">
        <is>
          <t>2026-10-17</t>
        </is>
      </c>
      <c r="K795" s="27" t="inlineStr">
        <is>
          <t>https://tristanfairchild.com/episodes/192</t>
        </is>
      </c>
      <c r="L795" s="27" t="n">
        <v>9</v>
      </c>
      <c r="M795" s="27" t="n">
        <v>33</v>
      </c>
      <c r="N795" s="27" t="inlineStr">
        <is>
          <t>Course</t>
        </is>
      </c>
      <c r="O795" s="27" t="inlineStr">
        <is>
          <t>https://tristanfairchild.com/academy</t>
        </is>
      </c>
      <c r="P795" s="27" t="inlineStr">
        <is>
          <t>Missing Video Captions &amp; Retention Clips</t>
        </is>
      </c>
      <c r="Q795" s="27" t="inlineStr">
        <is>
          <t>https://tristanfairchild.com/highlights</t>
        </is>
      </c>
      <c r="R795" s="27" t="inlineStr">
        <is>
          <t>Email</t>
        </is>
      </c>
      <c r="S795" s="27" t="inlineStr">
        <is>
          <t>hello@tristanfairchild.com</t>
        </is>
      </c>
      <c r="T795" s="27" t="inlineStr">
        <is>
          <t>https://tristanfairchild.com/work-with-me</t>
        </is>
      </c>
      <c r="U795" s="27" t="inlineStr">
        <is>
          <t>LinkedIn</t>
        </is>
      </c>
      <c r="V795" s="27" t="inlineStr">
        <is>
          <t>saas &amp; product growth frameworks, specifically regarding episode 42 on SaaS &amp; Product Growth workflow optimization</t>
        </is>
      </c>
      <c r="W795" s="27" t="inlineStr">
        <is>
          <t>Hi Tristan,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95" s="27" t="inlineStr">
        <is>
          <t>2026-10-18</t>
        </is>
      </c>
      <c r="Y795" s="27" t="inlineStr">
        <is>
          <t>C</t>
        </is>
      </c>
      <c r="Z795" s="27" t="n">
        <v>72.5</v>
      </c>
      <c r="AA795" s="27" t="inlineStr">
        <is>
          <t>Qualified</t>
        </is>
      </c>
      <c r="AB795" s="27" t="inlineStr"/>
      <c r="AC795" s="28">
        <f>IF(A795="","",IF(COUNTIF($H$5:$H$1004,H795)&gt;1,"DUPLICATE","UNIQUE"))</f>
        <v/>
      </c>
      <c r="AD795" s="28">
        <f>IF(A795="","",IF(AA795="Rejected",IF(AB795&lt;&gt;"","REJECTED","ADD REASON"),IF(AND(B795&lt;&gt;"",C795&lt;&gt;"",D795&lt;&gt;"",E795&lt;&gt;"",F795&lt;&gt;"",G795&lt;&gt;"",H795&lt;&gt;"",J795&lt;&gt;"",K795&lt;&gt;"",N795&lt;&gt;"",O795&lt;&gt;"",P795&lt;&gt;"",Q795&lt;&gt;"",R795&lt;&gt;"",S795&lt;&gt;"",T795&lt;&gt;"",V795&lt;&gt;"",W795&lt;&gt;"",X795&lt;&gt;"",Y795&lt;&gt;""),"COMPLETE","MISSING FIELDS")))</f>
        <v/>
      </c>
    </row>
    <row r="796" ht="15" customHeight="1" s="15">
      <c r="A796" s="27" t="inlineStr">
        <is>
          <t>LEAD-0792</t>
        </is>
      </c>
      <c r="B796" s="27" t="inlineStr">
        <is>
          <t>Tristan Gallagher</t>
        </is>
      </c>
      <c r="C796" s="27" t="inlineStr">
        <is>
          <t>Expert-Led Creator</t>
        </is>
      </c>
      <c r="D796" s="27" t="inlineStr">
        <is>
          <t>CA</t>
        </is>
      </c>
      <c r="E796" s="27" t="inlineStr">
        <is>
          <t>English</t>
        </is>
      </c>
      <c r="F796" s="27" t="inlineStr">
        <is>
          <t>YouTube</t>
        </is>
      </c>
      <c r="G796" s="27" t="inlineStr">
        <is>
          <t>https://www.youtube.com/@tristangallagher</t>
        </is>
      </c>
      <c r="H796" s="27" t="inlineStr">
        <is>
          <t>UCCA00792017213</t>
        </is>
      </c>
      <c r="I796" s="27" t="inlineStr">
        <is>
          <t>460,000</t>
        </is>
      </c>
      <c r="J796" s="27" t="inlineStr">
        <is>
          <t>2026-10-10</t>
        </is>
      </c>
      <c r="K796" s="27" t="inlineStr">
        <is>
          <t>https://www.youtube.com/watch?v=ca00792</t>
        </is>
      </c>
      <c r="L796" s="27" t="n">
        <v>10</v>
      </c>
      <c r="M796" s="27" t="n">
        <v>16</v>
      </c>
      <c r="N796" s="27" t="inlineStr">
        <is>
          <t>Sponsor</t>
        </is>
      </c>
      <c r="O796" s="27" t="inlineStr">
        <is>
          <t>https://tristangallagher.com/partners</t>
        </is>
      </c>
      <c r="P796" s="27" t="inlineStr">
        <is>
          <t>Editing Backlog &amp; Team Workflow Overhead</t>
        </is>
      </c>
      <c r="Q796" s="27" t="inlineStr">
        <is>
          <t>https://tristangallagher.com/highlights</t>
        </is>
      </c>
      <c r="R796" s="27" t="inlineStr">
        <is>
          <t>Email</t>
        </is>
      </c>
      <c r="S796" s="27" t="inlineStr">
        <is>
          <t>contact@tristangallagher.com</t>
        </is>
      </c>
      <c r="T796" s="27" t="inlineStr">
        <is>
          <t>https://tristangallagher.com/contact</t>
        </is>
      </c>
      <c r="U796" s="27" t="inlineStr">
        <is>
          <t>LinkedIn</t>
        </is>
      </c>
      <c r="V796" s="27" t="inlineStr">
        <is>
          <t>creator business &amp; monetization frameworks, specifically regarding episode 43 on Creator Business &amp; Monetization workflow optimization</t>
        </is>
      </c>
      <c r="W796" s="27" t="inlineStr">
        <is>
          <t>Hi Tristan,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96" s="27" t="inlineStr">
        <is>
          <t>2026-10-18</t>
        </is>
      </c>
      <c r="Y796" s="27" t="inlineStr">
        <is>
          <t>C</t>
        </is>
      </c>
      <c r="Z796" s="27" t="n">
        <v>72.5</v>
      </c>
      <c r="AA796" s="27" t="inlineStr">
        <is>
          <t>Qualified</t>
        </is>
      </c>
      <c r="AB796" s="27" t="inlineStr"/>
      <c r="AC796" s="28">
        <f>IF(A796="","",IF(COUNTIF($H$5:$H$1004,H796)&gt;1,"DUPLICATE","UNIQUE"))</f>
        <v/>
      </c>
      <c r="AD796" s="28">
        <f>IF(A796="","",IF(AA796="Rejected",IF(AB796&lt;&gt;"","REJECTED","ADD REASON"),IF(AND(B796&lt;&gt;"",C796&lt;&gt;"",D796&lt;&gt;"",E796&lt;&gt;"",F796&lt;&gt;"",G796&lt;&gt;"",H796&lt;&gt;"",J796&lt;&gt;"",K796&lt;&gt;"",N796&lt;&gt;"",O796&lt;&gt;"",P796&lt;&gt;"",Q796&lt;&gt;"",R796&lt;&gt;"",S796&lt;&gt;"",T796&lt;&gt;"",V796&lt;&gt;"",W796&lt;&gt;"",X796&lt;&gt;"",Y796&lt;&gt;""),"COMPLETE","MISSING FIELDS")))</f>
        <v/>
      </c>
    </row>
    <row r="797" ht="15" customHeight="1" s="15">
      <c r="A797" s="27" t="inlineStr">
        <is>
          <t>LEAD-0793</t>
        </is>
      </c>
      <c r="B797" s="27" t="inlineStr">
        <is>
          <t>Tristan Hawthorne</t>
        </is>
      </c>
      <c r="C797" s="27" t="inlineStr">
        <is>
          <t>YouTuber</t>
        </is>
      </c>
      <c r="D797" s="27" t="inlineStr">
        <is>
          <t>CA</t>
        </is>
      </c>
      <c r="E797" s="27" t="inlineStr">
        <is>
          <t>English</t>
        </is>
      </c>
      <c r="F797" s="27" t="inlineStr">
        <is>
          <t>YouTube</t>
        </is>
      </c>
      <c r="G797" s="27" t="inlineStr">
        <is>
          <t>https://www.youtube.com/@tristanhawthorne</t>
        </is>
      </c>
      <c r="H797" s="27" t="inlineStr">
        <is>
          <t>UCCA00793069942</t>
        </is>
      </c>
      <c r="I797" s="27" t="inlineStr">
        <is>
          <t>480,000</t>
        </is>
      </c>
      <c r="J797" s="27" t="inlineStr">
        <is>
          <t>2026-10-11</t>
        </is>
      </c>
      <c r="K797" s="27" t="inlineStr">
        <is>
          <t>https://www.youtube.com/watch?v=ca00793</t>
        </is>
      </c>
      <c r="L797" s="27" t="n">
        <v>11</v>
      </c>
      <c r="M797" s="27" t="n">
        <v>17</v>
      </c>
      <c r="N797" s="27" t="inlineStr">
        <is>
          <t>Membership</t>
        </is>
      </c>
      <c r="O797" s="27" t="inlineStr">
        <is>
          <t>https://tristanhawthorne.com/community</t>
        </is>
      </c>
      <c r="P797" s="27" t="inlineStr">
        <is>
          <t>Shorts Repurposing Bottleneck</t>
        </is>
      </c>
      <c r="Q797" s="27" t="inlineStr">
        <is>
          <t>https://tristanhawthorne.com/highlights</t>
        </is>
      </c>
      <c r="R797" s="27" t="inlineStr">
        <is>
          <t>LinkedIn</t>
        </is>
      </c>
      <c r="S797" s="27" t="inlineStr">
        <is>
          <t>https://linkedin.com/in/tristanhawthorne</t>
        </is>
      </c>
      <c r="T797" s="27" t="inlineStr">
        <is>
          <t>https://tristanhawthorne.com/about</t>
        </is>
      </c>
      <c r="U797" s="27" t="inlineStr">
        <is>
          <t>Email</t>
        </is>
      </c>
      <c r="V797" s="27" t="inlineStr">
        <is>
          <t>productivity &amp; personal systems frameworks, specifically regarding episode 44 on Productivity &amp; Personal Systems workflow optimization</t>
        </is>
      </c>
      <c r="W797" s="27" t="inlineStr">
        <is>
          <t>Hi Tristan,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97" s="27" t="inlineStr">
        <is>
          <t>2026-10-18</t>
        </is>
      </c>
      <c r="Y797" s="27" t="inlineStr">
        <is>
          <t>C</t>
        </is>
      </c>
      <c r="Z797" s="27" t="n">
        <v>72.40000000000001</v>
      </c>
      <c r="AA797" s="27" t="inlineStr">
        <is>
          <t>Qualified</t>
        </is>
      </c>
      <c r="AB797" s="27" t="inlineStr"/>
      <c r="AC797" s="28">
        <f>IF(A797="","",IF(COUNTIF($H$5:$H$1004,H797)&gt;1,"DUPLICATE","UNIQUE"))</f>
        <v/>
      </c>
      <c r="AD797" s="28">
        <f>IF(A797="","",IF(AA797="Rejected",IF(AB797&lt;&gt;"","REJECTED","ADD REASON"),IF(AND(B797&lt;&gt;"",C797&lt;&gt;"",D797&lt;&gt;"",E797&lt;&gt;"",F797&lt;&gt;"",G797&lt;&gt;"",H797&lt;&gt;"",J797&lt;&gt;"",K797&lt;&gt;"",N797&lt;&gt;"",O797&lt;&gt;"",P797&lt;&gt;"",Q797&lt;&gt;"",R797&lt;&gt;"",S797&lt;&gt;"",T797&lt;&gt;"",V797&lt;&gt;"",W797&lt;&gt;"",X797&lt;&gt;"",Y797&lt;&gt;""),"COMPLETE","MISSING FIELDS")))</f>
        <v/>
      </c>
    </row>
    <row r="798" ht="15" customHeight="1" s="15">
      <c r="A798" s="27" t="inlineStr">
        <is>
          <t>LEAD-0794</t>
        </is>
      </c>
      <c r="B798" s="27" t="inlineStr">
        <is>
          <t>Tristan Ingram</t>
        </is>
      </c>
      <c r="C798" s="27" t="inlineStr">
        <is>
          <t>Podcaster</t>
        </is>
      </c>
      <c r="D798" s="27" t="inlineStr">
        <is>
          <t>CA</t>
        </is>
      </c>
      <c r="E798" s="27" t="inlineStr">
        <is>
          <t>English</t>
        </is>
      </c>
      <c r="F798" s="27" t="inlineStr">
        <is>
          <t>Apple Podcasts</t>
        </is>
      </c>
      <c r="G798" s="27" t="inlineStr">
        <is>
          <t>https://podcasts.apple.com/ca/podcast/tristaningram/id1000794</t>
        </is>
      </c>
      <c r="H798" s="27" t="inlineStr">
        <is>
          <t>AP-CA-1000794</t>
        </is>
      </c>
      <c r="I798" s="27" t="inlineStr">
        <is>
          <t>240,000</t>
        </is>
      </c>
      <c r="J798" s="27" t="inlineStr">
        <is>
          <t>2026-10-12</t>
        </is>
      </c>
      <c r="K798" s="27" t="inlineStr">
        <is>
          <t>https://tristaningram.com/episodes/195</t>
        </is>
      </c>
      <c r="L798" s="27" t="n">
        <v>12</v>
      </c>
      <c r="M798" s="27" t="n">
        <v>18</v>
      </c>
      <c r="N798" s="27" t="inlineStr">
        <is>
          <t>Product</t>
        </is>
      </c>
      <c r="O798" s="27" t="inlineStr">
        <is>
          <t>https://tristaningram.com/shop</t>
        </is>
      </c>
      <c r="P798" s="27" t="inlineStr">
        <is>
          <t>Inconsistent Cross-Platform Publishing</t>
        </is>
      </c>
      <c r="Q798" s="27" t="inlineStr">
        <is>
          <t>https://tristaningram.com/highlights</t>
        </is>
      </c>
      <c r="R798" s="27" t="inlineStr">
        <is>
          <t>X (Twitter)</t>
        </is>
      </c>
      <c r="S798" s="27" t="inlineStr">
        <is>
          <t>https://x.com/tristaningram</t>
        </is>
      </c>
      <c r="T798" s="27" t="inlineStr">
        <is>
          <t>https://tristaningram.com/links</t>
        </is>
      </c>
      <c r="U798" s="27" t="inlineStr">
        <is>
          <t>LinkedIn</t>
        </is>
      </c>
      <c r="V798" s="27" t="inlineStr">
        <is>
          <t>leadership &amp; team ops frameworks, specifically regarding episode 45 on Leadership &amp; Team Ops workflow optimization</t>
        </is>
      </c>
      <c r="W798" s="27" t="inlineStr">
        <is>
          <t>Hi Tristan,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98" s="27" t="inlineStr">
        <is>
          <t>2026-10-18</t>
        </is>
      </c>
      <c r="Y798" s="27" t="inlineStr">
        <is>
          <t>C</t>
        </is>
      </c>
      <c r="Z798" s="27" t="n">
        <v>72.40000000000001</v>
      </c>
      <c r="AA798" s="27" t="inlineStr">
        <is>
          <t>Qualified</t>
        </is>
      </c>
      <c r="AB798" s="27" t="inlineStr"/>
      <c r="AC798" s="28">
        <f>IF(A798="","",IF(COUNTIF($H$5:$H$1004,H798)&gt;1,"DUPLICATE","UNIQUE"))</f>
        <v/>
      </c>
      <c r="AD798" s="28">
        <f>IF(A798="","",IF(AA798="Rejected",IF(AB798&lt;&gt;"","REJECTED","ADD REASON"),IF(AND(B798&lt;&gt;"",C798&lt;&gt;"",D798&lt;&gt;"",E798&lt;&gt;"",F798&lt;&gt;"",G798&lt;&gt;"",H798&lt;&gt;"",J798&lt;&gt;"",K798&lt;&gt;"",N798&lt;&gt;"",O798&lt;&gt;"",P798&lt;&gt;"",Q798&lt;&gt;"",R798&lt;&gt;"",S798&lt;&gt;"",T798&lt;&gt;"",V798&lt;&gt;"",W798&lt;&gt;"",X798&lt;&gt;"",Y798&lt;&gt;""),"COMPLETE","MISSING FIELDS")))</f>
        <v/>
      </c>
    </row>
    <row r="799" ht="15" customHeight="1" s="15">
      <c r="A799" s="27" t="inlineStr">
        <is>
          <t>LEAD-0795</t>
        </is>
      </c>
      <c r="B799" s="27" t="inlineStr">
        <is>
          <t>Tristan Jennings</t>
        </is>
      </c>
      <c r="C799" s="27" t="inlineStr">
        <is>
          <t>Expert-Led Creator</t>
        </is>
      </c>
      <c r="D799" s="27" t="inlineStr">
        <is>
          <t>CA</t>
        </is>
      </c>
      <c r="E799" s="27" t="inlineStr">
        <is>
          <t>English</t>
        </is>
      </c>
      <c r="F799" s="27" t="inlineStr">
        <is>
          <t>LinkedIn</t>
        </is>
      </c>
      <c r="G799" s="27" t="inlineStr">
        <is>
          <t>https://www.linkedin.com/in/tristanjennings</t>
        </is>
      </c>
      <c r="H799" s="27" t="inlineStr">
        <is>
          <t>LI-tristanjennings-0795</t>
        </is>
      </c>
      <c r="I799" s="27" t="inlineStr">
        <is>
          <t>96,000</t>
        </is>
      </c>
      <c r="J799" s="27" t="inlineStr">
        <is>
          <t>2026-10-13</t>
        </is>
      </c>
      <c r="K799" s="27" t="inlineStr">
        <is>
          <t>https://tristanjennings.com/posts/46</t>
        </is>
      </c>
      <c r="L799" s="27" t="n">
        <v>13</v>
      </c>
      <c r="M799" s="27" t="n">
        <v>19</v>
      </c>
      <c r="N799" s="27" t="inlineStr">
        <is>
          <t>Consulting</t>
        </is>
      </c>
      <c r="O799" s="27" t="inlineStr">
        <is>
          <t>https://tristanjennings.com/advisory</t>
        </is>
      </c>
      <c r="P799" s="27" t="inlineStr">
        <is>
          <t>Editing Backlog &amp; Team Workflow Overhead</t>
        </is>
      </c>
      <c r="Q799" s="27" t="inlineStr">
        <is>
          <t>https://tristanjennings.com/highlights</t>
        </is>
      </c>
      <c r="R799" s="27" t="inlineStr">
        <is>
          <t>Email</t>
        </is>
      </c>
      <c r="S799" s="27" t="inlineStr">
        <is>
          <t>hello@tristanjennings.com</t>
        </is>
      </c>
      <c r="T799" s="27" t="inlineStr">
        <is>
          <t>https://tristanjennings.com/work-with-me</t>
        </is>
      </c>
      <c r="U799" s="27" t="inlineStr">
        <is>
          <t>LinkedIn</t>
        </is>
      </c>
      <c r="V799" s="27" t="inlineStr">
        <is>
          <t>b2b marketing &amp; sales frameworks, specifically regarding episode 46 on B2B Marketing &amp; Sales workflow optimization</t>
        </is>
      </c>
      <c r="W799" s="27" t="inlineStr">
        <is>
          <t>Hi Tristan,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799" s="27" t="inlineStr">
        <is>
          <t>2026-10-18</t>
        </is>
      </c>
      <c r="Y799" s="27" t="inlineStr">
        <is>
          <t>C</t>
        </is>
      </c>
      <c r="Z799" s="27" t="n">
        <v>72.3</v>
      </c>
      <c r="AA799" s="27" t="inlineStr">
        <is>
          <t>Qualified</t>
        </is>
      </c>
      <c r="AB799" s="27" t="inlineStr"/>
      <c r="AC799" s="28">
        <f>IF(A799="","",IF(COUNTIF($H$5:$H$1004,H799)&gt;1,"DUPLICATE","UNIQUE"))</f>
        <v/>
      </c>
      <c r="AD799" s="28">
        <f>IF(A799="","",IF(AA799="Rejected",IF(AB799&lt;&gt;"","REJECTED","ADD REASON"),IF(AND(B799&lt;&gt;"",C799&lt;&gt;"",D799&lt;&gt;"",E799&lt;&gt;"",F799&lt;&gt;"",G799&lt;&gt;"",H799&lt;&gt;"",J799&lt;&gt;"",K799&lt;&gt;"",N799&lt;&gt;"",O799&lt;&gt;"",P799&lt;&gt;"",Q799&lt;&gt;"",R799&lt;&gt;"",S799&lt;&gt;"",T799&lt;&gt;"",V799&lt;&gt;"",W799&lt;&gt;"",X799&lt;&gt;"",Y799&lt;&gt;""),"COMPLETE","MISSING FIELDS")))</f>
        <v/>
      </c>
    </row>
    <row r="800" ht="15" customHeight="1" s="15">
      <c r="A800" s="27" t="inlineStr">
        <is>
          <t>LEAD-0796</t>
        </is>
      </c>
      <c r="B800" s="27" t="inlineStr">
        <is>
          <t>Tristan Kingsley</t>
        </is>
      </c>
      <c r="C800" s="27" t="inlineStr">
        <is>
          <t>YouTuber</t>
        </is>
      </c>
      <c r="D800" s="27" t="inlineStr">
        <is>
          <t>CA</t>
        </is>
      </c>
      <c r="E800" s="27" t="inlineStr">
        <is>
          <t>English</t>
        </is>
      </c>
      <c r="F800" s="27" t="inlineStr">
        <is>
          <t>YouTube</t>
        </is>
      </c>
      <c r="G800" s="27" t="inlineStr">
        <is>
          <t>https://www.youtube.com/@tristankingsley</t>
        </is>
      </c>
      <c r="H800" s="27" t="inlineStr">
        <is>
          <t>UCCA00796428214</t>
        </is>
      </c>
      <c r="I800" s="27" t="inlineStr">
        <is>
          <t>540,000</t>
        </is>
      </c>
      <c r="J800" s="27" t="inlineStr">
        <is>
          <t>2026-10-14</t>
        </is>
      </c>
      <c r="K800" s="27" t="inlineStr">
        <is>
          <t>https://www.youtube.com/watch?v=ca00796</t>
        </is>
      </c>
      <c r="L800" s="27" t="n">
        <v>14</v>
      </c>
      <c r="M800" s="27" t="n">
        <v>20</v>
      </c>
      <c r="N800" s="27" t="inlineStr">
        <is>
          <t>Newsletter Subscription</t>
        </is>
      </c>
      <c r="O800" s="27" t="inlineStr">
        <is>
          <t>https://tristankingsley.com/subscribe</t>
        </is>
      </c>
      <c r="P800" s="27" t="inlineStr">
        <is>
          <t>Multilingual Audio Dubbing</t>
        </is>
      </c>
      <c r="Q800" s="27" t="inlineStr">
        <is>
          <t>https://tristankingsley.com/highlights</t>
        </is>
      </c>
      <c r="R800" s="27" t="inlineStr">
        <is>
          <t>Email</t>
        </is>
      </c>
      <c r="S800" s="27" t="inlineStr">
        <is>
          <t>contact@tristankingsley.com</t>
        </is>
      </c>
      <c r="T800" s="27" t="inlineStr">
        <is>
          <t>https://tristankingsley.com/contact</t>
        </is>
      </c>
      <c r="U800" s="27" t="inlineStr">
        <is>
          <t>LinkedIn</t>
        </is>
      </c>
      <c r="V800" s="27" t="inlineStr">
        <is>
          <t>finance &amp; wealth engineering frameworks, specifically regarding episode 47 on Finance &amp; Wealth Engineering workflow optimization</t>
        </is>
      </c>
      <c r="W800" s="27" t="inlineStr">
        <is>
          <t>Hi Tristan,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00" s="27" t="inlineStr">
        <is>
          <t>2026-10-18</t>
        </is>
      </c>
      <c r="Y800" s="27" t="inlineStr">
        <is>
          <t>C</t>
        </is>
      </c>
      <c r="Z800" s="27" t="n">
        <v>72.2</v>
      </c>
      <c r="AA800" s="27" t="inlineStr">
        <is>
          <t>Qualified</t>
        </is>
      </c>
      <c r="AB800" s="27" t="inlineStr"/>
      <c r="AC800" s="28">
        <f>IF(A800="","",IF(COUNTIF($H$5:$H$1004,H800)&gt;1,"DUPLICATE","UNIQUE"))</f>
        <v/>
      </c>
      <c r="AD800" s="28">
        <f>IF(A800="","",IF(AA800="Rejected",IF(AB800&lt;&gt;"","REJECTED","ADD REASON"),IF(AND(B800&lt;&gt;"",C800&lt;&gt;"",D800&lt;&gt;"",E800&lt;&gt;"",F800&lt;&gt;"",G800&lt;&gt;"",H800&lt;&gt;"",J800&lt;&gt;"",K800&lt;&gt;"",N800&lt;&gt;"",O800&lt;&gt;"",P800&lt;&gt;"",Q800&lt;&gt;"",R800&lt;&gt;"",S800&lt;&gt;"",T800&lt;&gt;"",V800&lt;&gt;"",W800&lt;&gt;"",X800&lt;&gt;"",Y800&lt;&gt;""),"COMPLETE","MISSING FIELDS")))</f>
        <v/>
      </c>
    </row>
    <row r="801" ht="15" customHeight="1" s="15">
      <c r="A801" s="27" t="inlineStr">
        <is>
          <t>LEAD-0797</t>
        </is>
      </c>
      <c r="B801" s="27" t="inlineStr">
        <is>
          <t>Tristan Lockwood</t>
        </is>
      </c>
      <c r="C801" s="27" t="inlineStr">
        <is>
          <t>Podcaster</t>
        </is>
      </c>
      <c r="D801" s="27" t="inlineStr">
        <is>
          <t>CA</t>
        </is>
      </c>
      <c r="E801" s="27" t="inlineStr">
        <is>
          <t>English</t>
        </is>
      </c>
      <c r="F801" s="27" t="inlineStr">
        <is>
          <t>Apple Podcasts</t>
        </is>
      </c>
      <c r="G801" s="27" t="inlineStr">
        <is>
          <t>https://podcasts.apple.com/ca/podcast/tristanlockwood/id1000797</t>
        </is>
      </c>
      <c r="H801" s="27" t="inlineStr">
        <is>
          <t>AP-CA-1000797</t>
        </is>
      </c>
      <c r="I801" s="27" t="inlineStr">
        <is>
          <t>276,000</t>
        </is>
      </c>
      <c r="J801" s="27" t="inlineStr">
        <is>
          <t>2026-10-15</t>
        </is>
      </c>
      <c r="K801" s="27" t="inlineStr">
        <is>
          <t>https://tristanlockwood.com/episodes/198</t>
        </is>
      </c>
      <c r="L801" s="27" t="n">
        <v>15</v>
      </c>
      <c r="M801" s="27" t="n">
        <v>21</v>
      </c>
      <c r="N801" s="27" t="inlineStr">
        <is>
          <t>Affiliate</t>
        </is>
      </c>
      <c r="O801" s="27" t="inlineStr">
        <is>
          <t>https://tristanlockwood.com/resources</t>
        </is>
      </c>
      <c r="P801" s="27" t="inlineStr">
        <is>
          <t>Multilingual Audio Dubbing</t>
        </is>
      </c>
      <c r="Q801" s="27" t="inlineStr">
        <is>
          <t>https://tristanlockwood.com/highlights</t>
        </is>
      </c>
      <c r="R801" s="27" t="inlineStr">
        <is>
          <t>LinkedIn</t>
        </is>
      </c>
      <c r="S801" s="27" t="inlineStr">
        <is>
          <t>https://linkedin.com/in/tristanlockwood</t>
        </is>
      </c>
      <c r="T801" s="27" t="inlineStr">
        <is>
          <t>https://tristanlockwood.com/about</t>
        </is>
      </c>
      <c r="U801" s="27" t="inlineStr">
        <is>
          <t>Email</t>
        </is>
      </c>
      <c r="V801" s="27" t="inlineStr">
        <is>
          <t>health &amp; longevity science frameworks, specifically regarding episode 48 on Health &amp; Longevity Science workflow optimization</t>
        </is>
      </c>
      <c r="W801" s="27" t="inlineStr">
        <is>
          <t>Hi Tristan,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01" s="27" t="inlineStr">
        <is>
          <t>2026-10-18</t>
        </is>
      </c>
      <c r="Y801" s="27" t="inlineStr">
        <is>
          <t>C</t>
        </is>
      </c>
      <c r="Z801" s="27" t="n">
        <v>72.2</v>
      </c>
      <c r="AA801" s="27" t="inlineStr">
        <is>
          <t>Qualified</t>
        </is>
      </c>
      <c r="AB801" s="27" t="inlineStr"/>
      <c r="AC801" s="28">
        <f>IF(A801="","",IF(COUNTIF($H$5:$H$1004,H801)&gt;1,"DUPLICATE","UNIQUE"))</f>
        <v/>
      </c>
      <c r="AD801" s="28">
        <f>IF(A801="","",IF(AA801="Rejected",IF(AB801&lt;&gt;"","REJECTED","ADD REASON"),IF(AND(B801&lt;&gt;"",C801&lt;&gt;"",D801&lt;&gt;"",E801&lt;&gt;"",F801&lt;&gt;"",G801&lt;&gt;"",H801&lt;&gt;"",J801&lt;&gt;"",K801&lt;&gt;"",N801&lt;&gt;"",O801&lt;&gt;"",P801&lt;&gt;"",Q801&lt;&gt;"",R801&lt;&gt;"",S801&lt;&gt;"",T801&lt;&gt;"",V801&lt;&gt;"",W801&lt;&gt;"",X801&lt;&gt;"",Y801&lt;&gt;""),"COMPLETE","MISSING FIELDS")))</f>
        <v/>
      </c>
    </row>
    <row r="802" ht="15" customHeight="1" s="15">
      <c r="A802" s="27" t="inlineStr">
        <is>
          <t>LEAD-0798</t>
        </is>
      </c>
      <c r="B802" s="27" t="inlineStr">
        <is>
          <t>Tristan Montague</t>
        </is>
      </c>
      <c r="C802" s="27" t="inlineStr">
        <is>
          <t>YouTuber</t>
        </is>
      </c>
      <c r="D802" s="27" t="inlineStr">
        <is>
          <t>CA</t>
        </is>
      </c>
      <c r="E802" s="27" t="inlineStr">
        <is>
          <t>English</t>
        </is>
      </c>
      <c r="F802" s="27" t="inlineStr">
        <is>
          <t>YouTube</t>
        </is>
      </c>
      <c r="G802" s="27" t="inlineStr">
        <is>
          <t>https://www.youtube.com/@tristanmontague</t>
        </is>
      </c>
      <c r="H802" s="27" t="inlineStr">
        <is>
          <t>UCCA00798597696</t>
        </is>
      </c>
      <c r="I802" s="27" t="inlineStr">
        <is>
          <t>580,000</t>
        </is>
      </c>
      <c r="J802" s="27" t="inlineStr">
        <is>
          <t>2026-10-16</t>
        </is>
      </c>
      <c r="K802" s="27" t="inlineStr">
        <is>
          <t>https://www.youtube.com/watch?v=ca00798</t>
        </is>
      </c>
      <c r="L802" s="27" t="n">
        <v>16</v>
      </c>
      <c r="M802" s="27" t="n">
        <v>22</v>
      </c>
      <c r="N802" s="27" t="inlineStr">
        <is>
          <t>Course</t>
        </is>
      </c>
      <c r="O802" s="27" t="inlineStr">
        <is>
          <t>https://tristanmontague.com/academy</t>
        </is>
      </c>
      <c r="P802" s="27" t="inlineStr">
        <is>
          <t>Missing Video Captions &amp; Retention Clips</t>
        </is>
      </c>
      <c r="Q802" s="27" t="inlineStr">
        <is>
          <t>https://tristanmontague.com/highlights</t>
        </is>
      </c>
      <c r="R802" s="27" t="inlineStr">
        <is>
          <t>X (Twitter)</t>
        </is>
      </c>
      <c r="S802" s="27" t="inlineStr">
        <is>
          <t>https://x.com/tristanmontague</t>
        </is>
      </c>
      <c r="T802" s="27" t="inlineStr">
        <is>
          <t>https://tristanmontague.com/links</t>
        </is>
      </c>
      <c r="U802" s="27" t="inlineStr">
        <is>
          <t>LinkedIn</t>
        </is>
      </c>
      <c r="V802" s="27" t="inlineStr">
        <is>
          <t>education &amp; applied coding frameworks, specifically regarding episode 49 on Education &amp; Applied Coding workflow optimization</t>
        </is>
      </c>
      <c r="W802" s="27" t="inlineStr">
        <is>
          <t>Hi Tristan,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02" s="27" t="inlineStr">
        <is>
          <t>2026-10-18</t>
        </is>
      </c>
      <c r="Y802" s="27" t="inlineStr">
        <is>
          <t>C</t>
        </is>
      </c>
      <c r="Z802" s="27" t="n">
        <v>72.09999999999999</v>
      </c>
      <c r="AA802" s="27" t="inlineStr">
        <is>
          <t>Qualified</t>
        </is>
      </c>
      <c r="AB802" s="27" t="inlineStr"/>
      <c r="AC802" s="28">
        <f>IF(A802="","",IF(COUNTIF($H$5:$H$1004,H802)&gt;1,"DUPLICATE","UNIQUE"))</f>
        <v/>
      </c>
      <c r="AD802" s="28">
        <f>IF(A802="","",IF(AA802="Rejected",IF(AB802&lt;&gt;"","REJECTED","ADD REASON"),IF(AND(B802&lt;&gt;"",C802&lt;&gt;"",D802&lt;&gt;"",E802&lt;&gt;"",F802&lt;&gt;"",G802&lt;&gt;"",H802&lt;&gt;"",J802&lt;&gt;"",K802&lt;&gt;"",N802&lt;&gt;"",O802&lt;&gt;"",P802&lt;&gt;"",Q802&lt;&gt;"",R802&lt;&gt;"",S802&lt;&gt;"",T802&lt;&gt;"",V802&lt;&gt;"",W802&lt;&gt;"",X802&lt;&gt;"",Y802&lt;&gt;""),"COMPLETE","MISSING FIELDS")))</f>
        <v/>
      </c>
    </row>
    <row r="803" ht="15" customHeight="1" s="15">
      <c r="A803" s="27" t="inlineStr">
        <is>
          <t>LEAD-0799</t>
        </is>
      </c>
      <c r="B803" s="27" t="inlineStr">
        <is>
          <t>Tristan Northwood</t>
        </is>
      </c>
      <c r="C803" s="27" t="inlineStr">
        <is>
          <t>Podcaster</t>
        </is>
      </c>
      <c r="D803" s="27" t="inlineStr">
        <is>
          <t>CA</t>
        </is>
      </c>
      <c r="E803" s="27" t="inlineStr">
        <is>
          <t>English</t>
        </is>
      </c>
      <c r="F803" s="27" t="inlineStr">
        <is>
          <t>Apple Podcasts</t>
        </is>
      </c>
      <c r="G803" s="27" t="inlineStr">
        <is>
          <t>https://podcasts.apple.com/ca/podcast/tristannorthwood/id1000799</t>
        </is>
      </c>
      <c r="H803" s="27" t="inlineStr">
        <is>
          <t>AP-CA-1000799</t>
        </is>
      </c>
      <c r="I803" s="27" t="inlineStr">
        <is>
          <t>300,000</t>
        </is>
      </c>
      <c r="J803" s="27" t="inlineStr">
        <is>
          <t>2026-10-17</t>
        </is>
      </c>
      <c r="K803" s="27" t="inlineStr">
        <is>
          <t>https://tristannorthwood.com/episodes/200</t>
        </is>
      </c>
      <c r="L803" s="27" t="n">
        <v>17</v>
      </c>
      <c r="M803" s="27" t="n">
        <v>23</v>
      </c>
      <c r="N803" s="27" t="inlineStr">
        <is>
          <t>Sponsor</t>
        </is>
      </c>
      <c r="O803" s="27" t="inlineStr">
        <is>
          <t>https://tristannorthwood.com/partners</t>
        </is>
      </c>
      <c r="P803" s="27" t="inlineStr">
        <is>
          <t>Shorts Repurposing Bottleneck</t>
        </is>
      </c>
      <c r="Q803" s="27" t="inlineStr">
        <is>
          <t>https://tristannorthwood.com/highlights</t>
        </is>
      </c>
      <c r="R803" s="27" t="inlineStr">
        <is>
          <t>Email</t>
        </is>
      </c>
      <c r="S803" s="27" t="inlineStr">
        <is>
          <t>hello@tristannorthwood.com</t>
        </is>
      </c>
      <c r="T803" s="27" t="inlineStr">
        <is>
          <t>https://tristannorthwood.com/work-with-me</t>
        </is>
      </c>
      <c r="U803" s="27" t="inlineStr">
        <is>
          <t>LinkedIn</t>
        </is>
      </c>
      <c r="V803" s="27" t="inlineStr">
        <is>
          <t>e-commerce &amp; digital brands frameworks, specifically regarding episode 50 on E-Commerce &amp; Digital Brands workflow optimization</t>
        </is>
      </c>
      <c r="W803" s="27" t="inlineStr">
        <is>
          <t>Hi Tristan,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03" s="27" t="inlineStr">
        <is>
          <t>2026-10-18</t>
        </is>
      </c>
      <c r="Y803" s="27" t="inlineStr">
        <is>
          <t>C</t>
        </is>
      </c>
      <c r="Z803" s="27" t="n">
        <v>72.09999999999999</v>
      </c>
      <c r="AA803" s="27" t="inlineStr">
        <is>
          <t>Qualified</t>
        </is>
      </c>
      <c r="AB803" s="27" t="inlineStr"/>
      <c r="AC803" s="28">
        <f>IF(A803="","",IF(COUNTIF($H$5:$H$1004,H803)&gt;1,"DUPLICATE","UNIQUE"))</f>
        <v/>
      </c>
      <c r="AD803" s="28">
        <f>IF(A803="","",IF(AA803="Rejected",IF(AB803&lt;&gt;"","REJECTED","ADD REASON"),IF(AND(B803&lt;&gt;"",C803&lt;&gt;"",D803&lt;&gt;"",E803&lt;&gt;"",F803&lt;&gt;"",G803&lt;&gt;"",H803&lt;&gt;"",J803&lt;&gt;"",K803&lt;&gt;"",N803&lt;&gt;"",O803&lt;&gt;"",P803&lt;&gt;"",Q803&lt;&gt;"",R803&lt;&gt;"",S803&lt;&gt;"",T803&lt;&gt;"",V803&lt;&gt;"",W803&lt;&gt;"",X803&lt;&gt;"",Y803&lt;&gt;""),"COMPLETE","MISSING FIELDS")))</f>
        <v/>
      </c>
    </row>
    <row r="804" ht="15" customHeight="1" s="15">
      <c r="A804" s="27" t="inlineStr">
        <is>
          <t>LEAD-0800</t>
        </is>
      </c>
      <c r="B804" s="27" t="inlineStr">
        <is>
          <t>Tristan Oakley</t>
        </is>
      </c>
      <c r="C804" s="27" t="inlineStr">
        <is>
          <t>YouTuber</t>
        </is>
      </c>
      <c r="D804" s="27" t="inlineStr">
        <is>
          <t>CA</t>
        </is>
      </c>
      <c r="E804" s="27" t="inlineStr">
        <is>
          <t>English</t>
        </is>
      </c>
      <c r="F804" s="27" t="inlineStr">
        <is>
          <t>YouTube</t>
        </is>
      </c>
      <c r="G804" s="27" t="inlineStr">
        <is>
          <t>https://www.youtube.com/@tristanoakley</t>
        </is>
      </c>
      <c r="H804" s="27" t="inlineStr">
        <is>
          <t>UCCA00800420930</t>
        </is>
      </c>
      <c r="I804" s="27" t="inlineStr">
        <is>
          <t>620,000</t>
        </is>
      </c>
      <c r="J804" s="27" t="inlineStr">
        <is>
          <t>2026-10-10</t>
        </is>
      </c>
      <c r="K804" s="27" t="inlineStr">
        <is>
          <t>https://www.youtube.com/watch?v=ca00800</t>
        </is>
      </c>
      <c r="L804" s="27" t="n">
        <v>8</v>
      </c>
      <c r="M804" s="27" t="n">
        <v>24</v>
      </c>
      <c r="N804" s="27" t="inlineStr">
        <is>
          <t>Membership</t>
        </is>
      </c>
      <c r="O804" s="27" t="inlineStr">
        <is>
          <t>https://tristanoakley.com/community</t>
        </is>
      </c>
      <c r="P804" s="27" t="inlineStr">
        <is>
          <t>Shorts Repurposing Bottleneck</t>
        </is>
      </c>
      <c r="Q804" s="27" t="inlineStr">
        <is>
          <t>https://tristanoakley.com/highlights</t>
        </is>
      </c>
      <c r="R804" s="27" t="inlineStr">
        <is>
          <t>Email</t>
        </is>
      </c>
      <c r="S804" s="27" t="inlineStr">
        <is>
          <t>contact@tristanoakley.com</t>
        </is>
      </c>
      <c r="T804" s="27" t="inlineStr">
        <is>
          <t>https://tristanoakley.com/contact</t>
        </is>
      </c>
      <c r="U804" s="27" t="inlineStr">
        <is>
          <t>LinkedIn</t>
        </is>
      </c>
      <c r="V804" s="27" t="inlineStr">
        <is>
          <t>tech &amp; ai frameworks, specifically regarding episode 1 on Tech &amp; AI workflow optimization</t>
        </is>
      </c>
      <c r="W804" s="27" t="inlineStr">
        <is>
          <t>Hi Tristan,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04" s="27" t="inlineStr">
        <is>
          <t>2026-10-18</t>
        </is>
      </c>
      <c r="Y804" s="27" t="inlineStr">
        <is>
          <t>C</t>
        </is>
      </c>
      <c r="Z804" s="27" t="n">
        <v>84</v>
      </c>
      <c r="AA804" s="27" t="inlineStr">
        <is>
          <t>Qualified</t>
        </is>
      </c>
      <c r="AB804" s="27" t="inlineStr"/>
      <c r="AC804" s="28">
        <f>IF(A804="","",IF(COUNTIF($H$5:$H$1004,H804)&gt;1,"DUPLICATE","UNIQUE"))</f>
        <v/>
      </c>
      <c r="AD804" s="28">
        <f>IF(A804="","",IF(AA804="Rejected",IF(AB804&lt;&gt;"","REJECTED","ADD REASON"),IF(AND(B804&lt;&gt;"",C804&lt;&gt;"",D804&lt;&gt;"",E804&lt;&gt;"",F804&lt;&gt;"",G804&lt;&gt;"",H804&lt;&gt;"",J804&lt;&gt;"",K804&lt;&gt;"",N804&lt;&gt;"",O804&lt;&gt;"",P804&lt;&gt;"",Q804&lt;&gt;"",R804&lt;&gt;"",S804&lt;&gt;"",T804&lt;&gt;"",V804&lt;&gt;"",W804&lt;&gt;"",X804&lt;&gt;"",Y804&lt;&gt;""),"COMPLETE","MISSING FIELDS")))</f>
        <v/>
      </c>
    </row>
    <row r="805" ht="15" customHeight="1" s="15">
      <c r="A805" s="27" t="inlineStr">
        <is>
          <t>LEAD-0801</t>
        </is>
      </c>
      <c r="B805" s="27" t="inlineStr">
        <is>
          <t>Tristan Pemberton</t>
        </is>
      </c>
      <c r="C805" s="27" t="inlineStr">
        <is>
          <t>Podcaster</t>
        </is>
      </c>
      <c r="D805" s="27" t="inlineStr">
        <is>
          <t>CA</t>
        </is>
      </c>
      <c r="E805" s="27" t="inlineStr">
        <is>
          <t>English</t>
        </is>
      </c>
      <c r="F805" s="27" t="inlineStr">
        <is>
          <t>Apple Podcasts</t>
        </is>
      </c>
      <c r="G805" s="27" t="inlineStr">
        <is>
          <t>https://podcasts.apple.com/ca/podcast/tristanpemberton/id1000801</t>
        </is>
      </c>
      <c r="H805" s="27" t="inlineStr">
        <is>
          <t>AP-CA-1000801</t>
        </is>
      </c>
      <c r="I805" s="27" t="inlineStr">
        <is>
          <t>24,000</t>
        </is>
      </c>
      <c r="J805" s="27" t="inlineStr">
        <is>
          <t>2026-10-11</t>
        </is>
      </c>
      <c r="K805" s="27" t="inlineStr">
        <is>
          <t>https://tristanpemberton.com/episodes/2</t>
        </is>
      </c>
      <c r="L805" s="27" t="n">
        <v>9</v>
      </c>
      <c r="M805" s="27" t="n">
        <v>25</v>
      </c>
      <c r="N805" s="27" t="inlineStr">
        <is>
          <t>Product</t>
        </is>
      </c>
      <c r="O805" s="27" t="inlineStr">
        <is>
          <t>https://tristanpemberton.com/shop</t>
        </is>
      </c>
      <c r="P805" s="27" t="inlineStr">
        <is>
          <t>Missing Video Captions &amp; Retention Clips</t>
        </is>
      </c>
      <c r="Q805" s="27" t="inlineStr">
        <is>
          <t>https://tristanpemberton.com/highlights</t>
        </is>
      </c>
      <c r="R805" s="27" t="inlineStr">
        <is>
          <t>LinkedIn</t>
        </is>
      </c>
      <c r="S805" s="27" t="inlineStr">
        <is>
          <t>https://linkedin.com/in/tristanpemberton</t>
        </is>
      </c>
      <c r="T805" s="27" t="inlineStr">
        <is>
          <t>https://tristanpemberton.com/about</t>
        </is>
      </c>
      <c r="U805" s="27" t="inlineStr">
        <is>
          <t>Email</t>
        </is>
      </c>
      <c r="V805" s="27" t="inlineStr">
        <is>
          <t>saas &amp; product growth frameworks, specifically regarding episode 2 on SaaS &amp; Product Growth workflow optimization</t>
        </is>
      </c>
      <c r="W805" s="27" t="inlineStr">
        <is>
          <t>Hi Tristan, loved your recent piece on 'saas &amp; product growth frameworks, specifically regarding episode 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05" s="27" t="inlineStr">
        <is>
          <t>2026-10-18</t>
        </is>
      </c>
      <c r="Y805" s="27" t="inlineStr">
        <is>
          <t>C</t>
        </is>
      </c>
      <c r="Z805" s="27" t="n">
        <v>83.90000000000001</v>
      </c>
      <c r="AA805" s="27" t="inlineStr">
        <is>
          <t>Qualified</t>
        </is>
      </c>
      <c r="AB805" s="27" t="inlineStr"/>
      <c r="AC805" s="28">
        <f>IF(A805="","",IF(COUNTIF($H$5:$H$1004,H805)&gt;1,"DUPLICATE","UNIQUE"))</f>
        <v/>
      </c>
      <c r="AD805" s="28">
        <f>IF(A805="","",IF(AA805="Rejected",IF(AB805&lt;&gt;"","REJECTED","ADD REASON"),IF(AND(B805&lt;&gt;"",C805&lt;&gt;"",D805&lt;&gt;"",E805&lt;&gt;"",F805&lt;&gt;"",G805&lt;&gt;"",H805&lt;&gt;"",J805&lt;&gt;"",K805&lt;&gt;"",N805&lt;&gt;"",O805&lt;&gt;"",P805&lt;&gt;"",Q805&lt;&gt;"",R805&lt;&gt;"",S805&lt;&gt;"",T805&lt;&gt;"",V805&lt;&gt;"",W805&lt;&gt;"",X805&lt;&gt;"",Y805&lt;&gt;""),"COMPLETE","MISSING FIELDS")))</f>
        <v/>
      </c>
    </row>
    <row r="806" ht="15" customHeight="1" s="15">
      <c r="A806" s="27" t="inlineStr">
        <is>
          <t>LEAD-0802</t>
        </is>
      </c>
      <c r="B806" s="27" t="inlineStr">
        <is>
          <t>Tristan Quatermain</t>
        </is>
      </c>
      <c r="C806" s="27" t="inlineStr">
        <is>
          <t>Expert-Led Creator</t>
        </is>
      </c>
      <c r="D806" s="27" t="inlineStr">
        <is>
          <t>CA</t>
        </is>
      </c>
      <c r="E806" s="27" t="inlineStr">
        <is>
          <t>English</t>
        </is>
      </c>
      <c r="F806" s="27" t="inlineStr">
        <is>
          <t>YouTube</t>
        </is>
      </c>
      <c r="G806" s="27" t="inlineStr">
        <is>
          <t>https://www.youtube.com/@tristanquatermain</t>
        </is>
      </c>
      <c r="H806" s="27" t="inlineStr">
        <is>
          <t>UCCA00802464941</t>
        </is>
      </c>
      <c r="I806" s="27" t="inlineStr">
        <is>
          <t>660,000</t>
        </is>
      </c>
      <c r="J806" s="27" t="inlineStr">
        <is>
          <t>2026-10-12</t>
        </is>
      </c>
      <c r="K806" s="27" t="inlineStr">
        <is>
          <t>https://www.youtube.com/watch?v=ca00802</t>
        </is>
      </c>
      <c r="L806" s="27" t="n">
        <v>10</v>
      </c>
      <c r="M806" s="27" t="n">
        <v>26</v>
      </c>
      <c r="N806" s="27" t="inlineStr">
        <is>
          <t>Consulting</t>
        </is>
      </c>
      <c r="O806" s="27" t="inlineStr">
        <is>
          <t>https://tristanquatermain.com/advisory</t>
        </is>
      </c>
      <c r="P806" s="27" t="inlineStr">
        <is>
          <t>Editing Backlog &amp; Team Workflow Overhead</t>
        </is>
      </c>
      <c r="Q806" s="27" t="inlineStr">
        <is>
          <t>https://tristanquatermain.com/highlights</t>
        </is>
      </c>
      <c r="R806" s="27" t="inlineStr">
        <is>
          <t>X (Twitter)</t>
        </is>
      </c>
      <c r="S806" s="27" t="inlineStr">
        <is>
          <t>https://x.com/tristanquatermain</t>
        </is>
      </c>
      <c r="T806" s="27" t="inlineStr">
        <is>
          <t>https://tristanquatermain.com/links</t>
        </is>
      </c>
      <c r="U806" s="27" t="inlineStr">
        <is>
          <t>LinkedIn</t>
        </is>
      </c>
      <c r="V806" s="27" t="inlineStr">
        <is>
          <t>creator business &amp; monetization frameworks, specifically regarding episode 3 on Creator Business &amp; Monetization workflow optimization</t>
        </is>
      </c>
      <c r="W806" s="27" t="inlineStr">
        <is>
          <t>Hi Tristan, loved your recent piece on 'creator business &amp; monetization frameworks, specifically regarding episode 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06" s="27" t="inlineStr">
        <is>
          <t>2026-10-18</t>
        </is>
      </c>
      <c r="Y806" s="27" t="inlineStr">
        <is>
          <t>C</t>
        </is>
      </c>
      <c r="Z806" s="27" t="n">
        <v>83.90000000000001</v>
      </c>
      <c r="AA806" s="27" t="inlineStr">
        <is>
          <t>Qualified</t>
        </is>
      </c>
      <c r="AB806" s="27" t="inlineStr"/>
      <c r="AC806" s="28">
        <f>IF(A806="","",IF(COUNTIF($H$5:$H$1004,H806)&gt;1,"DUPLICATE","UNIQUE"))</f>
        <v/>
      </c>
      <c r="AD806" s="28">
        <f>IF(A806="","",IF(AA806="Rejected",IF(AB806&lt;&gt;"","REJECTED","ADD REASON"),IF(AND(B806&lt;&gt;"",C806&lt;&gt;"",D806&lt;&gt;"",E806&lt;&gt;"",F806&lt;&gt;"",G806&lt;&gt;"",H806&lt;&gt;"",J806&lt;&gt;"",K806&lt;&gt;"",N806&lt;&gt;"",O806&lt;&gt;"",P806&lt;&gt;"",Q806&lt;&gt;"",R806&lt;&gt;"",S806&lt;&gt;"",T806&lt;&gt;"",V806&lt;&gt;"",W806&lt;&gt;"",X806&lt;&gt;"",Y806&lt;&gt;""),"COMPLETE","MISSING FIELDS")))</f>
        <v/>
      </c>
    </row>
    <row r="807" ht="15" customHeight="1" s="15">
      <c r="A807" s="27" t="inlineStr">
        <is>
          <t>LEAD-0803</t>
        </is>
      </c>
      <c r="B807" s="27" t="inlineStr">
        <is>
          <t>Tristan Radcliffe</t>
        </is>
      </c>
      <c r="C807" s="27" t="inlineStr">
        <is>
          <t>YouTuber</t>
        </is>
      </c>
      <c r="D807" s="27" t="inlineStr">
        <is>
          <t>CA</t>
        </is>
      </c>
      <c r="E807" s="27" t="inlineStr">
        <is>
          <t>English</t>
        </is>
      </c>
      <c r="F807" s="27" t="inlineStr">
        <is>
          <t>YouTube</t>
        </is>
      </c>
      <c r="G807" s="27" t="inlineStr">
        <is>
          <t>https://www.youtube.com/@tristanradcliffe</t>
        </is>
      </c>
      <c r="H807" s="27" t="inlineStr">
        <is>
          <t>UCCA00803366018</t>
        </is>
      </c>
      <c r="I807" s="27" t="inlineStr">
        <is>
          <t>680,000</t>
        </is>
      </c>
      <c r="J807" s="27" t="inlineStr">
        <is>
          <t>2026-10-13</t>
        </is>
      </c>
      <c r="K807" s="27" t="inlineStr">
        <is>
          <t>https://www.youtube.com/watch?v=ca00803</t>
        </is>
      </c>
      <c r="L807" s="27" t="n">
        <v>11</v>
      </c>
      <c r="M807" s="27" t="n">
        <v>27</v>
      </c>
      <c r="N807" s="27" t="inlineStr">
        <is>
          <t>Newsletter Subscription</t>
        </is>
      </c>
      <c r="O807" s="27" t="inlineStr">
        <is>
          <t>https://tristanradcliffe.com/subscribe</t>
        </is>
      </c>
      <c r="P807" s="27" t="inlineStr">
        <is>
          <t>Shorts Repurposing Bottleneck</t>
        </is>
      </c>
      <c r="Q807" s="27" t="inlineStr">
        <is>
          <t>https://tristanradcliffe.com/highlights</t>
        </is>
      </c>
      <c r="R807" s="27" t="inlineStr">
        <is>
          <t>Email</t>
        </is>
      </c>
      <c r="S807" s="27" t="inlineStr">
        <is>
          <t>hello@tristanradcliffe.com</t>
        </is>
      </c>
      <c r="T807" s="27" t="inlineStr">
        <is>
          <t>https://tristanradcliffe.com/work-with-me</t>
        </is>
      </c>
      <c r="U807" s="27" t="inlineStr">
        <is>
          <t>LinkedIn</t>
        </is>
      </c>
      <c r="V807" s="27" t="inlineStr">
        <is>
          <t>productivity &amp; personal systems frameworks, specifically regarding episode 4 on Productivity &amp; Personal Systems workflow optimization</t>
        </is>
      </c>
      <c r="W807" s="27" t="inlineStr">
        <is>
          <t>Hi Tristan, loved your recent piece on 'productivity &amp; personal systems frameworks, specifically regarding episode 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07" s="27" t="inlineStr">
        <is>
          <t>2026-10-18</t>
        </is>
      </c>
      <c r="Y807" s="27" t="inlineStr">
        <is>
          <t>C</t>
        </is>
      </c>
      <c r="Z807" s="27" t="n">
        <v>83.8</v>
      </c>
      <c r="AA807" s="27" t="inlineStr">
        <is>
          <t>Qualified</t>
        </is>
      </c>
      <c r="AB807" s="27" t="inlineStr"/>
      <c r="AC807" s="28">
        <f>IF(A807="","",IF(COUNTIF($H$5:$H$1004,H807)&gt;1,"DUPLICATE","UNIQUE"))</f>
        <v/>
      </c>
      <c r="AD807" s="28">
        <f>IF(A807="","",IF(AA807="Rejected",IF(AB807&lt;&gt;"","REJECTED","ADD REASON"),IF(AND(B807&lt;&gt;"",C807&lt;&gt;"",D807&lt;&gt;"",E807&lt;&gt;"",F807&lt;&gt;"",G807&lt;&gt;"",H807&lt;&gt;"",J807&lt;&gt;"",K807&lt;&gt;"",N807&lt;&gt;"",O807&lt;&gt;"",P807&lt;&gt;"",Q807&lt;&gt;"",R807&lt;&gt;"",S807&lt;&gt;"",T807&lt;&gt;"",V807&lt;&gt;"",W807&lt;&gt;"",X807&lt;&gt;"",Y807&lt;&gt;""),"COMPLETE","MISSING FIELDS")))</f>
        <v/>
      </c>
    </row>
    <row r="808" ht="15" customHeight="1" s="15">
      <c r="A808" s="27" t="inlineStr">
        <is>
          <t>LEAD-0804</t>
        </is>
      </c>
      <c r="B808" s="27" t="inlineStr">
        <is>
          <t>Tristan Stanhope</t>
        </is>
      </c>
      <c r="C808" s="27" t="inlineStr">
        <is>
          <t>Podcaster</t>
        </is>
      </c>
      <c r="D808" s="27" t="inlineStr">
        <is>
          <t>CA</t>
        </is>
      </c>
      <c r="E808" s="27" t="inlineStr">
        <is>
          <t>English</t>
        </is>
      </c>
      <c r="F808" s="27" t="inlineStr">
        <is>
          <t>Apple Podcasts</t>
        </is>
      </c>
      <c r="G808" s="27" t="inlineStr">
        <is>
          <t>https://podcasts.apple.com/ca/podcast/tristanstanhope/id1000804</t>
        </is>
      </c>
      <c r="H808" s="27" t="inlineStr">
        <is>
          <t>AP-CA-1000804</t>
        </is>
      </c>
      <c r="I808" s="27" t="inlineStr">
        <is>
          <t>60,000</t>
        </is>
      </c>
      <c r="J808" s="27" t="inlineStr">
        <is>
          <t>2026-10-14</t>
        </is>
      </c>
      <c r="K808" s="27" t="inlineStr">
        <is>
          <t>https://tristanstanhope.com/episodes/5</t>
        </is>
      </c>
      <c r="L808" s="27" t="n">
        <v>12</v>
      </c>
      <c r="M808" s="27" t="n">
        <v>28</v>
      </c>
      <c r="N808" s="27" t="inlineStr">
        <is>
          <t>Affiliate</t>
        </is>
      </c>
      <c r="O808" s="27" t="inlineStr">
        <is>
          <t>https://tristanstanhope.com/resources</t>
        </is>
      </c>
      <c r="P808" s="27" t="inlineStr">
        <is>
          <t>Inconsistent Cross-Platform Publishing</t>
        </is>
      </c>
      <c r="Q808" s="27" t="inlineStr">
        <is>
          <t>https://tristanstanhope.com/highlights</t>
        </is>
      </c>
      <c r="R808" s="27" t="inlineStr">
        <is>
          <t>Email</t>
        </is>
      </c>
      <c r="S808" s="27" t="inlineStr">
        <is>
          <t>contact@tristanstanhope.com</t>
        </is>
      </c>
      <c r="T808" s="27" t="inlineStr">
        <is>
          <t>https://tristanstanhope.com/contact</t>
        </is>
      </c>
      <c r="U808" s="27" t="inlineStr">
        <is>
          <t>LinkedIn</t>
        </is>
      </c>
      <c r="V808" s="27" t="inlineStr">
        <is>
          <t>leadership &amp; team ops frameworks, specifically regarding episode 5 on Leadership &amp; Team Ops workflow optimization</t>
        </is>
      </c>
      <c r="W808" s="27" t="inlineStr">
        <is>
          <t>Hi Tristan, loved your recent piece on 'leadership &amp; team ops frameworks, specifically regarding episode 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08" s="27" t="inlineStr">
        <is>
          <t>2026-10-18</t>
        </is>
      </c>
      <c r="Y808" s="27" t="inlineStr">
        <is>
          <t>C</t>
        </is>
      </c>
      <c r="Z808" s="27" t="n">
        <v>83.8</v>
      </c>
      <c r="AA808" s="27" t="inlineStr">
        <is>
          <t>Qualified</t>
        </is>
      </c>
      <c r="AB808" s="27" t="inlineStr"/>
      <c r="AC808" s="28">
        <f>IF(A808="","",IF(COUNTIF($H$5:$H$1004,H808)&gt;1,"DUPLICATE","UNIQUE"))</f>
        <v/>
      </c>
      <c r="AD808" s="28">
        <f>IF(A808="","",IF(AA808="Rejected",IF(AB808&lt;&gt;"","REJECTED","ADD REASON"),IF(AND(B808&lt;&gt;"",C808&lt;&gt;"",D808&lt;&gt;"",E808&lt;&gt;"",F808&lt;&gt;"",G808&lt;&gt;"",H808&lt;&gt;"",J808&lt;&gt;"",K808&lt;&gt;"",N808&lt;&gt;"",O808&lt;&gt;"",P808&lt;&gt;"",Q808&lt;&gt;"",R808&lt;&gt;"",S808&lt;&gt;"",T808&lt;&gt;"",V808&lt;&gt;"",W808&lt;&gt;"",X808&lt;&gt;"",Y808&lt;&gt;""),"COMPLETE","MISSING FIELDS")))</f>
        <v/>
      </c>
    </row>
    <row r="809" ht="15" customHeight="1" s="15">
      <c r="A809" s="27" t="inlineStr">
        <is>
          <t>LEAD-0805</t>
        </is>
      </c>
      <c r="B809" s="27" t="inlineStr">
        <is>
          <t>Tristan Thackery</t>
        </is>
      </c>
      <c r="C809" s="27" t="inlineStr">
        <is>
          <t>Expert-Led Creator</t>
        </is>
      </c>
      <c r="D809" s="27" t="inlineStr">
        <is>
          <t>CA</t>
        </is>
      </c>
      <c r="E809" s="27" t="inlineStr">
        <is>
          <t>English</t>
        </is>
      </c>
      <c r="F809" s="27" t="inlineStr">
        <is>
          <t>LinkedIn</t>
        </is>
      </c>
      <c r="G809" s="27" t="inlineStr">
        <is>
          <t>https://www.linkedin.com/in/tristanthackery</t>
        </is>
      </c>
      <c r="H809" s="27" t="inlineStr">
        <is>
          <t>LI-tristanthackery-0805</t>
        </is>
      </c>
      <c r="I809" s="27" t="inlineStr">
        <is>
          <t>156,000</t>
        </is>
      </c>
      <c r="J809" s="27" t="inlineStr">
        <is>
          <t>2026-10-15</t>
        </is>
      </c>
      <c r="K809" s="27" t="inlineStr">
        <is>
          <t>https://tristanthackery.com/posts/56</t>
        </is>
      </c>
      <c r="L809" s="27" t="n">
        <v>13</v>
      </c>
      <c r="M809" s="27" t="n">
        <v>29</v>
      </c>
      <c r="N809" s="27" t="inlineStr">
        <is>
          <t>Course</t>
        </is>
      </c>
      <c r="O809" s="27" t="inlineStr">
        <is>
          <t>https://tristanthackery.com/academy</t>
        </is>
      </c>
      <c r="P809" s="27" t="inlineStr">
        <is>
          <t>Editing Backlog &amp; Team Workflow Overhead</t>
        </is>
      </c>
      <c r="Q809" s="27" t="inlineStr">
        <is>
          <t>https://tristanthackery.com/highlights</t>
        </is>
      </c>
      <c r="R809" s="27" t="inlineStr">
        <is>
          <t>LinkedIn</t>
        </is>
      </c>
      <c r="S809" s="27" t="inlineStr">
        <is>
          <t>https://linkedin.com/in/tristanthackery</t>
        </is>
      </c>
      <c r="T809" s="27" t="inlineStr">
        <is>
          <t>https://tristanthackery.com/about</t>
        </is>
      </c>
      <c r="U809" s="27" t="inlineStr">
        <is>
          <t>Email</t>
        </is>
      </c>
      <c r="V809" s="27" t="inlineStr">
        <is>
          <t>b2b marketing &amp; sales frameworks, specifically regarding episode 6 on B2B Marketing &amp; Sales workflow optimization</t>
        </is>
      </c>
      <c r="W809" s="27" t="inlineStr">
        <is>
          <t>Hi Tristan, loved your recent piece on 'b2b marketing &amp; sales frameworks, specifically regarding episode 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09" s="27" t="inlineStr">
        <is>
          <t>2026-10-18</t>
        </is>
      </c>
      <c r="Y809" s="27" t="inlineStr">
        <is>
          <t>C</t>
        </is>
      </c>
      <c r="Z809" s="27" t="n">
        <v>83.7</v>
      </c>
      <c r="AA809" s="27" t="inlineStr">
        <is>
          <t>Qualified</t>
        </is>
      </c>
      <c r="AB809" s="27" t="inlineStr"/>
      <c r="AC809" s="28">
        <f>IF(A809="","",IF(COUNTIF($H$5:$H$1004,H809)&gt;1,"DUPLICATE","UNIQUE"))</f>
        <v/>
      </c>
      <c r="AD809" s="28">
        <f>IF(A809="","",IF(AA809="Rejected",IF(AB809&lt;&gt;"","REJECTED","ADD REASON"),IF(AND(B809&lt;&gt;"",C809&lt;&gt;"",D809&lt;&gt;"",E809&lt;&gt;"",F809&lt;&gt;"",G809&lt;&gt;"",H809&lt;&gt;"",J809&lt;&gt;"",K809&lt;&gt;"",N809&lt;&gt;"",O809&lt;&gt;"",P809&lt;&gt;"",Q809&lt;&gt;"",R809&lt;&gt;"",S809&lt;&gt;"",T809&lt;&gt;"",V809&lt;&gt;"",W809&lt;&gt;"",X809&lt;&gt;"",Y809&lt;&gt;""),"COMPLETE","MISSING FIELDS")))</f>
        <v/>
      </c>
    </row>
    <row r="810" ht="15" customHeight="1" s="15">
      <c r="A810" s="27" t="inlineStr">
        <is>
          <t>LEAD-0806</t>
        </is>
      </c>
      <c r="B810" s="27" t="inlineStr">
        <is>
          <t>Tristan Underwood</t>
        </is>
      </c>
      <c r="C810" s="27" t="inlineStr">
        <is>
          <t>YouTuber</t>
        </is>
      </c>
      <c r="D810" s="27" t="inlineStr">
        <is>
          <t>CA</t>
        </is>
      </c>
      <c r="E810" s="27" t="inlineStr">
        <is>
          <t>English</t>
        </is>
      </c>
      <c r="F810" s="27" t="inlineStr">
        <is>
          <t>YouTube</t>
        </is>
      </c>
      <c r="G810" s="27" t="inlineStr">
        <is>
          <t>https://www.youtube.com/@tristanunderwood</t>
        </is>
      </c>
      <c r="H810" s="27" t="inlineStr">
        <is>
          <t>UCCA00806347863</t>
        </is>
      </c>
      <c r="I810" s="27" t="inlineStr">
        <is>
          <t>40,000</t>
        </is>
      </c>
      <c r="J810" s="27" t="inlineStr">
        <is>
          <t>2026-10-16</t>
        </is>
      </c>
      <c r="K810" s="27" t="inlineStr">
        <is>
          <t>https://www.youtube.com/watch?v=ca00806</t>
        </is>
      </c>
      <c r="L810" s="27" t="n">
        <v>14</v>
      </c>
      <c r="M810" s="27" t="n">
        <v>30</v>
      </c>
      <c r="N810" s="27" t="inlineStr">
        <is>
          <t>Sponsor</t>
        </is>
      </c>
      <c r="O810" s="27" t="inlineStr">
        <is>
          <t>https://tristanunderwood.com/partners</t>
        </is>
      </c>
      <c r="P810" s="27" t="inlineStr">
        <is>
          <t>Multilingual Audio Dubbing</t>
        </is>
      </c>
      <c r="Q810" s="27" t="inlineStr">
        <is>
          <t>https://tristanunderwood.com/highlights</t>
        </is>
      </c>
      <c r="R810" s="27" t="inlineStr">
        <is>
          <t>X (Twitter)</t>
        </is>
      </c>
      <c r="S810" s="27" t="inlineStr">
        <is>
          <t>https://x.com/tristanunderwood</t>
        </is>
      </c>
      <c r="T810" s="27" t="inlineStr">
        <is>
          <t>https://tristanunderwood.com/links</t>
        </is>
      </c>
      <c r="U810" s="27" t="inlineStr">
        <is>
          <t>LinkedIn</t>
        </is>
      </c>
      <c r="V810" s="27" t="inlineStr">
        <is>
          <t>finance &amp; wealth engineering frameworks, specifically regarding episode 7 on Finance &amp; Wealth Engineering workflow optimization</t>
        </is>
      </c>
      <c r="W810" s="27" t="inlineStr">
        <is>
          <t>Hi Tristan, loved your recent piece on 'finance &amp; wealth engineering frameworks, specifically regarding episode 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10" s="27" t="inlineStr">
        <is>
          <t>2026-10-18</t>
        </is>
      </c>
      <c r="Y810" s="27" t="inlineStr">
        <is>
          <t>C</t>
        </is>
      </c>
      <c r="Z810" s="27" t="n">
        <v>83.59999999999999</v>
      </c>
      <c r="AA810" s="27" t="inlineStr">
        <is>
          <t>Qualified</t>
        </is>
      </c>
      <c r="AB810" s="27" t="inlineStr"/>
      <c r="AC810" s="28">
        <f>IF(A810="","",IF(COUNTIF($H$5:$H$1004,H810)&gt;1,"DUPLICATE","UNIQUE"))</f>
        <v/>
      </c>
      <c r="AD810" s="28">
        <f>IF(A810="","",IF(AA810="Rejected",IF(AB810&lt;&gt;"","REJECTED","ADD REASON"),IF(AND(B810&lt;&gt;"",C810&lt;&gt;"",D810&lt;&gt;"",E810&lt;&gt;"",F810&lt;&gt;"",G810&lt;&gt;"",H810&lt;&gt;"",J810&lt;&gt;"",K810&lt;&gt;"",N810&lt;&gt;"",O810&lt;&gt;"",P810&lt;&gt;"",Q810&lt;&gt;"",R810&lt;&gt;"",S810&lt;&gt;"",T810&lt;&gt;"",V810&lt;&gt;"",W810&lt;&gt;"",X810&lt;&gt;"",Y810&lt;&gt;""),"COMPLETE","MISSING FIELDS")))</f>
        <v/>
      </c>
    </row>
    <row r="811" ht="15" customHeight="1" s="15">
      <c r="A811" s="27" t="inlineStr">
        <is>
          <t>LEAD-0807</t>
        </is>
      </c>
      <c r="B811" s="27" t="inlineStr">
        <is>
          <t>Tristan Vanguard</t>
        </is>
      </c>
      <c r="C811" s="27" t="inlineStr">
        <is>
          <t>Podcaster</t>
        </is>
      </c>
      <c r="D811" s="27" t="inlineStr">
        <is>
          <t>CA</t>
        </is>
      </c>
      <c r="E811" s="27" t="inlineStr">
        <is>
          <t>English</t>
        </is>
      </c>
      <c r="F811" s="27" t="inlineStr">
        <is>
          <t>Apple Podcasts</t>
        </is>
      </c>
      <c r="G811" s="27" t="inlineStr">
        <is>
          <t>https://podcasts.apple.com/ca/podcast/tristanvanguard/id1000807</t>
        </is>
      </c>
      <c r="H811" s="27" t="inlineStr">
        <is>
          <t>AP-CA-1000807</t>
        </is>
      </c>
      <c r="I811" s="27" t="inlineStr">
        <is>
          <t>96,000</t>
        </is>
      </c>
      <c r="J811" s="27" t="inlineStr">
        <is>
          <t>2026-10-17</t>
        </is>
      </c>
      <c r="K811" s="27" t="inlineStr">
        <is>
          <t>https://tristanvanguard.com/episodes/8</t>
        </is>
      </c>
      <c r="L811" s="27" t="n">
        <v>15</v>
      </c>
      <c r="M811" s="27" t="n">
        <v>31</v>
      </c>
      <c r="N811" s="27" t="inlineStr">
        <is>
          <t>Membership</t>
        </is>
      </c>
      <c r="O811" s="27" t="inlineStr">
        <is>
          <t>https://tristanvanguard.com/community</t>
        </is>
      </c>
      <c r="P811" s="27" t="inlineStr">
        <is>
          <t>Multilingual Audio Dubbing</t>
        </is>
      </c>
      <c r="Q811" s="27" t="inlineStr">
        <is>
          <t>https://tristanvanguard.com/highlights</t>
        </is>
      </c>
      <c r="R811" s="27" t="inlineStr">
        <is>
          <t>Email</t>
        </is>
      </c>
      <c r="S811" s="27" t="inlineStr">
        <is>
          <t>hello@tristanvanguard.com</t>
        </is>
      </c>
      <c r="T811" s="27" t="inlineStr">
        <is>
          <t>https://tristanvanguard.com/work-with-me</t>
        </is>
      </c>
      <c r="U811" s="27" t="inlineStr">
        <is>
          <t>LinkedIn</t>
        </is>
      </c>
      <c r="V811" s="27" t="inlineStr">
        <is>
          <t>health &amp; longevity science frameworks, specifically regarding episode 8 on Health &amp; Longevity Science workflow optimization</t>
        </is>
      </c>
      <c r="W811" s="27" t="inlineStr">
        <is>
          <t>Hi Tristan, loved your recent piece on 'health &amp; longevity science frameworks, specifically regarding episode 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11" s="27" t="inlineStr">
        <is>
          <t>2026-10-18</t>
        </is>
      </c>
      <c r="Y811" s="27" t="inlineStr">
        <is>
          <t>C</t>
        </is>
      </c>
      <c r="Z811" s="27" t="n">
        <v>83.59999999999999</v>
      </c>
      <c r="AA811" s="27" t="inlineStr">
        <is>
          <t>Qualified</t>
        </is>
      </c>
      <c r="AB811" s="27" t="inlineStr"/>
      <c r="AC811" s="28">
        <f>IF(A811="","",IF(COUNTIF($H$5:$H$1004,H811)&gt;1,"DUPLICATE","UNIQUE"))</f>
        <v/>
      </c>
      <c r="AD811" s="28">
        <f>IF(A811="","",IF(AA811="Rejected",IF(AB811&lt;&gt;"","REJECTED","ADD REASON"),IF(AND(B811&lt;&gt;"",C811&lt;&gt;"",D811&lt;&gt;"",E811&lt;&gt;"",F811&lt;&gt;"",G811&lt;&gt;"",H811&lt;&gt;"",J811&lt;&gt;"",K811&lt;&gt;"",N811&lt;&gt;"",O811&lt;&gt;"",P811&lt;&gt;"",Q811&lt;&gt;"",R811&lt;&gt;"",S811&lt;&gt;"",T811&lt;&gt;"",V811&lt;&gt;"",W811&lt;&gt;"",X811&lt;&gt;"",Y811&lt;&gt;""),"COMPLETE","MISSING FIELDS")))</f>
        <v/>
      </c>
    </row>
    <row r="812" ht="15" customHeight="1" s="15">
      <c r="A812" s="27" t="inlineStr">
        <is>
          <t>LEAD-0808</t>
        </is>
      </c>
      <c r="B812" s="27" t="inlineStr">
        <is>
          <t>Tristan Waverly</t>
        </is>
      </c>
      <c r="C812" s="27" t="inlineStr">
        <is>
          <t>YouTuber</t>
        </is>
      </c>
      <c r="D812" s="27" t="inlineStr">
        <is>
          <t>CA</t>
        </is>
      </c>
      <c r="E812" s="27" t="inlineStr">
        <is>
          <t>English</t>
        </is>
      </c>
      <c r="F812" s="27" t="inlineStr">
        <is>
          <t>YouTube</t>
        </is>
      </c>
      <c r="G812" s="27" t="inlineStr">
        <is>
          <t>https://www.youtube.com/@tristanwaverly</t>
        </is>
      </c>
      <c r="H812" s="27" t="inlineStr">
        <is>
          <t>UCCA00808472480</t>
        </is>
      </c>
      <c r="I812" s="27" t="inlineStr">
        <is>
          <t>80,000</t>
        </is>
      </c>
      <c r="J812" s="27" t="inlineStr">
        <is>
          <t>2026-10-10</t>
        </is>
      </c>
      <c r="K812" s="27" t="inlineStr">
        <is>
          <t>https://www.youtube.com/watch?v=ca00808</t>
        </is>
      </c>
      <c r="L812" s="27" t="n">
        <v>16</v>
      </c>
      <c r="M812" s="27" t="n">
        <v>32</v>
      </c>
      <c r="N812" s="27" t="inlineStr">
        <is>
          <t>Product</t>
        </is>
      </c>
      <c r="O812" s="27" t="inlineStr">
        <is>
          <t>https://tristanwaverly.com/shop</t>
        </is>
      </c>
      <c r="P812" s="27" t="inlineStr">
        <is>
          <t>Missing Video Captions &amp; Retention Clips</t>
        </is>
      </c>
      <c r="Q812" s="27" t="inlineStr">
        <is>
          <t>https://tristanwaverly.com/highlights</t>
        </is>
      </c>
      <c r="R812" s="27" t="inlineStr">
        <is>
          <t>Email</t>
        </is>
      </c>
      <c r="S812" s="27" t="inlineStr">
        <is>
          <t>contact@tristanwaverly.com</t>
        </is>
      </c>
      <c r="T812" s="27" t="inlineStr">
        <is>
          <t>https://tristanwaverly.com/contact</t>
        </is>
      </c>
      <c r="U812" s="27" t="inlineStr">
        <is>
          <t>LinkedIn</t>
        </is>
      </c>
      <c r="V812" s="27" t="inlineStr">
        <is>
          <t>education &amp; applied coding frameworks, specifically regarding episode 9 on Education &amp; Applied Coding workflow optimization</t>
        </is>
      </c>
      <c r="W812" s="27" t="inlineStr">
        <is>
          <t>Hi Tristan, loved your recent piece on 'education &amp; applied coding frameworks, specifically regarding episode 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12" s="27" t="inlineStr">
        <is>
          <t>2026-10-18</t>
        </is>
      </c>
      <c r="Y812" s="27" t="inlineStr">
        <is>
          <t>C</t>
        </is>
      </c>
      <c r="Z812" s="27" t="n">
        <v>83.5</v>
      </c>
      <c r="AA812" s="27" t="inlineStr">
        <is>
          <t>Qualified</t>
        </is>
      </c>
      <c r="AB812" s="27" t="inlineStr"/>
      <c r="AC812" s="28">
        <f>IF(A812="","",IF(COUNTIF($H$5:$H$1004,H812)&gt;1,"DUPLICATE","UNIQUE"))</f>
        <v/>
      </c>
      <c r="AD812" s="28">
        <f>IF(A812="","",IF(AA812="Rejected",IF(AB812&lt;&gt;"","REJECTED","ADD REASON"),IF(AND(B812&lt;&gt;"",C812&lt;&gt;"",D812&lt;&gt;"",E812&lt;&gt;"",F812&lt;&gt;"",G812&lt;&gt;"",H812&lt;&gt;"",J812&lt;&gt;"",K812&lt;&gt;"",N812&lt;&gt;"",O812&lt;&gt;"",P812&lt;&gt;"",Q812&lt;&gt;"",R812&lt;&gt;"",S812&lt;&gt;"",T812&lt;&gt;"",V812&lt;&gt;"",W812&lt;&gt;"",X812&lt;&gt;"",Y812&lt;&gt;""),"COMPLETE","MISSING FIELDS")))</f>
        <v/>
      </c>
    </row>
    <row r="813" ht="15" customHeight="1" s="15">
      <c r="A813" s="27" t="inlineStr">
        <is>
          <t>LEAD-0809</t>
        </is>
      </c>
      <c r="B813" s="27" t="inlineStr">
        <is>
          <t>Tristan Yardley</t>
        </is>
      </c>
      <c r="C813" s="27" t="inlineStr">
        <is>
          <t>Podcaster</t>
        </is>
      </c>
      <c r="D813" s="27" t="inlineStr">
        <is>
          <t>CA</t>
        </is>
      </c>
      <c r="E813" s="27" t="inlineStr">
        <is>
          <t>English</t>
        </is>
      </c>
      <c r="F813" s="27" t="inlineStr">
        <is>
          <t>Apple Podcasts</t>
        </is>
      </c>
      <c r="G813" s="27" t="inlineStr">
        <is>
          <t>https://podcasts.apple.com/ca/podcast/tristanyardley/id1000809</t>
        </is>
      </c>
      <c r="H813" s="27" t="inlineStr">
        <is>
          <t>AP-CA-1000809</t>
        </is>
      </c>
      <c r="I813" s="27" t="inlineStr">
        <is>
          <t>120,000</t>
        </is>
      </c>
      <c r="J813" s="27" t="inlineStr">
        <is>
          <t>2026-10-11</t>
        </is>
      </c>
      <c r="K813" s="27" t="inlineStr">
        <is>
          <t>https://tristanyardley.com/episodes/10</t>
        </is>
      </c>
      <c r="L813" s="27" t="n">
        <v>17</v>
      </c>
      <c r="M813" s="27" t="n">
        <v>33</v>
      </c>
      <c r="N813" s="27" t="inlineStr">
        <is>
          <t>Consulting</t>
        </is>
      </c>
      <c r="O813" s="27" t="inlineStr">
        <is>
          <t>https://tristanyardley.com/advisory</t>
        </is>
      </c>
      <c r="P813" s="27" t="inlineStr">
        <is>
          <t>Shorts Repurposing Bottleneck</t>
        </is>
      </c>
      <c r="Q813" s="27" t="inlineStr">
        <is>
          <t>https://tristanyardley.com/highlights</t>
        </is>
      </c>
      <c r="R813" s="27" t="inlineStr">
        <is>
          <t>LinkedIn</t>
        </is>
      </c>
      <c r="S813" s="27" t="inlineStr">
        <is>
          <t>https://linkedin.com/in/tristanyardley</t>
        </is>
      </c>
      <c r="T813" s="27" t="inlineStr">
        <is>
          <t>https://tristanyardley.com/about</t>
        </is>
      </c>
      <c r="U813" s="27" t="inlineStr">
        <is>
          <t>Email</t>
        </is>
      </c>
      <c r="V813" s="27" t="inlineStr">
        <is>
          <t>e-commerce &amp; digital brands frameworks, specifically regarding episode 10 on E-Commerce &amp; Digital Brands workflow optimization</t>
        </is>
      </c>
      <c r="W813" s="27" t="inlineStr">
        <is>
          <t>Hi Tristan, loved your recent piece on 'e-commerce &amp; digital brands frameworks, specifically regarding episode 10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13" s="27" t="inlineStr">
        <is>
          <t>2026-10-18</t>
        </is>
      </c>
      <c r="Y813" s="27" t="inlineStr">
        <is>
          <t>C</t>
        </is>
      </c>
      <c r="Z813" s="27" t="n">
        <v>83.5</v>
      </c>
      <c r="AA813" s="27" t="inlineStr">
        <is>
          <t>Qualified</t>
        </is>
      </c>
      <c r="AB813" s="27" t="inlineStr"/>
      <c r="AC813" s="28">
        <f>IF(A813="","",IF(COUNTIF($H$5:$H$1004,H813)&gt;1,"DUPLICATE","UNIQUE"))</f>
        <v/>
      </c>
      <c r="AD813" s="28">
        <f>IF(A813="","",IF(AA813="Rejected",IF(AB813&lt;&gt;"","REJECTED","ADD REASON"),IF(AND(B813&lt;&gt;"",C813&lt;&gt;"",D813&lt;&gt;"",E813&lt;&gt;"",F813&lt;&gt;"",G813&lt;&gt;"",H813&lt;&gt;"",J813&lt;&gt;"",K813&lt;&gt;"",N813&lt;&gt;"",O813&lt;&gt;"",P813&lt;&gt;"",Q813&lt;&gt;"",R813&lt;&gt;"",S813&lt;&gt;"",T813&lt;&gt;"",V813&lt;&gt;"",W813&lt;&gt;"",X813&lt;&gt;"",Y813&lt;&gt;""),"COMPLETE","MISSING FIELDS")))</f>
        <v/>
      </c>
    </row>
    <row r="814" ht="15" customHeight="1" s="15">
      <c r="A814" s="27" t="inlineStr">
        <is>
          <t>LEAD-0810</t>
        </is>
      </c>
      <c r="B814" s="27" t="inlineStr">
        <is>
          <t>Tristan Zimmerman</t>
        </is>
      </c>
      <c r="C814" s="27" t="inlineStr">
        <is>
          <t>YouTuber</t>
        </is>
      </c>
      <c r="D814" s="27" t="inlineStr">
        <is>
          <t>CA</t>
        </is>
      </c>
      <c r="E814" s="27" t="inlineStr">
        <is>
          <t>English</t>
        </is>
      </c>
      <c r="F814" s="27" t="inlineStr">
        <is>
          <t>YouTube</t>
        </is>
      </c>
      <c r="G814" s="27" t="inlineStr">
        <is>
          <t>https://www.youtube.com/@tristanzimmerman</t>
        </is>
      </c>
      <c r="H814" s="27" t="inlineStr">
        <is>
          <t>UCCA00810262275</t>
        </is>
      </c>
      <c r="I814" s="27" t="inlineStr">
        <is>
          <t>120,000</t>
        </is>
      </c>
      <c r="J814" s="27" t="inlineStr">
        <is>
          <t>2026-10-12</t>
        </is>
      </c>
      <c r="K814" s="27" t="inlineStr">
        <is>
          <t>https://www.youtube.com/watch?v=ca00810</t>
        </is>
      </c>
      <c r="L814" s="27" t="n">
        <v>8</v>
      </c>
      <c r="M814" s="27" t="n">
        <v>16</v>
      </c>
      <c r="N814" s="27" t="inlineStr">
        <is>
          <t>Newsletter Subscription</t>
        </is>
      </c>
      <c r="O814" s="27" t="inlineStr">
        <is>
          <t>https://tristanzimmerman.com/subscribe</t>
        </is>
      </c>
      <c r="P814" s="27" t="inlineStr">
        <is>
          <t>Shorts Repurposing Bottleneck</t>
        </is>
      </c>
      <c r="Q814" s="27" t="inlineStr">
        <is>
          <t>https://tristanzimmerman.com/highlights</t>
        </is>
      </c>
      <c r="R814" s="27" t="inlineStr">
        <is>
          <t>X (Twitter)</t>
        </is>
      </c>
      <c r="S814" s="27" t="inlineStr">
        <is>
          <t>https://x.com/tristanzimmerman</t>
        </is>
      </c>
      <c r="T814" s="27" t="inlineStr">
        <is>
          <t>https://tristanzimmerman.com/links</t>
        </is>
      </c>
      <c r="U814" s="27" t="inlineStr">
        <is>
          <t>LinkedIn</t>
        </is>
      </c>
      <c r="V814" s="27" t="inlineStr">
        <is>
          <t>tech &amp; ai frameworks, specifically regarding episode 11 on Tech &amp; AI workflow optimization</t>
        </is>
      </c>
      <c r="W814" s="27" t="inlineStr">
        <is>
          <t>Hi Tristan, loved your recent piece on 'tech &amp; ai frameworks, specifically regarding episode 11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14" s="27" t="inlineStr">
        <is>
          <t>2026-10-18</t>
        </is>
      </c>
      <c r="Y814" s="27" t="inlineStr">
        <is>
          <t>C</t>
        </is>
      </c>
      <c r="Z814" s="27" t="n">
        <v>83.40000000000001</v>
      </c>
      <c r="AA814" s="27" t="inlineStr">
        <is>
          <t>Qualified</t>
        </is>
      </c>
      <c r="AB814" s="27" t="inlineStr"/>
      <c r="AC814" s="28">
        <f>IF(A814="","",IF(COUNTIF($H$5:$H$1004,H814)&gt;1,"DUPLICATE","UNIQUE"))</f>
        <v/>
      </c>
      <c r="AD814" s="28">
        <f>IF(A814="","",IF(AA814="Rejected",IF(AB814&lt;&gt;"","REJECTED","ADD REASON"),IF(AND(B814&lt;&gt;"",C814&lt;&gt;"",D814&lt;&gt;"",E814&lt;&gt;"",F814&lt;&gt;"",G814&lt;&gt;"",H814&lt;&gt;"",J814&lt;&gt;"",K814&lt;&gt;"",N814&lt;&gt;"",O814&lt;&gt;"",P814&lt;&gt;"",Q814&lt;&gt;"",R814&lt;&gt;"",S814&lt;&gt;"",T814&lt;&gt;"",V814&lt;&gt;"",W814&lt;&gt;"",X814&lt;&gt;"",Y814&lt;&gt;""),"COMPLETE","MISSING FIELDS")))</f>
        <v/>
      </c>
    </row>
    <row r="815" ht="15" customHeight="1" s="15">
      <c r="A815" s="27" t="inlineStr">
        <is>
          <t>LEAD-0811</t>
        </is>
      </c>
      <c r="B815" s="27" t="inlineStr">
        <is>
          <t>Tristan Sterling</t>
        </is>
      </c>
      <c r="C815" s="27" t="inlineStr">
        <is>
          <t>Podcaster</t>
        </is>
      </c>
      <c r="D815" s="27" t="inlineStr">
        <is>
          <t>CA</t>
        </is>
      </c>
      <c r="E815" s="27" t="inlineStr">
        <is>
          <t>English</t>
        </is>
      </c>
      <c r="F815" s="27" t="inlineStr">
        <is>
          <t>Apple Podcasts</t>
        </is>
      </c>
      <c r="G815" s="27" t="inlineStr">
        <is>
          <t>https://podcasts.apple.com/ca/podcast/tristansterling/id1000811</t>
        </is>
      </c>
      <c r="H815" s="27" t="inlineStr">
        <is>
          <t>AP-CA-1000811</t>
        </is>
      </c>
      <c r="I815" s="27" t="inlineStr">
        <is>
          <t>144,000</t>
        </is>
      </c>
      <c r="J815" s="27" t="inlineStr">
        <is>
          <t>2026-10-13</t>
        </is>
      </c>
      <c r="K815" s="27" t="inlineStr">
        <is>
          <t>https://tristansterling.com/episodes/12</t>
        </is>
      </c>
      <c r="L815" s="27" t="n">
        <v>9</v>
      </c>
      <c r="M815" s="27" t="n">
        <v>17</v>
      </c>
      <c r="N815" s="27" t="inlineStr">
        <is>
          <t>Affiliate</t>
        </is>
      </c>
      <c r="O815" s="27" t="inlineStr">
        <is>
          <t>https://tristansterling.com/resources</t>
        </is>
      </c>
      <c r="P815" s="27" t="inlineStr">
        <is>
          <t>Missing Video Captions &amp; Retention Clips</t>
        </is>
      </c>
      <c r="Q815" s="27" t="inlineStr">
        <is>
          <t>https://tristansterling.com/highlights</t>
        </is>
      </c>
      <c r="R815" s="27" t="inlineStr">
        <is>
          <t>Email</t>
        </is>
      </c>
      <c r="S815" s="27" t="inlineStr">
        <is>
          <t>hello@tristansterling.com</t>
        </is>
      </c>
      <c r="T815" s="27" t="inlineStr">
        <is>
          <t>https://tristansterling.com/work-with-me</t>
        </is>
      </c>
      <c r="U815" s="27" t="inlineStr">
        <is>
          <t>LinkedIn</t>
        </is>
      </c>
      <c r="V815" s="27" t="inlineStr">
        <is>
          <t>saas &amp; product growth frameworks, specifically regarding episode 12 on SaaS &amp; Product Growth workflow optimization</t>
        </is>
      </c>
      <c r="W815" s="27" t="inlineStr">
        <is>
          <t>Hi Tristan, loved your recent piece on 'saas &amp; product growth frameworks, specifically regarding episode 12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15" s="27" t="inlineStr">
        <is>
          <t>2026-10-18</t>
        </is>
      </c>
      <c r="Y815" s="27" t="inlineStr">
        <is>
          <t>C</t>
        </is>
      </c>
      <c r="Z815" s="27" t="n">
        <v>83.3</v>
      </c>
      <c r="AA815" s="27" t="inlineStr">
        <is>
          <t>Qualified</t>
        </is>
      </c>
      <c r="AB815" s="27" t="inlineStr"/>
      <c r="AC815" s="28">
        <f>IF(A815="","",IF(COUNTIF($H$5:$H$1004,H815)&gt;1,"DUPLICATE","UNIQUE"))</f>
        <v/>
      </c>
      <c r="AD815" s="28">
        <f>IF(A815="","",IF(AA815="Rejected",IF(AB815&lt;&gt;"","REJECTED","ADD REASON"),IF(AND(B815&lt;&gt;"",C815&lt;&gt;"",D815&lt;&gt;"",E815&lt;&gt;"",F815&lt;&gt;"",G815&lt;&gt;"",H815&lt;&gt;"",J815&lt;&gt;"",K815&lt;&gt;"",N815&lt;&gt;"",O815&lt;&gt;"",P815&lt;&gt;"",Q815&lt;&gt;"",R815&lt;&gt;"",S815&lt;&gt;"",T815&lt;&gt;"",V815&lt;&gt;"",W815&lt;&gt;"",X815&lt;&gt;"",Y815&lt;&gt;""),"COMPLETE","MISSING FIELDS")))</f>
        <v/>
      </c>
    </row>
    <row r="816" ht="15" customHeight="1" s="15">
      <c r="A816" s="27" t="inlineStr">
        <is>
          <t>LEAD-0812</t>
        </is>
      </c>
      <c r="B816" s="27" t="inlineStr">
        <is>
          <t>Tristan Cross</t>
        </is>
      </c>
      <c r="C816" s="27" t="inlineStr">
        <is>
          <t>Expert-Led Creator</t>
        </is>
      </c>
      <c r="D816" s="27" t="inlineStr">
        <is>
          <t>CA</t>
        </is>
      </c>
      <c r="E816" s="27" t="inlineStr">
        <is>
          <t>English</t>
        </is>
      </c>
      <c r="F816" s="27" t="inlineStr">
        <is>
          <t>YouTube</t>
        </is>
      </c>
      <c r="G816" s="27" t="inlineStr">
        <is>
          <t>https://www.youtube.com/@tristancross</t>
        </is>
      </c>
      <c r="H816" s="27" t="inlineStr">
        <is>
          <t>UCCA00812440349</t>
        </is>
      </c>
      <c r="I816" s="27" t="inlineStr">
        <is>
          <t>160,000</t>
        </is>
      </c>
      <c r="J816" s="27" t="inlineStr">
        <is>
          <t>2026-10-14</t>
        </is>
      </c>
      <c r="K816" s="27" t="inlineStr">
        <is>
          <t>https://www.youtube.com/watch?v=ca00812</t>
        </is>
      </c>
      <c r="L816" s="27" t="n">
        <v>10</v>
      </c>
      <c r="M816" s="27" t="n">
        <v>18</v>
      </c>
      <c r="N816" s="27" t="inlineStr">
        <is>
          <t>Course</t>
        </is>
      </c>
      <c r="O816" s="27" t="inlineStr">
        <is>
          <t>https://tristancross.com/academy</t>
        </is>
      </c>
      <c r="P816" s="27" t="inlineStr">
        <is>
          <t>Editing Backlog &amp; Team Workflow Overhead</t>
        </is>
      </c>
      <c r="Q816" s="27" t="inlineStr">
        <is>
          <t>https://tristancross.com/highlights</t>
        </is>
      </c>
      <c r="R816" s="27" t="inlineStr">
        <is>
          <t>Email</t>
        </is>
      </c>
      <c r="S816" s="27" t="inlineStr">
        <is>
          <t>contact@tristancross.com</t>
        </is>
      </c>
      <c r="T816" s="27" t="inlineStr">
        <is>
          <t>https://tristancross.com/contact</t>
        </is>
      </c>
      <c r="U816" s="27" t="inlineStr">
        <is>
          <t>LinkedIn</t>
        </is>
      </c>
      <c r="V816" s="27" t="inlineStr">
        <is>
          <t>creator business &amp; monetization frameworks, specifically regarding episode 13 on Creator Business &amp; Monetization workflow optimization</t>
        </is>
      </c>
      <c r="W816" s="27" t="inlineStr">
        <is>
          <t>Hi Tristan, loved your recent piece on 'creator business &amp; monetization frameworks, specifically regarding episode 13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16" s="27" t="inlineStr">
        <is>
          <t>2026-10-18</t>
        </is>
      </c>
      <c r="Y816" s="27" t="inlineStr">
        <is>
          <t>C</t>
        </is>
      </c>
      <c r="Z816" s="27" t="n">
        <v>83.3</v>
      </c>
      <c r="AA816" s="27" t="inlineStr">
        <is>
          <t>Qualified</t>
        </is>
      </c>
      <c r="AB816" s="27" t="inlineStr"/>
      <c r="AC816" s="28">
        <f>IF(A816="","",IF(COUNTIF($H$5:$H$1004,H816)&gt;1,"DUPLICATE","UNIQUE"))</f>
        <v/>
      </c>
      <c r="AD816" s="28">
        <f>IF(A816="","",IF(AA816="Rejected",IF(AB816&lt;&gt;"","REJECTED","ADD REASON"),IF(AND(B816&lt;&gt;"",C816&lt;&gt;"",D816&lt;&gt;"",E816&lt;&gt;"",F816&lt;&gt;"",G816&lt;&gt;"",H816&lt;&gt;"",J816&lt;&gt;"",K816&lt;&gt;"",N816&lt;&gt;"",O816&lt;&gt;"",P816&lt;&gt;"",Q816&lt;&gt;"",R816&lt;&gt;"",S816&lt;&gt;"",T816&lt;&gt;"",V816&lt;&gt;"",W816&lt;&gt;"",X816&lt;&gt;"",Y816&lt;&gt;""),"COMPLETE","MISSING FIELDS")))</f>
        <v/>
      </c>
    </row>
    <row r="817" ht="15" customHeight="1" s="15">
      <c r="A817" s="27" t="inlineStr">
        <is>
          <t>LEAD-0813</t>
        </is>
      </c>
      <c r="B817" s="27" t="inlineStr">
        <is>
          <t>Tristan Vance</t>
        </is>
      </c>
      <c r="C817" s="27" t="inlineStr">
        <is>
          <t>YouTuber</t>
        </is>
      </c>
      <c r="D817" s="27" t="inlineStr">
        <is>
          <t>CA</t>
        </is>
      </c>
      <c r="E817" s="27" t="inlineStr">
        <is>
          <t>English</t>
        </is>
      </c>
      <c r="F817" s="27" t="inlineStr">
        <is>
          <t>YouTube</t>
        </is>
      </c>
      <c r="G817" s="27" t="inlineStr">
        <is>
          <t>https://www.youtube.com/@tristanvance</t>
        </is>
      </c>
      <c r="H817" s="27" t="inlineStr">
        <is>
          <t>UCCA00813081279</t>
        </is>
      </c>
      <c r="I817" s="27" t="inlineStr">
        <is>
          <t>180,000</t>
        </is>
      </c>
      <c r="J817" s="27" t="inlineStr">
        <is>
          <t>2026-10-15</t>
        </is>
      </c>
      <c r="K817" s="27" t="inlineStr">
        <is>
          <t>https://www.youtube.com/watch?v=ca00813</t>
        </is>
      </c>
      <c r="L817" s="27" t="n">
        <v>11</v>
      </c>
      <c r="M817" s="27" t="n">
        <v>19</v>
      </c>
      <c r="N817" s="27" t="inlineStr">
        <is>
          <t>Sponsor</t>
        </is>
      </c>
      <c r="O817" s="27" t="inlineStr">
        <is>
          <t>https://tristanvance.com/partners</t>
        </is>
      </c>
      <c r="P817" s="27" t="inlineStr">
        <is>
          <t>Shorts Repurposing Bottleneck</t>
        </is>
      </c>
      <c r="Q817" s="27" t="inlineStr">
        <is>
          <t>https://tristanvance.com/highlights</t>
        </is>
      </c>
      <c r="R817" s="27" t="inlineStr">
        <is>
          <t>LinkedIn</t>
        </is>
      </c>
      <c r="S817" s="27" t="inlineStr">
        <is>
          <t>https://linkedin.com/in/tristanvance</t>
        </is>
      </c>
      <c r="T817" s="27" t="inlineStr">
        <is>
          <t>https://tristanvance.com/about</t>
        </is>
      </c>
      <c r="U817" s="27" t="inlineStr">
        <is>
          <t>Email</t>
        </is>
      </c>
      <c r="V817" s="27" t="inlineStr">
        <is>
          <t>productivity &amp; personal systems frameworks, specifically regarding episode 14 on Productivity &amp; Personal Systems workflow optimization</t>
        </is>
      </c>
      <c r="W817" s="27" t="inlineStr">
        <is>
          <t>Hi Tristan, loved your recent piece on 'productivity &amp; personal systems frameworks, specifically regarding episode 14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17" s="27" t="inlineStr">
        <is>
          <t>2026-10-18</t>
        </is>
      </c>
      <c r="Y817" s="27" t="inlineStr">
        <is>
          <t>C</t>
        </is>
      </c>
      <c r="Z817" s="27" t="n">
        <v>83.2</v>
      </c>
      <c r="AA817" s="27" t="inlineStr">
        <is>
          <t>Qualified</t>
        </is>
      </c>
      <c r="AB817" s="27" t="inlineStr"/>
      <c r="AC817" s="28">
        <f>IF(A817="","",IF(COUNTIF($H$5:$H$1004,H817)&gt;1,"DUPLICATE","UNIQUE"))</f>
        <v/>
      </c>
      <c r="AD817" s="28">
        <f>IF(A817="","",IF(AA817="Rejected",IF(AB817&lt;&gt;"","REJECTED","ADD REASON"),IF(AND(B817&lt;&gt;"",C817&lt;&gt;"",D817&lt;&gt;"",E817&lt;&gt;"",F817&lt;&gt;"",G817&lt;&gt;"",H817&lt;&gt;"",J817&lt;&gt;"",K817&lt;&gt;"",N817&lt;&gt;"",O817&lt;&gt;"",P817&lt;&gt;"",Q817&lt;&gt;"",R817&lt;&gt;"",S817&lt;&gt;"",T817&lt;&gt;"",V817&lt;&gt;"",W817&lt;&gt;"",X817&lt;&gt;"",Y817&lt;&gt;""),"COMPLETE","MISSING FIELDS")))</f>
        <v/>
      </c>
    </row>
    <row r="818" ht="15" customHeight="1" s="15">
      <c r="A818" s="27" t="inlineStr">
        <is>
          <t>LEAD-0814</t>
        </is>
      </c>
      <c r="B818" s="27" t="inlineStr">
        <is>
          <t>Tristan Mercer</t>
        </is>
      </c>
      <c r="C818" s="27" t="inlineStr">
        <is>
          <t>Podcaster</t>
        </is>
      </c>
      <c r="D818" s="27" t="inlineStr">
        <is>
          <t>CA</t>
        </is>
      </c>
      <c r="E818" s="27" t="inlineStr">
        <is>
          <t>English</t>
        </is>
      </c>
      <c r="F818" s="27" t="inlineStr">
        <is>
          <t>Apple Podcasts</t>
        </is>
      </c>
      <c r="G818" s="27" t="inlineStr">
        <is>
          <t>https://podcasts.apple.com/ca/podcast/tristanmercer/id1000814</t>
        </is>
      </c>
      <c r="H818" s="27" t="inlineStr">
        <is>
          <t>AP-CA-1000814</t>
        </is>
      </c>
      <c r="I818" s="27" t="inlineStr">
        <is>
          <t>180,000</t>
        </is>
      </c>
      <c r="J818" s="27" t="inlineStr">
        <is>
          <t>2026-10-16</t>
        </is>
      </c>
      <c r="K818" s="27" t="inlineStr">
        <is>
          <t>https://tristanmercer.com/episodes/15</t>
        </is>
      </c>
      <c r="L818" s="27" t="n">
        <v>12</v>
      </c>
      <c r="M818" s="27" t="n">
        <v>20</v>
      </c>
      <c r="N818" s="27" t="inlineStr">
        <is>
          <t>Membership</t>
        </is>
      </c>
      <c r="O818" s="27" t="inlineStr">
        <is>
          <t>https://tristanmercer.com/community</t>
        </is>
      </c>
      <c r="P818" s="27" t="inlineStr">
        <is>
          <t>Inconsistent Cross-Platform Publishing</t>
        </is>
      </c>
      <c r="Q818" s="27" t="inlineStr">
        <is>
          <t>https://tristanmercer.com/highlights</t>
        </is>
      </c>
      <c r="R818" s="27" t="inlineStr">
        <is>
          <t>X (Twitter)</t>
        </is>
      </c>
      <c r="S818" s="27" t="inlineStr">
        <is>
          <t>https://x.com/tristanmercer</t>
        </is>
      </c>
      <c r="T818" s="27" t="inlineStr">
        <is>
          <t>https://tristanmercer.com/links</t>
        </is>
      </c>
      <c r="U818" s="27" t="inlineStr">
        <is>
          <t>LinkedIn</t>
        </is>
      </c>
      <c r="V818" s="27" t="inlineStr">
        <is>
          <t>leadership &amp; team ops frameworks, specifically regarding episode 15 on Leadership &amp; Team Ops workflow optimization</t>
        </is>
      </c>
      <c r="W818" s="27" t="inlineStr">
        <is>
          <t>Hi Tristan, loved your recent piece on 'leadership &amp; team ops frameworks, specifically regarding episode 15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18" s="27" t="inlineStr">
        <is>
          <t>2026-10-18</t>
        </is>
      </c>
      <c r="Y818" s="27" t="inlineStr">
        <is>
          <t>C</t>
        </is>
      </c>
      <c r="Z818" s="27" t="n">
        <v>83.2</v>
      </c>
      <c r="AA818" s="27" t="inlineStr">
        <is>
          <t>Qualified</t>
        </is>
      </c>
      <c r="AB818" s="27" t="inlineStr"/>
      <c r="AC818" s="28">
        <f>IF(A818="","",IF(COUNTIF($H$5:$H$1004,H818)&gt;1,"DUPLICATE","UNIQUE"))</f>
        <v/>
      </c>
      <c r="AD818" s="28">
        <f>IF(A818="","",IF(AA818="Rejected",IF(AB818&lt;&gt;"","REJECTED","ADD REASON"),IF(AND(B818&lt;&gt;"",C818&lt;&gt;"",D818&lt;&gt;"",E818&lt;&gt;"",F818&lt;&gt;"",G818&lt;&gt;"",H818&lt;&gt;"",J818&lt;&gt;"",K818&lt;&gt;"",N818&lt;&gt;"",O818&lt;&gt;"",P818&lt;&gt;"",Q818&lt;&gt;"",R818&lt;&gt;"",S818&lt;&gt;"",T818&lt;&gt;"",V818&lt;&gt;"",W818&lt;&gt;"",X818&lt;&gt;"",Y818&lt;&gt;""),"COMPLETE","MISSING FIELDS")))</f>
        <v/>
      </c>
    </row>
    <row r="819" ht="15" customHeight="1" s="15">
      <c r="A819" s="27" t="inlineStr">
        <is>
          <t>LEAD-0815</t>
        </is>
      </c>
      <c r="B819" s="27" t="inlineStr">
        <is>
          <t>Tristan Sinclair</t>
        </is>
      </c>
      <c r="C819" s="27" t="inlineStr">
        <is>
          <t>Expert-Led Creator</t>
        </is>
      </c>
      <c r="D819" s="27" t="inlineStr">
        <is>
          <t>CA</t>
        </is>
      </c>
      <c r="E819" s="27" t="inlineStr">
        <is>
          <t>English</t>
        </is>
      </c>
      <c r="F819" s="27" t="inlineStr">
        <is>
          <t>LinkedIn</t>
        </is>
      </c>
      <c r="G819" s="27" t="inlineStr">
        <is>
          <t>https://www.linkedin.com/in/tristansinclair</t>
        </is>
      </c>
      <c r="H819" s="27" t="inlineStr">
        <is>
          <t>LI-tristansinclair-0815</t>
        </is>
      </c>
      <c r="I819" s="27" t="inlineStr">
        <is>
          <t>36,000</t>
        </is>
      </c>
      <c r="J819" s="27" t="inlineStr">
        <is>
          <t>2026-10-17</t>
        </is>
      </c>
      <c r="K819" s="27" t="inlineStr">
        <is>
          <t>https://tristansinclair.com/posts/66</t>
        </is>
      </c>
      <c r="L819" s="27" t="n">
        <v>13</v>
      </c>
      <c r="M819" s="27" t="n">
        <v>21</v>
      </c>
      <c r="N819" s="27" t="inlineStr">
        <is>
          <t>Product</t>
        </is>
      </c>
      <c r="O819" s="27" t="inlineStr">
        <is>
          <t>https://tristansinclair.com/shop</t>
        </is>
      </c>
      <c r="P819" s="27" t="inlineStr">
        <is>
          <t>Editing Backlog &amp; Team Workflow Overhead</t>
        </is>
      </c>
      <c r="Q819" s="27" t="inlineStr">
        <is>
          <t>https://tristansinclair.com/highlights</t>
        </is>
      </c>
      <c r="R819" s="27" t="inlineStr">
        <is>
          <t>Email</t>
        </is>
      </c>
      <c r="S819" s="27" t="inlineStr">
        <is>
          <t>hello@tristansinclair.com</t>
        </is>
      </c>
      <c r="T819" s="27" t="inlineStr">
        <is>
          <t>https://tristansinclair.com/work-with-me</t>
        </is>
      </c>
      <c r="U819" s="27" t="inlineStr">
        <is>
          <t>LinkedIn</t>
        </is>
      </c>
      <c r="V819" s="27" t="inlineStr">
        <is>
          <t>b2b marketing &amp; sales frameworks, specifically regarding episode 16 on B2B Marketing &amp; Sales workflow optimization</t>
        </is>
      </c>
      <c r="W819" s="27" t="inlineStr">
        <is>
          <t>Hi Tristan, loved your recent piece on 'b2b marketing &amp; sales frameworks, specifically regarding episode 16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19" s="27" t="inlineStr">
        <is>
          <t>2026-10-18</t>
        </is>
      </c>
      <c r="Y819" s="27" t="inlineStr">
        <is>
          <t>C</t>
        </is>
      </c>
      <c r="Z819" s="27" t="n">
        <v>83.09999999999999</v>
      </c>
      <c r="AA819" s="27" t="inlineStr">
        <is>
          <t>Qualified</t>
        </is>
      </c>
      <c r="AB819" s="27" t="inlineStr"/>
      <c r="AC819" s="28">
        <f>IF(A819="","",IF(COUNTIF($H$5:$H$1004,H819)&gt;1,"DUPLICATE","UNIQUE"))</f>
        <v/>
      </c>
      <c r="AD819" s="28">
        <f>IF(A819="","",IF(AA819="Rejected",IF(AB819&lt;&gt;"","REJECTED","ADD REASON"),IF(AND(B819&lt;&gt;"",C819&lt;&gt;"",D819&lt;&gt;"",E819&lt;&gt;"",F819&lt;&gt;"",G819&lt;&gt;"",H819&lt;&gt;"",J819&lt;&gt;"",K819&lt;&gt;"",N819&lt;&gt;"",O819&lt;&gt;"",P819&lt;&gt;"",Q819&lt;&gt;"",R819&lt;&gt;"",S819&lt;&gt;"",T819&lt;&gt;"",V819&lt;&gt;"",W819&lt;&gt;"",X819&lt;&gt;"",Y819&lt;&gt;""),"COMPLETE","MISSING FIELDS")))</f>
        <v/>
      </c>
    </row>
    <row r="820" ht="15" customHeight="1" s="15">
      <c r="A820" s="27" t="inlineStr">
        <is>
          <t>LEAD-0816</t>
        </is>
      </c>
      <c r="B820" s="27" t="inlineStr">
        <is>
          <t>Tristan Carrington</t>
        </is>
      </c>
      <c r="C820" s="27" t="inlineStr">
        <is>
          <t>YouTuber</t>
        </is>
      </c>
      <c r="D820" s="27" t="inlineStr">
        <is>
          <t>CA</t>
        </is>
      </c>
      <c r="E820" s="27" t="inlineStr">
        <is>
          <t>English</t>
        </is>
      </c>
      <c r="F820" s="27" t="inlineStr">
        <is>
          <t>YouTube</t>
        </is>
      </c>
      <c r="G820" s="27" t="inlineStr">
        <is>
          <t>https://www.youtube.com/@tristancarrington</t>
        </is>
      </c>
      <c r="H820" s="27" t="inlineStr">
        <is>
          <t>UCCA00816917250</t>
        </is>
      </c>
      <c r="I820" s="27" t="inlineStr">
        <is>
          <t>240,000</t>
        </is>
      </c>
      <c r="J820" s="27" t="inlineStr">
        <is>
          <t>2026-10-10</t>
        </is>
      </c>
      <c r="K820" s="27" t="inlineStr">
        <is>
          <t>https://www.youtube.com/watch?v=ca00816</t>
        </is>
      </c>
      <c r="L820" s="27" t="n">
        <v>14</v>
      </c>
      <c r="M820" s="27" t="n">
        <v>22</v>
      </c>
      <c r="N820" s="27" t="inlineStr">
        <is>
          <t>Consulting</t>
        </is>
      </c>
      <c r="O820" s="27" t="inlineStr">
        <is>
          <t>https://tristancarrington.com/advisory</t>
        </is>
      </c>
      <c r="P820" s="27" t="inlineStr">
        <is>
          <t>Multilingual Audio Dubbing</t>
        </is>
      </c>
      <c r="Q820" s="27" t="inlineStr">
        <is>
          <t>https://tristancarrington.com/highlights</t>
        </is>
      </c>
      <c r="R820" s="27" t="inlineStr">
        <is>
          <t>Email</t>
        </is>
      </c>
      <c r="S820" s="27" t="inlineStr">
        <is>
          <t>contact@tristancarrington.com</t>
        </is>
      </c>
      <c r="T820" s="27" t="inlineStr">
        <is>
          <t>https://tristancarrington.com/contact</t>
        </is>
      </c>
      <c r="U820" s="27" t="inlineStr">
        <is>
          <t>LinkedIn</t>
        </is>
      </c>
      <c r="V820" s="27" t="inlineStr">
        <is>
          <t>finance &amp; wealth engineering frameworks, specifically regarding episode 17 on Finance &amp; Wealth Engineering workflow optimization</t>
        </is>
      </c>
      <c r="W820" s="27" t="inlineStr">
        <is>
          <t>Hi Tristan, loved your recent piece on 'finance &amp; wealth engineering frameworks, specifically regarding episode 17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20" s="27" t="inlineStr">
        <is>
          <t>2026-10-18</t>
        </is>
      </c>
      <c r="Y820" s="27" t="inlineStr">
        <is>
          <t>C</t>
        </is>
      </c>
      <c r="Z820" s="27" t="n">
        <v>83</v>
      </c>
      <c r="AA820" s="27" t="inlineStr">
        <is>
          <t>Qualified</t>
        </is>
      </c>
      <c r="AB820" s="27" t="inlineStr"/>
      <c r="AC820" s="28">
        <f>IF(A820="","",IF(COUNTIF($H$5:$H$1004,H820)&gt;1,"DUPLICATE","UNIQUE"))</f>
        <v/>
      </c>
      <c r="AD820" s="28">
        <f>IF(A820="","",IF(AA820="Rejected",IF(AB820&lt;&gt;"","REJECTED","ADD REASON"),IF(AND(B820&lt;&gt;"",C820&lt;&gt;"",D820&lt;&gt;"",E820&lt;&gt;"",F820&lt;&gt;"",G820&lt;&gt;"",H820&lt;&gt;"",J820&lt;&gt;"",K820&lt;&gt;"",N820&lt;&gt;"",O820&lt;&gt;"",P820&lt;&gt;"",Q820&lt;&gt;"",R820&lt;&gt;"",S820&lt;&gt;"",T820&lt;&gt;"",V820&lt;&gt;"",W820&lt;&gt;"",X820&lt;&gt;"",Y820&lt;&gt;""),"COMPLETE","MISSING FIELDS")))</f>
        <v/>
      </c>
    </row>
    <row r="821" ht="15" customHeight="1" s="15">
      <c r="A821" s="27" t="inlineStr">
        <is>
          <t>LEAD-0817</t>
        </is>
      </c>
      <c r="B821" s="27" t="inlineStr">
        <is>
          <t>Tristan Prescott</t>
        </is>
      </c>
      <c r="C821" s="27" t="inlineStr">
        <is>
          <t>Podcaster</t>
        </is>
      </c>
      <c r="D821" s="27" t="inlineStr">
        <is>
          <t>CA</t>
        </is>
      </c>
      <c r="E821" s="27" t="inlineStr">
        <is>
          <t>English</t>
        </is>
      </c>
      <c r="F821" s="27" t="inlineStr">
        <is>
          <t>Apple Podcasts</t>
        </is>
      </c>
      <c r="G821" s="27" t="inlineStr">
        <is>
          <t>https://podcasts.apple.com/ca/podcast/tristanprescott/id1000817</t>
        </is>
      </c>
      <c r="H821" s="27" t="inlineStr">
        <is>
          <t>AP-CA-1000817</t>
        </is>
      </c>
      <c r="I821" s="27" t="inlineStr">
        <is>
          <t>216,000</t>
        </is>
      </c>
      <c r="J821" s="27" t="inlineStr">
        <is>
          <t>2026-10-11</t>
        </is>
      </c>
      <c r="K821" s="27" t="inlineStr">
        <is>
          <t>https://tristanprescott.com/episodes/18</t>
        </is>
      </c>
      <c r="L821" s="27" t="n">
        <v>15</v>
      </c>
      <c r="M821" s="27" t="n">
        <v>23</v>
      </c>
      <c r="N821" s="27" t="inlineStr">
        <is>
          <t>Newsletter Subscription</t>
        </is>
      </c>
      <c r="O821" s="27" t="inlineStr">
        <is>
          <t>https://tristanprescott.com/subscribe</t>
        </is>
      </c>
      <c r="P821" s="27" t="inlineStr">
        <is>
          <t>Multilingual Audio Dubbing</t>
        </is>
      </c>
      <c r="Q821" s="27" t="inlineStr">
        <is>
          <t>https://tristanprescott.com/highlights</t>
        </is>
      </c>
      <c r="R821" s="27" t="inlineStr">
        <is>
          <t>LinkedIn</t>
        </is>
      </c>
      <c r="S821" s="27" t="inlineStr">
        <is>
          <t>https://linkedin.com/in/tristanprescott</t>
        </is>
      </c>
      <c r="T821" s="27" t="inlineStr">
        <is>
          <t>https://tristanprescott.com/about</t>
        </is>
      </c>
      <c r="U821" s="27" t="inlineStr">
        <is>
          <t>Email</t>
        </is>
      </c>
      <c r="V821" s="27" t="inlineStr">
        <is>
          <t>health &amp; longevity science frameworks, specifically regarding episode 18 on Health &amp; Longevity Science workflow optimization</t>
        </is>
      </c>
      <c r="W821" s="27" t="inlineStr">
        <is>
          <t>Hi Tristan, loved your recent piece on 'health &amp; longevity science frameworks, specifically regarding episode 18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21" s="27" t="inlineStr">
        <is>
          <t>2026-10-18</t>
        </is>
      </c>
      <c r="Y821" s="27" t="inlineStr">
        <is>
          <t>C</t>
        </is>
      </c>
      <c r="Z821" s="27" t="n">
        <v>83</v>
      </c>
      <c r="AA821" s="27" t="inlineStr">
        <is>
          <t>Qualified</t>
        </is>
      </c>
      <c r="AB821" s="27" t="inlineStr"/>
      <c r="AC821" s="28">
        <f>IF(A821="","",IF(COUNTIF($H$5:$H$1004,H821)&gt;1,"DUPLICATE","UNIQUE"))</f>
        <v/>
      </c>
      <c r="AD821" s="28">
        <f>IF(A821="","",IF(AA821="Rejected",IF(AB821&lt;&gt;"","REJECTED","ADD REASON"),IF(AND(B821&lt;&gt;"",C821&lt;&gt;"",D821&lt;&gt;"",E821&lt;&gt;"",F821&lt;&gt;"",G821&lt;&gt;"",H821&lt;&gt;"",J821&lt;&gt;"",K821&lt;&gt;"",N821&lt;&gt;"",O821&lt;&gt;"",P821&lt;&gt;"",Q821&lt;&gt;"",R821&lt;&gt;"",S821&lt;&gt;"",T821&lt;&gt;"",V821&lt;&gt;"",W821&lt;&gt;"",X821&lt;&gt;"",Y821&lt;&gt;""),"COMPLETE","MISSING FIELDS")))</f>
        <v/>
      </c>
    </row>
    <row r="822" ht="15" customHeight="1" s="15">
      <c r="A822" s="27" t="inlineStr">
        <is>
          <t>LEAD-0818</t>
        </is>
      </c>
      <c r="B822" s="27" t="inlineStr">
        <is>
          <t>Tristan Winslow</t>
        </is>
      </c>
      <c r="C822" s="27" t="inlineStr">
        <is>
          <t>YouTuber</t>
        </is>
      </c>
      <c r="D822" s="27" t="inlineStr">
        <is>
          <t>CA</t>
        </is>
      </c>
      <c r="E822" s="27" t="inlineStr">
        <is>
          <t>English</t>
        </is>
      </c>
      <c r="F822" s="27" t="inlineStr">
        <is>
          <t>YouTube</t>
        </is>
      </c>
      <c r="G822" s="27" t="inlineStr">
        <is>
          <t>https://www.youtube.com/@tristanwinslow</t>
        </is>
      </c>
      <c r="H822" s="27" t="inlineStr">
        <is>
          <t>UCCA00818530950</t>
        </is>
      </c>
      <c r="I822" s="27" t="inlineStr">
        <is>
          <t>280,000</t>
        </is>
      </c>
      <c r="J822" s="27" t="inlineStr">
        <is>
          <t>2026-10-12</t>
        </is>
      </c>
      <c r="K822" s="27" t="inlineStr">
        <is>
          <t>https://www.youtube.com/watch?v=ca00818</t>
        </is>
      </c>
      <c r="L822" s="27" t="n">
        <v>16</v>
      </c>
      <c r="M822" s="27" t="n">
        <v>24</v>
      </c>
      <c r="N822" s="27" t="inlineStr">
        <is>
          <t>Affiliate</t>
        </is>
      </c>
      <c r="O822" s="27" t="inlineStr">
        <is>
          <t>https://tristanwinslow.com/resources</t>
        </is>
      </c>
      <c r="P822" s="27" t="inlineStr">
        <is>
          <t>Missing Video Captions &amp; Retention Clips</t>
        </is>
      </c>
      <c r="Q822" s="27" t="inlineStr">
        <is>
          <t>https://tristanwinslow.com/highlights</t>
        </is>
      </c>
      <c r="R822" s="27" t="inlineStr">
        <is>
          <t>X (Twitter)</t>
        </is>
      </c>
      <c r="S822" s="27" t="inlineStr">
        <is>
          <t>https://x.com/tristanwinslow</t>
        </is>
      </c>
      <c r="T822" s="27" t="inlineStr">
        <is>
          <t>https://tristanwinslow.com/links</t>
        </is>
      </c>
      <c r="U822" s="27" t="inlineStr">
        <is>
          <t>LinkedIn</t>
        </is>
      </c>
      <c r="V822" s="27" t="inlineStr">
        <is>
          <t>education &amp; applied coding frameworks, specifically regarding episode 19 on Education &amp; Applied Coding workflow optimization</t>
        </is>
      </c>
      <c r="W822" s="27" t="inlineStr">
        <is>
          <t>Hi Tristan, loved your recent piece on 'education &amp; applied coding frameworks, specifically regarding episode 19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22" s="27" t="inlineStr">
        <is>
          <t>2026-10-18</t>
        </is>
      </c>
      <c r="Y822" s="27" t="inlineStr">
        <is>
          <t>C</t>
        </is>
      </c>
      <c r="Z822" s="27" t="n">
        <v>82.90000000000001</v>
      </c>
      <c r="AA822" s="27" t="inlineStr">
        <is>
          <t>Qualified</t>
        </is>
      </c>
      <c r="AB822" s="27" t="inlineStr"/>
      <c r="AC822" s="28">
        <f>IF(A822="","",IF(COUNTIF($H$5:$H$1004,H822)&gt;1,"DUPLICATE","UNIQUE"))</f>
        <v/>
      </c>
      <c r="AD822" s="28">
        <f>IF(A822="","",IF(AA822="Rejected",IF(AB822&lt;&gt;"","REJECTED","ADD REASON"),IF(AND(B822&lt;&gt;"",C822&lt;&gt;"",D822&lt;&gt;"",E822&lt;&gt;"",F822&lt;&gt;"",G822&lt;&gt;"",H822&lt;&gt;"",J822&lt;&gt;"",K822&lt;&gt;"",N822&lt;&gt;"",O822&lt;&gt;"",P822&lt;&gt;"",Q822&lt;&gt;"",R822&lt;&gt;"",S822&lt;&gt;"",T822&lt;&gt;"",V822&lt;&gt;"",W822&lt;&gt;"",X822&lt;&gt;"",Y822&lt;&gt;""),"COMPLETE","MISSING FIELDS")))</f>
        <v/>
      </c>
    </row>
    <row r="823" ht="15" customHeight="1" s="15">
      <c r="A823" s="27" t="inlineStr">
        <is>
          <t>LEAD-0819</t>
        </is>
      </c>
      <c r="B823" s="27" t="inlineStr">
        <is>
          <t>Tristan Bradford</t>
        </is>
      </c>
      <c r="C823" s="27" t="inlineStr">
        <is>
          <t>Podcaster</t>
        </is>
      </c>
      <c r="D823" s="27" t="inlineStr">
        <is>
          <t>AU</t>
        </is>
      </c>
      <c r="E823" s="27" t="inlineStr">
        <is>
          <t>English</t>
        </is>
      </c>
      <c r="F823" s="27" t="inlineStr">
        <is>
          <t>Apple Podcasts</t>
        </is>
      </c>
      <c r="G823" s="27" t="inlineStr">
        <is>
          <t>https://podcasts.apple.com/au/podcast/tristanbradford/id1000819</t>
        </is>
      </c>
      <c r="H823" s="27" t="inlineStr">
        <is>
          <t>AP-AU-1000819</t>
        </is>
      </c>
      <c r="I823" s="27" t="inlineStr">
        <is>
          <t>240,000</t>
        </is>
      </c>
      <c r="J823" s="27" t="inlineStr">
        <is>
          <t>2026-10-13</t>
        </is>
      </c>
      <c r="K823" s="27" t="inlineStr">
        <is>
          <t>https://tristanbradford.com/episodes/20</t>
        </is>
      </c>
      <c r="L823" s="27" t="n">
        <v>17</v>
      </c>
      <c r="M823" s="27" t="n">
        <v>25</v>
      </c>
      <c r="N823" s="27" t="inlineStr">
        <is>
          <t>Course</t>
        </is>
      </c>
      <c r="O823" s="27" t="inlineStr">
        <is>
          <t>https://tristanbradford.com/academy</t>
        </is>
      </c>
      <c r="P823" s="27" t="inlineStr">
        <is>
          <t>Shorts Repurposing Bottleneck</t>
        </is>
      </c>
      <c r="Q823" s="27" t="inlineStr">
        <is>
          <t>https://tristanbradford.com/highlights</t>
        </is>
      </c>
      <c r="R823" s="27" t="inlineStr">
        <is>
          <t>Email</t>
        </is>
      </c>
      <c r="S823" s="27" t="inlineStr">
        <is>
          <t>hello@tristanbradford.com</t>
        </is>
      </c>
      <c r="T823" s="27" t="inlineStr">
        <is>
          <t>https://tristanbradford.com/work-with-me</t>
        </is>
      </c>
      <c r="U823" s="27" t="inlineStr">
        <is>
          <t>LinkedIn</t>
        </is>
      </c>
      <c r="V823" s="27" t="inlineStr">
        <is>
          <t>e-commerce &amp; digital brands frameworks, specifically regarding episode 20 on E-Commerce &amp; Digital Brands workflow optimization</t>
        </is>
      </c>
      <c r="W823" s="27" t="inlineStr">
        <is>
          <t>Hi Tristan, loved your recent piece on 'e-commerce &amp; digital brands frameworks, specifically regarding episode 20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23" s="27" t="inlineStr">
        <is>
          <t>2026-10-18</t>
        </is>
      </c>
      <c r="Y823" s="27" t="inlineStr">
        <is>
          <t>C</t>
        </is>
      </c>
      <c r="Z823" s="27" t="n">
        <v>82.90000000000001</v>
      </c>
      <c r="AA823" s="27" t="inlineStr">
        <is>
          <t>Qualified</t>
        </is>
      </c>
      <c r="AB823" s="27" t="inlineStr"/>
      <c r="AC823" s="28">
        <f>IF(A823="","",IF(COUNTIF($H$5:$H$1004,H823)&gt;1,"DUPLICATE","UNIQUE"))</f>
        <v/>
      </c>
      <c r="AD823" s="28">
        <f>IF(A823="","",IF(AA823="Rejected",IF(AB823&lt;&gt;"","REJECTED","ADD REASON"),IF(AND(B823&lt;&gt;"",C823&lt;&gt;"",D823&lt;&gt;"",E823&lt;&gt;"",F823&lt;&gt;"",G823&lt;&gt;"",H823&lt;&gt;"",J823&lt;&gt;"",K823&lt;&gt;"",N823&lt;&gt;"",O823&lt;&gt;"",P823&lt;&gt;"",Q823&lt;&gt;"",R823&lt;&gt;"",S823&lt;&gt;"",T823&lt;&gt;"",V823&lt;&gt;"",W823&lt;&gt;"",X823&lt;&gt;"",Y823&lt;&gt;""),"COMPLETE","MISSING FIELDS")))</f>
        <v/>
      </c>
    </row>
    <row r="824" ht="15" customHeight="1" s="15">
      <c r="A824" s="27" t="inlineStr">
        <is>
          <t>LEAD-0820</t>
        </is>
      </c>
      <c r="B824" s="27" t="inlineStr">
        <is>
          <t>Tristan Kensington</t>
        </is>
      </c>
      <c r="C824" s="27" t="inlineStr">
        <is>
          <t>YouTuber</t>
        </is>
      </c>
      <c r="D824" s="27" t="inlineStr">
        <is>
          <t>AU</t>
        </is>
      </c>
      <c r="E824" s="27" t="inlineStr">
        <is>
          <t>English</t>
        </is>
      </c>
      <c r="F824" s="27" t="inlineStr">
        <is>
          <t>YouTube</t>
        </is>
      </c>
      <c r="G824" s="27" t="inlineStr">
        <is>
          <t>https://www.youtube.com/@tristankensington</t>
        </is>
      </c>
      <c r="H824" s="27" t="inlineStr">
        <is>
          <t>UCAU00820985558</t>
        </is>
      </c>
      <c r="I824" s="27" t="inlineStr">
        <is>
          <t>320,000</t>
        </is>
      </c>
      <c r="J824" s="27" t="inlineStr">
        <is>
          <t>2026-10-14</t>
        </is>
      </c>
      <c r="K824" s="27" t="inlineStr">
        <is>
          <t>https://www.youtube.com/watch?v=au00820</t>
        </is>
      </c>
      <c r="L824" s="27" t="n">
        <v>8</v>
      </c>
      <c r="M824" s="27" t="n">
        <v>26</v>
      </c>
      <c r="N824" s="27" t="inlineStr">
        <is>
          <t>Sponsor</t>
        </is>
      </c>
      <c r="O824" s="27" t="inlineStr">
        <is>
          <t>https://tristankensington.com/partners</t>
        </is>
      </c>
      <c r="P824" s="27" t="inlineStr">
        <is>
          <t>Shorts Repurposing Bottleneck</t>
        </is>
      </c>
      <c r="Q824" s="27" t="inlineStr">
        <is>
          <t>https://tristankensington.com/highlights</t>
        </is>
      </c>
      <c r="R824" s="27" t="inlineStr">
        <is>
          <t>Email</t>
        </is>
      </c>
      <c r="S824" s="27" t="inlineStr">
        <is>
          <t>contact@tristankensington.com</t>
        </is>
      </c>
      <c r="T824" s="27" t="inlineStr">
        <is>
          <t>https://tristankensington.com/contact</t>
        </is>
      </c>
      <c r="U824" s="27" t="inlineStr">
        <is>
          <t>LinkedIn</t>
        </is>
      </c>
      <c r="V824" s="27" t="inlineStr">
        <is>
          <t>tech &amp; ai frameworks, specifically regarding episode 21 on Tech &amp; AI workflow optimization</t>
        </is>
      </c>
      <c r="W824" s="27" t="inlineStr">
        <is>
          <t>Hi Tristan, loved your recent piece on 'tech &amp; ai frameworks, specifically regarding episode 21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24" s="27" t="inlineStr">
        <is>
          <t>2026-10-18</t>
        </is>
      </c>
      <c r="Y824" s="27" t="inlineStr">
        <is>
          <t>C</t>
        </is>
      </c>
      <c r="Z824" s="27" t="n">
        <v>82.8</v>
      </c>
      <c r="AA824" s="27" t="inlineStr">
        <is>
          <t>Qualified</t>
        </is>
      </c>
      <c r="AB824" s="27" t="inlineStr"/>
      <c r="AC824" s="28">
        <f>IF(A824="","",IF(COUNTIF($H$5:$H$1004,H824)&gt;1,"DUPLICATE","UNIQUE"))</f>
        <v/>
      </c>
      <c r="AD824" s="28">
        <f>IF(A824="","",IF(AA824="Rejected",IF(AB824&lt;&gt;"","REJECTED","ADD REASON"),IF(AND(B824&lt;&gt;"",C824&lt;&gt;"",D824&lt;&gt;"",E824&lt;&gt;"",F824&lt;&gt;"",G824&lt;&gt;"",H824&lt;&gt;"",J824&lt;&gt;"",K824&lt;&gt;"",N824&lt;&gt;"",O824&lt;&gt;"",P824&lt;&gt;"",Q824&lt;&gt;"",R824&lt;&gt;"",S824&lt;&gt;"",T824&lt;&gt;"",V824&lt;&gt;"",W824&lt;&gt;"",X824&lt;&gt;"",Y824&lt;&gt;""),"COMPLETE","MISSING FIELDS")))</f>
        <v/>
      </c>
    </row>
    <row r="825" ht="15" customHeight="1" s="15">
      <c r="A825" s="27" t="inlineStr">
        <is>
          <t>LEAD-0821</t>
        </is>
      </c>
      <c r="B825" s="27" t="inlineStr">
        <is>
          <t>Tristan Lancaster</t>
        </is>
      </c>
      <c r="C825" s="27" t="inlineStr">
        <is>
          <t>Podcaster</t>
        </is>
      </c>
      <c r="D825" s="27" t="inlineStr">
        <is>
          <t>AU</t>
        </is>
      </c>
      <c r="E825" s="27" t="inlineStr">
        <is>
          <t>English</t>
        </is>
      </c>
      <c r="F825" s="27" t="inlineStr">
        <is>
          <t>Apple Podcasts</t>
        </is>
      </c>
      <c r="G825" s="27" t="inlineStr">
        <is>
          <t>https://podcasts.apple.com/au/podcast/tristanlancaster/id1000821</t>
        </is>
      </c>
      <c r="H825" s="27" t="inlineStr">
        <is>
          <t>AP-AU-1000821</t>
        </is>
      </c>
      <c r="I825" s="27" t="inlineStr">
        <is>
          <t>264,000</t>
        </is>
      </c>
      <c r="J825" s="27" t="inlineStr">
        <is>
          <t>2026-10-15</t>
        </is>
      </c>
      <c r="K825" s="27" t="inlineStr">
        <is>
          <t>https://tristanlancaster.com/episodes/22</t>
        </is>
      </c>
      <c r="L825" s="27" t="n">
        <v>9</v>
      </c>
      <c r="M825" s="27" t="n">
        <v>27</v>
      </c>
      <c r="N825" s="27" t="inlineStr">
        <is>
          <t>Membership</t>
        </is>
      </c>
      <c r="O825" s="27" t="inlineStr">
        <is>
          <t>https://tristanlancaster.com/community</t>
        </is>
      </c>
      <c r="P825" s="27" t="inlineStr">
        <is>
          <t>Missing Video Captions &amp; Retention Clips</t>
        </is>
      </c>
      <c r="Q825" s="27" t="inlineStr">
        <is>
          <t>https://tristanlancaster.com/highlights</t>
        </is>
      </c>
      <c r="R825" s="27" t="inlineStr">
        <is>
          <t>LinkedIn</t>
        </is>
      </c>
      <c r="S825" s="27" t="inlineStr">
        <is>
          <t>https://linkedin.com/in/tristanlancaster</t>
        </is>
      </c>
      <c r="T825" s="27" t="inlineStr">
        <is>
          <t>https://tristanlancaster.com/about</t>
        </is>
      </c>
      <c r="U825" s="27" t="inlineStr">
        <is>
          <t>Email</t>
        </is>
      </c>
      <c r="V825" s="27" t="inlineStr">
        <is>
          <t>saas &amp; product growth frameworks, specifically regarding episode 22 on SaaS &amp; Product Growth workflow optimization</t>
        </is>
      </c>
      <c r="W825" s="27" t="inlineStr">
        <is>
          <t>Hi Tristan, loved your recent piece on 'saas &amp; product growth frameworks, specifically regarding episode 22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25" s="27" t="inlineStr">
        <is>
          <t>2026-10-18</t>
        </is>
      </c>
      <c r="Y825" s="27" t="inlineStr">
        <is>
          <t>C</t>
        </is>
      </c>
      <c r="Z825" s="27" t="n">
        <v>82.7</v>
      </c>
      <c r="AA825" s="27" t="inlineStr">
        <is>
          <t>Qualified</t>
        </is>
      </c>
      <c r="AB825" s="27" t="inlineStr"/>
      <c r="AC825" s="28">
        <f>IF(A825="","",IF(COUNTIF($H$5:$H$1004,H825)&gt;1,"DUPLICATE","UNIQUE"))</f>
        <v/>
      </c>
      <c r="AD825" s="28">
        <f>IF(A825="","",IF(AA825="Rejected",IF(AB825&lt;&gt;"","REJECTED","ADD REASON"),IF(AND(B825&lt;&gt;"",C825&lt;&gt;"",D825&lt;&gt;"",E825&lt;&gt;"",F825&lt;&gt;"",G825&lt;&gt;"",H825&lt;&gt;"",J825&lt;&gt;"",K825&lt;&gt;"",N825&lt;&gt;"",O825&lt;&gt;"",P825&lt;&gt;"",Q825&lt;&gt;"",R825&lt;&gt;"",S825&lt;&gt;"",T825&lt;&gt;"",V825&lt;&gt;"",W825&lt;&gt;"",X825&lt;&gt;"",Y825&lt;&gt;""),"COMPLETE","MISSING FIELDS")))</f>
        <v/>
      </c>
    </row>
    <row r="826" ht="15" customHeight="1" s="15">
      <c r="A826" s="27" t="inlineStr">
        <is>
          <t>LEAD-0822</t>
        </is>
      </c>
      <c r="B826" s="27" t="inlineStr">
        <is>
          <t>Tristan Montgomery</t>
        </is>
      </c>
      <c r="C826" s="27" t="inlineStr">
        <is>
          <t>Expert-Led Creator</t>
        </is>
      </c>
      <c r="D826" s="27" t="inlineStr">
        <is>
          <t>AU</t>
        </is>
      </c>
      <c r="E826" s="27" t="inlineStr">
        <is>
          <t>English</t>
        </is>
      </c>
      <c r="F826" s="27" t="inlineStr">
        <is>
          <t>YouTube</t>
        </is>
      </c>
      <c r="G826" s="27" t="inlineStr">
        <is>
          <t>https://www.youtube.com/@tristanmontgomery</t>
        </is>
      </c>
      <c r="H826" s="27" t="inlineStr">
        <is>
          <t>UCAU00822037554</t>
        </is>
      </c>
      <c r="I826" s="27" t="inlineStr">
        <is>
          <t>360,000</t>
        </is>
      </c>
      <c r="J826" s="27" t="inlineStr">
        <is>
          <t>2026-10-16</t>
        </is>
      </c>
      <c r="K826" s="27" t="inlineStr">
        <is>
          <t>https://www.youtube.com/watch?v=au00822</t>
        </is>
      </c>
      <c r="L826" s="27" t="n">
        <v>10</v>
      </c>
      <c r="M826" s="27" t="n">
        <v>28</v>
      </c>
      <c r="N826" s="27" t="inlineStr">
        <is>
          <t>Product</t>
        </is>
      </c>
      <c r="O826" s="27" t="inlineStr">
        <is>
          <t>https://tristanmontgomery.com/shop</t>
        </is>
      </c>
      <c r="P826" s="27" t="inlineStr">
        <is>
          <t>Editing Backlog &amp; Team Workflow Overhead</t>
        </is>
      </c>
      <c r="Q826" s="27" t="inlineStr">
        <is>
          <t>https://tristanmontgomery.com/highlights</t>
        </is>
      </c>
      <c r="R826" s="27" t="inlineStr">
        <is>
          <t>X (Twitter)</t>
        </is>
      </c>
      <c r="S826" s="27" t="inlineStr">
        <is>
          <t>https://x.com/tristanmontgomery</t>
        </is>
      </c>
      <c r="T826" s="27" t="inlineStr">
        <is>
          <t>https://tristanmontgomery.com/links</t>
        </is>
      </c>
      <c r="U826" s="27" t="inlineStr">
        <is>
          <t>LinkedIn</t>
        </is>
      </c>
      <c r="V826" s="27" t="inlineStr">
        <is>
          <t>creator business &amp; monetization frameworks, specifically regarding episode 23 on Creator Business &amp; Monetization workflow optimization</t>
        </is>
      </c>
      <c r="W826" s="27" t="inlineStr">
        <is>
          <t>Hi Tristan, loved your recent piece on 'creator business &amp; monetization frameworks, specifically regarding episode 23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26" s="27" t="inlineStr">
        <is>
          <t>2026-10-18</t>
        </is>
      </c>
      <c r="Y826" s="27" t="inlineStr">
        <is>
          <t>C</t>
        </is>
      </c>
      <c r="Z826" s="27" t="n">
        <v>82.7</v>
      </c>
      <c r="AA826" s="27" t="inlineStr">
        <is>
          <t>Qualified</t>
        </is>
      </c>
      <c r="AB826" s="27" t="inlineStr"/>
      <c r="AC826" s="28">
        <f>IF(A826="","",IF(COUNTIF($H$5:$H$1004,H826)&gt;1,"DUPLICATE","UNIQUE"))</f>
        <v/>
      </c>
      <c r="AD826" s="28">
        <f>IF(A826="","",IF(AA826="Rejected",IF(AB826&lt;&gt;"","REJECTED","ADD REASON"),IF(AND(B826&lt;&gt;"",C826&lt;&gt;"",D826&lt;&gt;"",E826&lt;&gt;"",F826&lt;&gt;"",G826&lt;&gt;"",H826&lt;&gt;"",J826&lt;&gt;"",K826&lt;&gt;"",N826&lt;&gt;"",O826&lt;&gt;"",P826&lt;&gt;"",Q826&lt;&gt;"",R826&lt;&gt;"",S826&lt;&gt;"",T826&lt;&gt;"",V826&lt;&gt;"",W826&lt;&gt;"",X826&lt;&gt;"",Y826&lt;&gt;""),"COMPLETE","MISSING FIELDS")))</f>
        <v/>
      </c>
    </row>
    <row r="827" ht="15" customHeight="1" s="15">
      <c r="A827" s="27" t="inlineStr">
        <is>
          <t>LEAD-0823</t>
        </is>
      </c>
      <c r="B827" s="27" t="inlineStr">
        <is>
          <t>Tristan Barrington</t>
        </is>
      </c>
      <c r="C827" s="27" t="inlineStr">
        <is>
          <t>YouTuber</t>
        </is>
      </c>
      <c r="D827" s="27" t="inlineStr">
        <is>
          <t>AU</t>
        </is>
      </c>
      <c r="E827" s="27" t="inlineStr">
        <is>
          <t>English</t>
        </is>
      </c>
      <c r="F827" s="27" t="inlineStr">
        <is>
          <t>YouTube</t>
        </is>
      </c>
      <c r="G827" s="27" t="inlineStr">
        <is>
          <t>https://www.youtube.com/@tristanbarrington</t>
        </is>
      </c>
      <c r="H827" s="27" t="inlineStr">
        <is>
          <t>UCAU00823312862</t>
        </is>
      </c>
      <c r="I827" s="27" t="inlineStr">
        <is>
          <t>380,000</t>
        </is>
      </c>
      <c r="J827" s="27" t="inlineStr">
        <is>
          <t>2026-10-17</t>
        </is>
      </c>
      <c r="K827" s="27" t="inlineStr">
        <is>
          <t>https://www.youtube.com/watch?v=au00823</t>
        </is>
      </c>
      <c r="L827" s="27" t="n">
        <v>11</v>
      </c>
      <c r="M827" s="27" t="n">
        <v>29</v>
      </c>
      <c r="N827" s="27" t="inlineStr">
        <is>
          <t>Consulting</t>
        </is>
      </c>
      <c r="O827" s="27" t="inlineStr">
        <is>
          <t>https://tristanbarrington.com/advisory</t>
        </is>
      </c>
      <c r="P827" s="27" t="inlineStr">
        <is>
          <t>Shorts Repurposing Bottleneck</t>
        </is>
      </c>
      <c r="Q827" s="27" t="inlineStr">
        <is>
          <t>https://tristanbarrington.com/highlights</t>
        </is>
      </c>
      <c r="R827" s="27" t="inlineStr">
        <is>
          <t>Email</t>
        </is>
      </c>
      <c r="S827" s="27" t="inlineStr">
        <is>
          <t>hello@tristanbarrington.com</t>
        </is>
      </c>
      <c r="T827" s="27" t="inlineStr">
        <is>
          <t>https://tristanbarrington.com/work-with-me</t>
        </is>
      </c>
      <c r="U827" s="27" t="inlineStr">
        <is>
          <t>LinkedIn</t>
        </is>
      </c>
      <c r="V827" s="27" t="inlineStr">
        <is>
          <t>productivity &amp; personal systems frameworks, specifically regarding episode 24 on Productivity &amp; Personal Systems workflow optimization</t>
        </is>
      </c>
      <c r="W827" s="27" t="inlineStr">
        <is>
          <t>Hi Tristan, loved your recent piece on 'productivity &amp; personal systems frameworks, specifically regarding episode 24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27" s="27" t="inlineStr">
        <is>
          <t>2026-10-18</t>
        </is>
      </c>
      <c r="Y827" s="27" t="inlineStr">
        <is>
          <t>C</t>
        </is>
      </c>
      <c r="Z827" s="27" t="n">
        <v>82.59999999999999</v>
      </c>
      <c r="AA827" s="27" t="inlineStr">
        <is>
          <t>Qualified</t>
        </is>
      </c>
      <c r="AB827" s="27" t="inlineStr"/>
      <c r="AC827" s="28">
        <f>IF(A827="","",IF(COUNTIF($H$5:$H$1004,H827)&gt;1,"DUPLICATE","UNIQUE"))</f>
        <v/>
      </c>
      <c r="AD827" s="28">
        <f>IF(A827="","",IF(AA827="Rejected",IF(AB827&lt;&gt;"","REJECTED","ADD REASON"),IF(AND(B827&lt;&gt;"",C827&lt;&gt;"",D827&lt;&gt;"",E827&lt;&gt;"",F827&lt;&gt;"",G827&lt;&gt;"",H827&lt;&gt;"",J827&lt;&gt;"",K827&lt;&gt;"",N827&lt;&gt;"",O827&lt;&gt;"",P827&lt;&gt;"",Q827&lt;&gt;"",R827&lt;&gt;"",S827&lt;&gt;"",T827&lt;&gt;"",V827&lt;&gt;"",W827&lt;&gt;"",X827&lt;&gt;"",Y827&lt;&gt;""),"COMPLETE","MISSING FIELDS")))</f>
        <v/>
      </c>
    </row>
    <row r="828" ht="15" customHeight="1" s="15">
      <c r="A828" s="27" t="inlineStr">
        <is>
          <t>LEAD-0824</t>
        </is>
      </c>
      <c r="B828" s="27" t="inlineStr">
        <is>
          <t>Tristan Thornton</t>
        </is>
      </c>
      <c r="C828" s="27" t="inlineStr">
        <is>
          <t>Podcaster</t>
        </is>
      </c>
      <c r="D828" s="27" t="inlineStr">
        <is>
          <t>AU</t>
        </is>
      </c>
      <c r="E828" s="27" t="inlineStr">
        <is>
          <t>English</t>
        </is>
      </c>
      <c r="F828" s="27" t="inlineStr">
        <is>
          <t>Apple Podcasts</t>
        </is>
      </c>
      <c r="G828" s="27" t="inlineStr">
        <is>
          <t>https://podcasts.apple.com/au/podcast/tristanthornton/id1000824</t>
        </is>
      </c>
      <c r="H828" s="27" t="inlineStr">
        <is>
          <t>AP-AU-1000824</t>
        </is>
      </c>
      <c r="I828" s="27" t="inlineStr">
        <is>
          <t>300,000</t>
        </is>
      </c>
      <c r="J828" s="27" t="inlineStr">
        <is>
          <t>2026-10-10</t>
        </is>
      </c>
      <c r="K828" s="27" t="inlineStr">
        <is>
          <t>https://tristanthornton.com/episodes/25</t>
        </is>
      </c>
      <c r="L828" s="27" t="n">
        <v>12</v>
      </c>
      <c r="M828" s="27" t="n">
        <v>30</v>
      </c>
      <c r="N828" s="27" t="inlineStr">
        <is>
          <t>Newsletter Subscription</t>
        </is>
      </c>
      <c r="O828" s="27" t="inlineStr">
        <is>
          <t>https://tristanthornton.com/subscribe</t>
        </is>
      </c>
      <c r="P828" s="27" t="inlineStr">
        <is>
          <t>Inconsistent Cross-Platform Publishing</t>
        </is>
      </c>
      <c r="Q828" s="27" t="inlineStr">
        <is>
          <t>https://tristanthornton.com/highlights</t>
        </is>
      </c>
      <c r="R828" s="27" t="inlineStr">
        <is>
          <t>Email</t>
        </is>
      </c>
      <c r="S828" s="27" t="inlineStr">
        <is>
          <t>contact@tristanthornton.com</t>
        </is>
      </c>
      <c r="T828" s="27" t="inlineStr">
        <is>
          <t>https://tristanthornton.com/contact</t>
        </is>
      </c>
      <c r="U828" s="27" t="inlineStr">
        <is>
          <t>LinkedIn</t>
        </is>
      </c>
      <c r="V828" s="27" t="inlineStr">
        <is>
          <t>leadership &amp; team ops frameworks, specifically regarding episode 25 on Leadership &amp; Team Ops workflow optimization</t>
        </is>
      </c>
      <c r="W828" s="27" t="inlineStr">
        <is>
          <t>Hi Tristan, loved your recent piece on 'leadership &amp; team ops frameworks, specifically regarding episode 25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28" s="27" t="inlineStr">
        <is>
          <t>2026-10-18</t>
        </is>
      </c>
      <c r="Y828" s="27" t="inlineStr">
        <is>
          <t>C</t>
        </is>
      </c>
      <c r="Z828" s="27" t="n">
        <v>82.59999999999999</v>
      </c>
      <c r="AA828" s="27" t="inlineStr">
        <is>
          <t>Qualified</t>
        </is>
      </c>
      <c r="AB828" s="27" t="inlineStr"/>
      <c r="AC828" s="28">
        <f>IF(A828="","",IF(COUNTIF($H$5:$H$1004,H828)&gt;1,"DUPLICATE","UNIQUE"))</f>
        <v/>
      </c>
      <c r="AD828" s="28">
        <f>IF(A828="","",IF(AA828="Rejected",IF(AB828&lt;&gt;"","REJECTED","ADD REASON"),IF(AND(B828&lt;&gt;"",C828&lt;&gt;"",D828&lt;&gt;"",E828&lt;&gt;"",F828&lt;&gt;"",G828&lt;&gt;"",H828&lt;&gt;"",J828&lt;&gt;"",K828&lt;&gt;"",N828&lt;&gt;"",O828&lt;&gt;"",P828&lt;&gt;"",Q828&lt;&gt;"",R828&lt;&gt;"",S828&lt;&gt;"",T828&lt;&gt;"",V828&lt;&gt;"",W828&lt;&gt;"",X828&lt;&gt;"",Y828&lt;&gt;""),"COMPLETE","MISSING FIELDS")))</f>
        <v/>
      </c>
    </row>
    <row r="829" ht="15" customHeight="1" s="15">
      <c r="A829" s="27" t="inlineStr">
        <is>
          <t>LEAD-0825</t>
        </is>
      </c>
      <c r="B829" s="27" t="inlineStr">
        <is>
          <t>Tristan Wellington</t>
        </is>
      </c>
      <c r="C829" s="27" t="inlineStr">
        <is>
          <t>Expert-Led Creator</t>
        </is>
      </c>
      <c r="D829" s="27" t="inlineStr">
        <is>
          <t>AU</t>
        </is>
      </c>
      <c r="E829" s="27" t="inlineStr">
        <is>
          <t>English</t>
        </is>
      </c>
      <c r="F829" s="27" t="inlineStr">
        <is>
          <t>LinkedIn</t>
        </is>
      </c>
      <c r="G829" s="27" t="inlineStr">
        <is>
          <t>https://www.linkedin.com/in/tristanwellington</t>
        </is>
      </c>
      <c r="H829" s="27" t="inlineStr">
        <is>
          <t>LI-tristanwellington-0825</t>
        </is>
      </c>
      <c r="I829" s="27" t="inlineStr">
        <is>
          <t>96,000</t>
        </is>
      </c>
      <c r="J829" s="27" t="inlineStr">
        <is>
          <t>2026-10-11</t>
        </is>
      </c>
      <c r="K829" s="27" t="inlineStr">
        <is>
          <t>https://tristanwellington.com/posts/76</t>
        </is>
      </c>
      <c r="L829" s="27" t="n">
        <v>13</v>
      </c>
      <c r="M829" s="27" t="n">
        <v>31</v>
      </c>
      <c r="N829" s="27" t="inlineStr">
        <is>
          <t>Affiliate</t>
        </is>
      </c>
      <c r="O829" s="27" t="inlineStr">
        <is>
          <t>https://tristanwellington.com/resources</t>
        </is>
      </c>
      <c r="P829" s="27" t="inlineStr">
        <is>
          <t>Editing Backlog &amp; Team Workflow Overhead</t>
        </is>
      </c>
      <c r="Q829" s="27" t="inlineStr">
        <is>
          <t>https://tristanwellington.com/highlights</t>
        </is>
      </c>
      <c r="R829" s="27" t="inlineStr">
        <is>
          <t>LinkedIn</t>
        </is>
      </c>
      <c r="S829" s="27" t="inlineStr">
        <is>
          <t>https://linkedin.com/in/tristanwellington</t>
        </is>
      </c>
      <c r="T829" s="27" t="inlineStr">
        <is>
          <t>https://tristanwellington.com/about</t>
        </is>
      </c>
      <c r="U829" s="27" t="inlineStr">
        <is>
          <t>Email</t>
        </is>
      </c>
      <c r="V829" s="27" t="inlineStr">
        <is>
          <t>b2b marketing &amp; sales frameworks, specifically regarding episode 26 on B2B Marketing &amp; Sales workflow optimization</t>
        </is>
      </c>
      <c r="W829" s="27" t="inlineStr">
        <is>
          <t>Hi Tristan, loved your recent piece on 'b2b marketing &amp; sales frameworks, specifically regarding episode 26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29" s="27" t="inlineStr">
        <is>
          <t>2026-10-18</t>
        </is>
      </c>
      <c r="Y829" s="27" t="inlineStr">
        <is>
          <t>C</t>
        </is>
      </c>
      <c r="Z829" s="27" t="n">
        <v>82.5</v>
      </c>
      <c r="AA829" s="27" t="inlineStr">
        <is>
          <t>Qualified</t>
        </is>
      </c>
      <c r="AB829" s="27" t="inlineStr"/>
      <c r="AC829" s="28">
        <f>IF(A829="","",IF(COUNTIF($H$5:$H$1004,H829)&gt;1,"DUPLICATE","UNIQUE"))</f>
        <v/>
      </c>
      <c r="AD829" s="28">
        <f>IF(A829="","",IF(AA829="Rejected",IF(AB829&lt;&gt;"","REJECTED","ADD REASON"),IF(AND(B829&lt;&gt;"",C829&lt;&gt;"",D829&lt;&gt;"",E829&lt;&gt;"",F829&lt;&gt;"",G829&lt;&gt;"",H829&lt;&gt;"",J829&lt;&gt;"",K829&lt;&gt;"",N829&lt;&gt;"",O829&lt;&gt;"",P829&lt;&gt;"",Q829&lt;&gt;"",R829&lt;&gt;"",S829&lt;&gt;"",T829&lt;&gt;"",V829&lt;&gt;"",W829&lt;&gt;"",X829&lt;&gt;"",Y829&lt;&gt;""),"COMPLETE","MISSING FIELDS")))</f>
        <v/>
      </c>
    </row>
    <row r="830" ht="15" customHeight="1" s="15">
      <c r="A830" s="27" t="inlineStr">
        <is>
          <t>LEAD-0826</t>
        </is>
      </c>
      <c r="B830" s="27" t="inlineStr">
        <is>
          <t>Althea Ashford</t>
        </is>
      </c>
      <c r="C830" s="27" t="inlineStr">
        <is>
          <t>YouTuber</t>
        </is>
      </c>
      <c r="D830" s="27" t="inlineStr">
        <is>
          <t>AU</t>
        </is>
      </c>
      <c r="E830" s="27" t="inlineStr">
        <is>
          <t>English</t>
        </is>
      </c>
      <c r="F830" s="27" t="inlineStr">
        <is>
          <t>YouTube</t>
        </is>
      </c>
      <c r="G830" s="27" t="inlineStr">
        <is>
          <t>https://www.youtube.com/@altheaashford</t>
        </is>
      </c>
      <c r="H830" s="27" t="inlineStr">
        <is>
          <t>UCAU00826503736</t>
        </is>
      </c>
      <c r="I830" s="27" t="inlineStr">
        <is>
          <t>440,000</t>
        </is>
      </c>
      <c r="J830" s="27" t="inlineStr">
        <is>
          <t>2026-10-12</t>
        </is>
      </c>
      <c r="K830" s="27" t="inlineStr">
        <is>
          <t>https://www.youtube.com/watch?v=au00826</t>
        </is>
      </c>
      <c r="L830" s="27" t="n">
        <v>14</v>
      </c>
      <c r="M830" s="27" t="n">
        <v>32</v>
      </c>
      <c r="N830" s="27" t="inlineStr">
        <is>
          <t>Course</t>
        </is>
      </c>
      <c r="O830" s="27" t="inlineStr">
        <is>
          <t>https://altheaashford.com/academy</t>
        </is>
      </c>
      <c r="P830" s="27" t="inlineStr">
        <is>
          <t>Multilingual Audio Dubbing</t>
        </is>
      </c>
      <c r="Q830" s="27" t="inlineStr">
        <is>
          <t>https://altheaashford.com/highlights</t>
        </is>
      </c>
      <c r="R830" s="27" t="inlineStr">
        <is>
          <t>X (Twitter)</t>
        </is>
      </c>
      <c r="S830" s="27" t="inlineStr">
        <is>
          <t>https://x.com/altheaashford</t>
        </is>
      </c>
      <c r="T830" s="27" t="inlineStr">
        <is>
          <t>https://altheaashford.com/links</t>
        </is>
      </c>
      <c r="U830" s="27" t="inlineStr">
        <is>
          <t>LinkedIn</t>
        </is>
      </c>
      <c r="V830" s="27" t="inlineStr">
        <is>
          <t>finance &amp; wealth engineering frameworks, specifically regarding episode 27 on Finance &amp; Wealth Engineering workflow optimization</t>
        </is>
      </c>
      <c r="W830" s="27" t="inlineStr">
        <is>
          <t>Hi Althea,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30" s="27" t="inlineStr">
        <is>
          <t>2026-10-18</t>
        </is>
      </c>
      <c r="Y830" s="27" t="inlineStr">
        <is>
          <t>C</t>
        </is>
      </c>
      <c r="Z830" s="27" t="n">
        <v>82.40000000000001</v>
      </c>
      <c r="AA830" s="27" t="inlineStr">
        <is>
          <t>Qualified</t>
        </is>
      </c>
      <c r="AB830" s="27" t="inlineStr"/>
      <c r="AC830" s="28">
        <f>IF(A830="","",IF(COUNTIF($H$5:$H$1004,H830)&gt;1,"DUPLICATE","UNIQUE"))</f>
        <v/>
      </c>
      <c r="AD830" s="28">
        <f>IF(A830="","",IF(AA830="Rejected",IF(AB830&lt;&gt;"","REJECTED","ADD REASON"),IF(AND(B830&lt;&gt;"",C830&lt;&gt;"",D830&lt;&gt;"",E830&lt;&gt;"",F830&lt;&gt;"",G830&lt;&gt;"",H830&lt;&gt;"",J830&lt;&gt;"",K830&lt;&gt;"",N830&lt;&gt;"",O830&lt;&gt;"",P830&lt;&gt;"",Q830&lt;&gt;"",R830&lt;&gt;"",S830&lt;&gt;"",T830&lt;&gt;"",V830&lt;&gt;"",W830&lt;&gt;"",X830&lt;&gt;"",Y830&lt;&gt;""),"COMPLETE","MISSING FIELDS")))</f>
        <v/>
      </c>
    </row>
    <row r="831" ht="15" customHeight="1" s="15">
      <c r="A831" s="27" t="inlineStr">
        <is>
          <t>LEAD-0827</t>
        </is>
      </c>
      <c r="B831" s="27" t="inlineStr">
        <is>
          <t>Althea Bancroft</t>
        </is>
      </c>
      <c r="C831" s="27" t="inlineStr">
        <is>
          <t>Podcaster</t>
        </is>
      </c>
      <c r="D831" s="27" t="inlineStr">
        <is>
          <t>AU</t>
        </is>
      </c>
      <c r="E831" s="27" t="inlineStr">
        <is>
          <t>English</t>
        </is>
      </c>
      <c r="F831" s="27" t="inlineStr">
        <is>
          <t>Apple Podcasts</t>
        </is>
      </c>
      <c r="G831" s="27" t="inlineStr">
        <is>
          <t>https://podcasts.apple.com/au/podcast/altheabancroft/id1000827</t>
        </is>
      </c>
      <c r="H831" s="27" t="inlineStr">
        <is>
          <t>AP-AU-1000827</t>
        </is>
      </c>
      <c r="I831" s="27" t="inlineStr">
        <is>
          <t>36,000</t>
        </is>
      </c>
      <c r="J831" s="27" t="inlineStr">
        <is>
          <t>2026-10-13</t>
        </is>
      </c>
      <c r="K831" s="27" t="inlineStr">
        <is>
          <t>https://altheabancroft.com/episodes/28</t>
        </is>
      </c>
      <c r="L831" s="27" t="n">
        <v>15</v>
      </c>
      <c r="M831" s="27" t="n">
        <v>33</v>
      </c>
      <c r="N831" s="27" t="inlineStr">
        <is>
          <t>Sponsor</t>
        </is>
      </c>
      <c r="O831" s="27" t="inlineStr">
        <is>
          <t>https://altheabancroft.com/partners</t>
        </is>
      </c>
      <c r="P831" s="27" t="inlineStr">
        <is>
          <t>Multilingual Audio Dubbing</t>
        </is>
      </c>
      <c r="Q831" s="27" t="inlineStr">
        <is>
          <t>https://altheabancroft.com/highlights</t>
        </is>
      </c>
      <c r="R831" s="27" t="inlineStr">
        <is>
          <t>Email</t>
        </is>
      </c>
      <c r="S831" s="27" t="inlineStr">
        <is>
          <t>hello@altheabancroft.com</t>
        </is>
      </c>
      <c r="T831" s="27" t="inlineStr">
        <is>
          <t>https://altheabancroft.com/work-with-me</t>
        </is>
      </c>
      <c r="U831" s="27" t="inlineStr">
        <is>
          <t>LinkedIn</t>
        </is>
      </c>
      <c r="V831" s="27" t="inlineStr">
        <is>
          <t>health &amp; longevity science frameworks, specifically regarding episode 28 on Health &amp; Longevity Science workflow optimization</t>
        </is>
      </c>
      <c r="W831" s="27" t="inlineStr">
        <is>
          <t>Hi Althea,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31" s="27" t="inlineStr">
        <is>
          <t>2026-10-18</t>
        </is>
      </c>
      <c r="Y831" s="27" t="inlineStr">
        <is>
          <t>C</t>
        </is>
      </c>
      <c r="Z831" s="27" t="n">
        <v>82.40000000000001</v>
      </c>
      <c r="AA831" s="27" t="inlineStr">
        <is>
          <t>Qualified</t>
        </is>
      </c>
      <c r="AB831" s="27" t="inlineStr"/>
      <c r="AC831" s="28">
        <f>IF(A831="","",IF(COUNTIF($H$5:$H$1004,H831)&gt;1,"DUPLICATE","UNIQUE"))</f>
        <v/>
      </c>
      <c r="AD831" s="28">
        <f>IF(A831="","",IF(AA831="Rejected",IF(AB831&lt;&gt;"","REJECTED","ADD REASON"),IF(AND(B831&lt;&gt;"",C831&lt;&gt;"",D831&lt;&gt;"",E831&lt;&gt;"",F831&lt;&gt;"",G831&lt;&gt;"",H831&lt;&gt;"",J831&lt;&gt;"",K831&lt;&gt;"",N831&lt;&gt;"",O831&lt;&gt;"",P831&lt;&gt;"",Q831&lt;&gt;"",R831&lt;&gt;"",S831&lt;&gt;"",T831&lt;&gt;"",V831&lt;&gt;"",W831&lt;&gt;"",X831&lt;&gt;"",Y831&lt;&gt;""),"COMPLETE","MISSING FIELDS")))</f>
        <v/>
      </c>
    </row>
    <row r="832" ht="15" customHeight="1" s="15">
      <c r="A832" s="27" t="inlineStr">
        <is>
          <t>LEAD-0828</t>
        </is>
      </c>
      <c r="B832" s="27" t="inlineStr">
        <is>
          <t>Althea Calloway</t>
        </is>
      </c>
      <c r="C832" s="27" t="inlineStr">
        <is>
          <t>YouTuber</t>
        </is>
      </c>
      <c r="D832" s="27" t="inlineStr">
        <is>
          <t>AU</t>
        </is>
      </c>
      <c r="E832" s="27" t="inlineStr">
        <is>
          <t>English</t>
        </is>
      </c>
      <c r="F832" s="27" t="inlineStr">
        <is>
          <t>YouTube</t>
        </is>
      </c>
      <c r="G832" s="27" t="inlineStr">
        <is>
          <t>https://www.youtube.com/@altheacalloway</t>
        </is>
      </c>
      <c r="H832" s="27" t="inlineStr">
        <is>
          <t>UCAU00828576308</t>
        </is>
      </c>
      <c r="I832" s="27" t="inlineStr">
        <is>
          <t>480,000</t>
        </is>
      </c>
      <c r="J832" s="27" t="inlineStr">
        <is>
          <t>2026-10-14</t>
        </is>
      </c>
      <c r="K832" s="27" t="inlineStr">
        <is>
          <t>https://www.youtube.com/watch?v=au00828</t>
        </is>
      </c>
      <c r="L832" s="27" t="n">
        <v>16</v>
      </c>
      <c r="M832" s="27" t="n">
        <v>16</v>
      </c>
      <c r="N832" s="27" t="inlineStr">
        <is>
          <t>Membership</t>
        </is>
      </c>
      <c r="O832" s="27" t="inlineStr">
        <is>
          <t>https://altheacalloway.com/community</t>
        </is>
      </c>
      <c r="P832" s="27" t="inlineStr">
        <is>
          <t>Missing Video Captions &amp; Retention Clips</t>
        </is>
      </c>
      <c r="Q832" s="27" t="inlineStr">
        <is>
          <t>https://altheacalloway.com/highlights</t>
        </is>
      </c>
      <c r="R832" s="27" t="inlineStr">
        <is>
          <t>Email</t>
        </is>
      </c>
      <c r="S832" s="27" t="inlineStr">
        <is>
          <t>contact@altheacalloway.com</t>
        </is>
      </c>
      <c r="T832" s="27" t="inlineStr">
        <is>
          <t>https://altheacalloway.com/contact</t>
        </is>
      </c>
      <c r="U832" s="27" t="inlineStr">
        <is>
          <t>LinkedIn</t>
        </is>
      </c>
      <c r="V832" s="27" t="inlineStr">
        <is>
          <t>education &amp; applied coding frameworks, specifically regarding episode 29 on Education &amp; Applied Coding workflow optimization</t>
        </is>
      </c>
      <c r="W832" s="27" t="inlineStr">
        <is>
          <t>Hi Althea,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32" s="27" t="inlineStr">
        <is>
          <t>2026-10-18</t>
        </is>
      </c>
      <c r="Y832" s="27" t="inlineStr">
        <is>
          <t>C</t>
        </is>
      </c>
      <c r="Z832" s="27" t="n">
        <v>82.3</v>
      </c>
      <c r="AA832" s="27" t="inlineStr">
        <is>
          <t>Qualified</t>
        </is>
      </c>
      <c r="AB832" s="27" t="inlineStr"/>
      <c r="AC832" s="28">
        <f>IF(A832="","",IF(COUNTIF($H$5:$H$1004,H832)&gt;1,"DUPLICATE","UNIQUE"))</f>
        <v/>
      </c>
      <c r="AD832" s="28">
        <f>IF(A832="","",IF(AA832="Rejected",IF(AB832&lt;&gt;"","REJECTED","ADD REASON"),IF(AND(B832&lt;&gt;"",C832&lt;&gt;"",D832&lt;&gt;"",E832&lt;&gt;"",F832&lt;&gt;"",G832&lt;&gt;"",H832&lt;&gt;"",J832&lt;&gt;"",K832&lt;&gt;"",N832&lt;&gt;"",O832&lt;&gt;"",P832&lt;&gt;"",Q832&lt;&gt;"",R832&lt;&gt;"",S832&lt;&gt;"",T832&lt;&gt;"",V832&lt;&gt;"",W832&lt;&gt;"",X832&lt;&gt;"",Y832&lt;&gt;""),"COMPLETE","MISSING FIELDS")))</f>
        <v/>
      </c>
    </row>
    <row r="833" ht="15" customHeight="1" s="15">
      <c r="A833" s="27" t="inlineStr">
        <is>
          <t>LEAD-0829</t>
        </is>
      </c>
      <c r="B833" s="27" t="inlineStr">
        <is>
          <t>Althea Delaney</t>
        </is>
      </c>
      <c r="C833" s="27" t="inlineStr">
        <is>
          <t>Podcaster</t>
        </is>
      </c>
      <c r="D833" s="27" t="inlineStr">
        <is>
          <t>AU</t>
        </is>
      </c>
      <c r="E833" s="27" t="inlineStr">
        <is>
          <t>English</t>
        </is>
      </c>
      <c r="F833" s="27" t="inlineStr">
        <is>
          <t>Apple Podcasts</t>
        </is>
      </c>
      <c r="G833" s="27" t="inlineStr">
        <is>
          <t>https://podcasts.apple.com/au/podcast/altheadelaney/id1000829</t>
        </is>
      </c>
      <c r="H833" s="27" t="inlineStr">
        <is>
          <t>AP-AU-1000829</t>
        </is>
      </c>
      <c r="I833" s="27" t="inlineStr">
        <is>
          <t>60,000</t>
        </is>
      </c>
      <c r="J833" s="27" t="inlineStr">
        <is>
          <t>2026-10-15</t>
        </is>
      </c>
      <c r="K833" s="27" t="inlineStr">
        <is>
          <t>https://altheadelaney.com/episodes/30</t>
        </is>
      </c>
      <c r="L833" s="27" t="n">
        <v>17</v>
      </c>
      <c r="M833" s="27" t="n">
        <v>17</v>
      </c>
      <c r="N833" s="27" t="inlineStr">
        <is>
          <t>Product</t>
        </is>
      </c>
      <c r="O833" s="27" t="inlineStr">
        <is>
          <t>https://altheadelaney.com/shop</t>
        </is>
      </c>
      <c r="P833" s="27" t="inlineStr">
        <is>
          <t>Shorts Repurposing Bottleneck</t>
        </is>
      </c>
      <c r="Q833" s="27" t="inlineStr">
        <is>
          <t>https://altheadelaney.com/highlights</t>
        </is>
      </c>
      <c r="R833" s="27" t="inlineStr">
        <is>
          <t>LinkedIn</t>
        </is>
      </c>
      <c r="S833" s="27" t="inlineStr">
        <is>
          <t>https://linkedin.com/in/altheadelaney</t>
        </is>
      </c>
      <c r="T833" s="27" t="inlineStr">
        <is>
          <t>https://altheadelaney.com/about</t>
        </is>
      </c>
      <c r="U833" s="27" t="inlineStr">
        <is>
          <t>Email</t>
        </is>
      </c>
      <c r="V833" s="27" t="inlineStr">
        <is>
          <t>e-commerce &amp; digital brands frameworks, specifically regarding episode 30 on E-Commerce &amp; Digital Brands workflow optimization</t>
        </is>
      </c>
      <c r="W833" s="27" t="inlineStr">
        <is>
          <t>Hi Althea,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33" s="27" t="inlineStr">
        <is>
          <t>2026-10-18</t>
        </is>
      </c>
      <c r="Y833" s="27" t="inlineStr">
        <is>
          <t>C</t>
        </is>
      </c>
      <c r="Z833" s="27" t="n">
        <v>82.3</v>
      </c>
      <c r="AA833" s="27" t="inlineStr">
        <is>
          <t>Qualified</t>
        </is>
      </c>
      <c r="AB833" s="27" t="inlineStr"/>
      <c r="AC833" s="28">
        <f>IF(A833="","",IF(COUNTIF($H$5:$H$1004,H833)&gt;1,"DUPLICATE","UNIQUE"))</f>
        <v/>
      </c>
      <c r="AD833" s="28">
        <f>IF(A833="","",IF(AA833="Rejected",IF(AB833&lt;&gt;"","REJECTED","ADD REASON"),IF(AND(B833&lt;&gt;"",C833&lt;&gt;"",D833&lt;&gt;"",E833&lt;&gt;"",F833&lt;&gt;"",G833&lt;&gt;"",H833&lt;&gt;"",J833&lt;&gt;"",K833&lt;&gt;"",N833&lt;&gt;"",O833&lt;&gt;"",P833&lt;&gt;"",Q833&lt;&gt;"",R833&lt;&gt;"",S833&lt;&gt;"",T833&lt;&gt;"",V833&lt;&gt;"",W833&lt;&gt;"",X833&lt;&gt;"",Y833&lt;&gt;""),"COMPLETE","MISSING FIELDS")))</f>
        <v/>
      </c>
    </row>
    <row r="834" ht="15" customHeight="1" s="15">
      <c r="A834" s="27" t="inlineStr">
        <is>
          <t>LEAD-0830</t>
        </is>
      </c>
      <c r="B834" s="27" t="inlineStr">
        <is>
          <t>Althea Eastwood</t>
        </is>
      </c>
      <c r="C834" s="27" t="inlineStr">
        <is>
          <t>YouTuber</t>
        </is>
      </c>
      <c r="D834" s="27" t="inlineStr">
        <is>
          <t>AU</t>
        </is>
      </c>
      <c r="E834" s="27" t="inlineStr">
        <is>
          <t>English</t>
        </is>
      </c>
      <c r="F834" s="27" t="inlineStr">
        <is>
          <t>YouTube</t>
        </is>
      </c>
      <c r="G834" s="27" t="inlineStr">
        <is>
          <t>https://www.youtube.com/@altheaeastwood</t>
        </is>
      </c>
      <c r="H834" s="27" t="inlineStr">
        <is>
          <t>UCAU00830078322</t>
        </is>
      </c>
      <c r="I834" s="27" t="inlineStr">
        <is>
          <t>520,000</t>
        </is>
      </c>
      <c r="J834" s="27" t="inlineStr">
        <is>
          <t>2026-10-16</t>
        </is>
      </c>
      <c r="K834" s="27" t="inlineStr">
        <is>
          <t>https://www.youtube.com/watch?v=au00830</t>
        </is>
      </c>
      <c r="L834" s="27" t="n">
        <v>8</v>
      </c>
      <c r="M834" s="27" t="n">
        <v>18</v>
      </c>
      <c r="N834" s="27" t="inlineStr">
        <is>
          <t>Consulting</t>
        </is>
      </c>
      <c r="O834" s="27" t="inlineStr">
        <is>
          <t>https://altheaeastwood.com/advisory</t>
        </is>
      </c>
      <c r="P834" s="27" t="inlineStr">
        <is>
          <t>Shorts Repurposing Bottleneck</t>
        </is>
      </c>
      <c r="Q834" s="27" t="inlineStr">
        <is>
          <t>https://altheaeastwood.com/highlights</t>
        </is>
      </c>
      <c r="R834" s="27" t="inlineStr">
        <is>
          <t>X (Twitter)</t>
        </is>
      </c>
      <c r="S834" s="27" t="inlineStr">
        <is>
          <t>https://x.com/altheaeastwood</t>
        </is>
      </c>
      <c r="T834" s="27" t="inlineStr">
        <is>
          <t>https://altheaeastwood.com/links</t>
        </is>
      </c>
      <c r="U834" s="27" t="inlineStr">
        <is>
          <t>LinkedIn</t>
        </is>
      </c>
      <c r="V834" s="27" t="inlineStr">
        <is>
          <t>tech &amp; ai frameworks, specifically regarding episode 31 on Tech &amp; AI workflow optimization</t>
        </is>
      </c>
      <c r="W834" s="27" t="inlineStr">
        <is>
          <t>Hi Althea,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34" s="27" t="inlineStr">
        <is>
          <t>2026-10-18</t>
        </is>
      </c>
      <c r="Y834" s="27" t="inlineStr">
        <is>
          <t>C</t>
        </is>
      </c>
      <c r="Z834" s="27" t="n">
        <v>82.2</v>
      </c>
      <c r="AA834" s="27" t="inlineStr">
        <is>
          <t>Qualified</t>
        </is>
      </c>
      <c r="AB834" s="27" t="inlineStr"/>
      <c r="AC834" s="28">
        <f>IF(A834="","",IF(COUNTIF($H$5:$H$1004,H834)&gt;1,"DUPLICATE","UNIQUE"))</f>
        <v/>
      </c>
      <c r="AD834" s="28">
        <f>IF(A834="","",IF(AA834="Rejected",IF(AB834&lt;&gt;"","REJECTED","ADD REASON"),IF(AND(B834&lt;&gt;"",C834&lt;&gt;"",D834&lt;&gt;"",E834&lt;&gt;"",F834&lt;&gt;"",G834&lt;&gt;"",H834&lt;&gt;"",J834&lt;&gt;"",K834&lt;&gt;"",N834&lt;&gt;"",O834&lt;&gt;"",P834&lt;&gt;"",Q834&lt;&gt;"",R834&lt;&gt;"",S834&lt;&gt;"",T834&lt;&gt;"",V834&lt;&gt;"",W834&lt;&gt;"",X834&lt;&gt;"",Y834&lt;&gt;""),"COMPLETE","MISSING FIELDS")))</f>
        <v/>
      </c>
    </row>
    <row r="835" ht="15" customHeight="1" s="15">
      <c r="A835" s="27" t="inlineStr">
        <is>
          <t>LEAD-0831</t>
        </is>
      </c>
      <c r="B835" s="27" t="inlineStr">
        <is>
          <t>Althea Fairchild</t>
        </is>
      </c>
      <c r="C835" s="27" t="inlineStr">
        <is>
          <t>Podcaster</t>
        </is>
      </c>
      <c r="D835" s="27" t="inlineStr">
        <is>
          <t>AU</t>
        </is>
      </c>
      <c r="E835" s="27" t="inlineStr">
        <is>
          <t>English</t>
        </is>
      </c>
      <c r="F835" s="27" t="inlineStr">
        <is>
          <t>Apple Podcasts</t>
        </is>
      </c>
      <c r="G835" s="27" t="inlineStr">
        <is>
          <t>https://podcasts.apple.com/au/podcast/altheafairchild/id1000831</t>
        </is>
      </c>
      <c r="H835" s="27" t="inlineStr">
        <is>
          <t>AP-AU-1000831</t>
        </is>
      </c>
      <c r="I835" s="27" t="inlineStr">
        <is>
          <t>84,000</t>
        </is>
      </c>
      <c r="J835" s="27" t="inlineStr">
        <is>
          <t>2026-10-17</t>
        </is>
      </c>
      <c r="K835" s="27" t="inlineStr">
        <is>
          <t>https://altheafairchild.com/episodes/32</t>
        </is>
      </c>
      <c r="L835" s="27" t="n">
        <v>9</v>
      </c>
      <c r="M835" s="27" t="n">
        <v>19</v>
      </c>
      <c r="N835" s="27" t="inlineStr">
        <is>
          <t>Newsletter Subscription</t>
        </is>
      </c>
      <c r="O835" s="27" t="inlineStr">
        <is>
          <t>https://altheafairchild.com/subscribe</t>
        </is>
      </c>
      <c r="P835" s="27" t="inlineStr">
        <is>
          <t>Missing Video Captions &amp; Retention Clips</t>
        </is>
      </c>
      <c r="Q835" s="27" t="inlineStr">
        <is>
          <t>https://altheafairchild.com/highlights</t>
        </is>
      </c>
      <c r="R835" s="27" t="inlineStr">
        <is>
          <t>Email</t>
        </is>
      </c>
      <c r="S835" s="27" t="inlineStr">
        <is>
          <t>hello@altheafairchild.com</t>
        </is>
      </c>
      <c r="T835" s="27" t="inlineStr">
        <is>
          <t>https://altheafairchild.com/work-with-me</t>
        </is>
      </c>
      <c r="U835" s="27" t="inlineStr">
        <is>
          <t>LinkedIn</t>
        </is>
      </c>
      <c r="V835" s="27" t="inlineStr">
        <is>
          <t>saas &amp; product growth frameworks, specifically regarding episode 32 on SaaS &amp; Product Growth workflow optimization</t>
        </is>
      </c>
      <c r="W835" s="27" t="inlineStr">
        <is>
          <t>Hi Althea,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35" s="27" t="inlineStr">
        <is>
          <t>2026-10-18</t>
        </is>
      </c>
      <c r="Y835" s="27" t="inlineStr">
        <is>
          <t>C</t>
        </is>
      </c>
      <c r="Z835" s="27" t="n">
        <v>82.09999999999999</v>
      </c>
      <c r="AA835" s="27" t="inlineStr">
        <is>
          <t>Qualified</t>
        </is>
      </c>
      <c r="AB835" s="27" t="inlineStr"/>
      <c r="AC835" s="28">
        <f>IF(A835="","",IF(COUNTIF($H$5:$H$1004,H835)&gt;1,"DUPLICATE","UNIQUE"))</f>
        <v/>
      </c>
      <c r="AD835" s="28">
        <f>IF(A835="","",IF(AA835="Rejected",IF(AB835&lt;&gt;"","REJECTED","ADD REASON"),IF(AND(B835&lt;&gt;"",C835&lt;&gt;"",D835&lt;&gt;"",E835&lt;&gt;"",F835&lt;&gt;"",G835&lt;&gt;"",H835&lt;&gt;"",J835&lt;&gt;"",K835&lt;&gt;"",N835&lt;&gt;"",O835&lt;&gt;"",P835&lt;&gt;"",Q835&lt;&gt;"",R835&lt;&gt;"",S835&lt;&gt;"",T835&lt;&gt;"",V835&lt;&gt;"",W835&lt;&gt;"",X835&lt;&gt;"",Y835&lt;&gt;""),"COMPLETE","MISSING FIELDS")))</f>
        <v/>
      </c>
    </row>
    <row r="836" ht="15" customHeight="1" s="15">
      <c r="A836" s="27" t="inlineStr">
        <is>
          <t>LEAD-0832</t>
        </is>
      </c>
      <c r="B836" s="27" t="inlineStr">
        <is>
          <t>Althea Gallagher</t>
        </is>
      </c>
      <c r="C836" s="27" t="inlineStr">
        <is>
          <t>Expert-Led Creator</t>
        </is>
      </c>
      <c r="D836" s="27" t="inlineStr">
        <is>
          <t>AU</t>
        </is>
      </c>
      <c r="E836" s="27" t="inlineStr">
        <is>
          <t>English</t>
        </is>
      </c>
      <c r="F836" s="27" t="inlineStr">
        <is>
          <t>YouTube</t>
        </is>
      </c>
      <c r="G836" s="27" t="inlineStr">
        <is>
          <t>https://www.youtube.com/@altheagallagher</t>
        </is>
      </c>
      <c r="H836" s="27" t="inlineStr">
        <is>
          <t>UCAU00832238197</t>
        </is>
      </c>
      <c r="I836" s="27" t="inlineStr">
        <is>
          <t>560,000</t>
        </is>
      </c>
      <c r="J836" s="27" t="inlineStr">
        <is>
          <t>2026-10-10</t>
        </is>
      </c>
      <c r="K836" s="27" t="inlineStr">
        <is>
          <t>https://www.youtube.com/watch?v=au00832</t>
        </is>
      </c>
      <c r="L836" s="27" t="n">
        <v>10</v>
      </c>
      <c r="M836" s="27" t="n">
        <v>20</v>
      </c>
      <c r="N836" s="27" t="inlineStr">
        <is>
          <t>Affiliate</t>
        </is>
      </c>
      <c r="O836" s="27" t="inlineStr">
        <is>
          <t>https://altheagallagher.com/resources</t>
        </is>
      </c>
      <c r="P836" s="27" t="inlineStr">
        <is>
          <t>Editing Backlog &amp; Team Workflow Overhead</t>
        </is>
      </c>
      <c r="Q836" s="27" t="inlineStr">
        <is>
          <t>https://altheagallagher.com/highlights</t>
        </is>
      </c>
      <c r="R836" s="27" t="inlineStr">
        <is>
          <t>Email</t>
        </is>
      </c>
      <c r="S836" s="27" t="inlineStr">
        <is>
          <t>contact@altheagallagher.com</t>
        </is>
      </c>
      <c r="T836" s="27" t="inlineStr">
        <is>
          <t>https://altheagallagher.com/contact</t>
        </is>
      </c>
      <c r="U836" s="27" t="inlineStr">
        <is>
          <t>LinkedIn</t>
        </is>
      </c>
      <c r="V836" s="27" t="inlineStr">
        <is>
          <t>creator business &amp; monetization frameworks, specifically regarding episode 33 on Creator Business &amp; Monetization workflow optimization</t>
        </is>
      </c>
      <c r="W836" s="27" t="inlineStr">
        <is>
          <t>Hi Althea,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36" s="27" t="inlineStr">
        <is>
          <t>2026-10-18</t>
        </is>
      </c>
      <c r="Y836" s="27" t="inlineStr">
        <is>
          <t>C</t>
        </is>
      </c>
      <c r="Z836" s="27" t="n">
        <v>82.09999999999999</v>
      </c>
      <c r="AA836" s="27" t="inlineStr">
        <is>
          <t>Qualified</t>
        </is>
      </c>
      <c r="AB836" s="27" t="inlineStr"/>
      <c r="AC836" s="28">
        <f>IF(A836="","",IF(COUNTIF($H$5:$H$1004,H836)&gt;1,"DUPLICATE","UNIQUE"))</f>
        <v/>
      </c>
      <c r="AD836" s="28">
        <f>IF(A836="","",IF(AA836="Rejected",IF(AB836&lt;&gt;"","REJECTED","ADD REASON"),IF(AND(B836&lt;&gt;"",C836&lt;&gt;"",D836&lt;&gt;"",E836&lt;&gt;"",F836&lt;&gt;"",G836&lt;&gt;"",H836&lt;&gt;"",J836&lt;&gt;"",K836&lt;&gt;"",N836&lt;&gt;"",O836&lt;&gt;"",P836&lt;&gt;"",Q836&lt;&gt;"",R836&lt;&gt;"",S836&lt;&gt;"",T836&lt;&gt;"",V836&lt;&gt;"",W836&lt;&gt;"",X836&lt;&gt;"",Y836&lt;&gt;""),"COMPLETE","MISSING FIELDS")))</f>
        <v/>
      </c>
    </row>
    <row r="837" ht="15" customHeight="1" s="15">
      <c r="A837" s="27" t="inlineStr">
        <is>
          <t>LEAD-0833</t>
        </is>
      </c>
      <c r="B837" s="27" t="inlineStr">
        <is>
          <t>Althea Hawthorne</t>
        </is>
      </c>
      <c r="C837" s="27" t="inlineStr">
        <is>
          <t>YouTuber</t>
        </is>
      </c>
      <c r="D837" s="27" t="inlineStr">
        <is>
          <t>AU</t>
        </is>
      </c>
      <c r="E837" s="27" t="inlineStr">
        <is>
          <t>English</t>
        </is>
      </c>
      <c r="F837" s="27" t="inlineStr">
        <is>
          <t>YouTube</t>
        </is>
      </c>
      <c r="G837" s="27" t="inlineStr">
        <is>
          <t>https://www.youtube.com/@altheahawthorne</t>
        </is>
      </c>
      <c r="H837" s="27" t="inlineStr">
        <is>
          <t>UCAU00833780982</t>
        </is>
      </c>
      <c r="I837" s="27" t="inlineStr">
        <is>
          <t>580,000</t>
        </is>
      </c>
      <c r="J837" s="27" t="inlineStr">
        <is>
          <t>2026-10-11</t>
        </is>
      </c>
      <c r="K837" s="27" t="inlineStr">
        <is>
          <t>https://www.youtube.com/watch?v=au00833</t>
        </is>
      </c>
      <c r="L837" s="27" t="n">
        <v>11</v>
      </c>
      <c r="M837" s="27" t="n">
        <v>21</v>
      </c>
      <c r="N837" s="27" t="inlineStr">
        <is>
          <t>Course</t>
        </is>
      </c>
      <c r="O837" s="27" t="inlineStr">
        <is>
          <t>https://altheahawthorne.com/academy</t>
        </is>
      </c>
      <c r="P837" s="27" t="inlineStr">
        <is>
          <t>Shorts Repurposing Bottleneck</t>
        </is>
      </c>
      <c r="Q837" s="27" t="inlineStr">
        <is>
          <t>https://altheahawthorne.com/highlights</t>
        </is>
      </c>
      <c r="R837" s="27" t="inlineStr">
        <is>
          <t>LinkedIn</t>
        </is>
      </c>
      <c r="S837" s="27" t="inlineStr">
        <is>
          <t>https://linkedin.com/in/altheahawthorne</t>
        </is>
      </c>
      <c r="T837" s="27" t="inlineStr">
        <is>
          <t>https://altheahawthorne.com/about</t>
        </is>
      </c>
      <c r="U837" s="27" t="inlineStr">
        <is>
          <t>Email</t>
        </is>
      </c>
      <c r="V837" s="27" t="inlineStr">
        <is>
          <t>productivity &amp; personal systems frameworks, specifically regarding episode 34 on Productivity &amp; Personal Systems workflow optimization</t>
        </is>
      </c>
      <c r="W837" s="27" t="inlineStr">
        <is>
          <t>Hi Althea,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37" s="27" t="inlineStr">
        <is>
          <t>2026-10-18</t>
        </is>
      </c>
      <c r="Y837" s="27" t="inlineStr">
        <is>
          <t>C</t>
        </is>
      </c>
      <c r="Z837" s="27" t="n">
        <v>82</v>
      </c>
      <c r="AA837" s="27" t="inlineStr">
        <is>
          <t>Qualified</t>
        </is>
      </c>
      <c r="AB837" s="27" t="inlineStr"/>
      <c r="AC837" s="28">
        <f>IF(A837="","",IF(COUNTIF($H$5:$H$1004,H837)&gt;1,"DUPLICATE","UNIQUE"))</f>
        <v/>
      </c>
      <c r="AD837" s="28">
        <f>IF(A837="","",IF(AA837="Rejected",IF(AB837&lt;&gt;"","REJECTED","ADD REASON"),IF(AND(B837&lt;&gt;"",C837&lt;&gt;"",D837&lt;&gt;"",E837&lt;&gt;"",F837&lt;&gt;"",G837&lt;&gt;"",H837&lt;&gt;"",J837&lt;&gt;"",K837&lt;&gt;"",N837&lt;&gt;"",O837&lt;&gt;"",P837&lt;&gt;"",Q837&lt;&gt;"",R837&lt;&gt;"",S837&lt;&gt;"",T837&lt;&gt;"",V837&lt;&gt;"",W837&lt;&gt;"",X837&lt;&gt;"",Y837&lt;&gt;""),"COMPLETE","MISSING FIELDS")))</f>
        <v/>
      </c>
    </row>
    <row r="838" ht="15" customHeight="1" s="15">
      <c r="A838" s="27" t="inlineStr">
        <is>
          <t>LEAD-0834</t>
        </is>
      </c>
      <c r="B838" s="27" t="inlineStr">
        <is>
          <t>Althea Ingram</t>
        </is>
      </c>
      <c r="C838" s="27" t="inlineStr">
        <is>
          <t>Podcaster</t>
        </is>
      </c>
      <c r="D838" s="27" t="inlineStr">
        <is>
          <t>AU</t>
        </is>
      </c>
      <c r="E838" s="27" t="inlineStr">
        <is>
          <t>English</t>
        </is>
      </c>
      <c r="F838" s="27" t="inlineStr">
        <is>
          <t>Apple Podcasts</t>
        </is>
      </c>
      <c r="G838" s="27" t="inlineStr">
        <is>
          <t>https://podcasts.apple.com/au/podcast/altheaingram/id1000834</t>
        </is>
      </c>
      <c r="H838" s="27" t="inlineStr">
        <is>
          <t>AP-AU-1000834</t>
        </is>
      </c>
      <c r="I838" s="27" t="inlineStr">
        <is>
          <t>120,000</t>
        </is>
      </c>
      <c r="J838" s="27" t="inlineStr">
        <is>
          <t>2026-10-12</t>
        </is>
      </c>
      <c r="K838" s="27" t="inlineStr">
        <is>
          <t>https://altheaingram.com/episodes/35</t>
        </is>
      </c>
      <c r="L838" s="27" t="n">
        <v>12</v>
      </c>
      <c r="M838" s="27" t="n">
        <v>22</v>
      </c>
      <c r="N838" s="27" t="inlineStr">
        <is>
          <t>Sponsor</t>
        </is>
      </c>
      <c r="O838" s="27" t="inlineStr">
        <is>
          <t>https://altheaingram.com/partners</t>
        </is>
      </c>
      <c r="P838" s="27" t="inlineStr">
        <is>
          <t>Inconsistent Cross-Platform Publishing</t>
        </is>
      </c>
      <c r="Q838" s="27" t="inlineStr">
        <is>
          <t>https://altheaingram.com/highlights</t>
        </is>
      </c>
      <c r="R838" s="27" t="inlineStr">
        <is>
          <t>X (Twitter)</t>
        </is>
      </c>
      <c r="S838" s="27" t="inlineStr">
        <is>
          <t>https://x.com/altheaingram</t>
        </is>
      </c>
      <c r="T838" s="27" t="inlineStr">
        <is>
          <t>https://altheaingram.com/links</t>
        </is>
      </c>
      <c r="U838" s="27" t="inlineStr">
        <is>
          <t>LinkedIn</t>
        </is>
      </c>
      <c r="V838" s="27" t="inlineStr">
        <is>
          <t>leadership &amp; team ops frameworks, specifically regarding episode 35 on Leadership &amp; Team Ops workflow optimization</t>
        </is>
      </c>
      <c r="W838" s="27" t="inlineStr">
        <is>
          <t>Hi Althea,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38" s="27" t="inlineStr">
        <is>
          <t>2026-10-18</t>
        </is>
      </c>
      <c r="Y838" s="27" t="inlineStr">
        <is>
          <t>C</t>
        </is>
      </c>
      <c r="Z838" s="27" t="n">
        <v>82</v>
      </c>
      <c r="AA838" s="27" t="inlineStr">
        <is>
          <t>Qualified</t>
        </is>
      </c>
      <c r="AB838" s="27" t="inlineStr"/>
      <c r="AC838" s="28">
        <f>IF(A838="","",IF(COUNTIF($H$5:$H$1004,H838)&gt;1,"DUPLICATE","UNIQUE"))</f>
        <v/>
      </c>
      <c r="AD838" s="28">
        <f>IF(A838="","",IF(AA838="Rejected",IF(AB838&lt;&gt;"","REJECTED","ADD REASON"),IF(AND(B838&lt;&gt;"",C838&lt;&gt;"",D838&lt;&gt;"",E838&lt;&gt;"",F838&lt;&gt;"",G838&lt;&gt;"",H838&lt;&gt;"",J838&lt;&gt;"",K838&lt;&gt;"",N838&lt;&gt;"",O838&lt;&gt;"",P838&lt;&gt;"",Q838&lt;&gt;"",R838&lt;&gt;"",S838&lt;&gt;"",T838&lt;&gt;"",V838&lt;&gt;"",W838&lt;&gt;"",X838&lt;&gt;"",Y838&lt;&gt;""),"COMPLETE","MISSING FIELDS")))</f>
        <v/>
      </c>
    </row>
    <row r="839" ht="15" customHeight="1" s="15">
      <c r="A839" s="27" t="inlineStr">
        <is>
          <t>LEAD-0835</t>
        </is>
      </c>
      <c r="B839" s="27" t="inlineStr">
        <is>
          <t>Althea Jennings</t>
        </is>
      </c>
      <c r="C839" s="27" t="inlineStr">
        <is>
          <t>Expert-Led Creator</t>
        </is>
      </c>
      <c r="D839" s="27" t="inlineStr">
        <is>
          <t>AU</t>
        </is>
      </c>
      <c r="E839" s="27" t="inlineStr">
        <is>
          <t>English</t>
        </is>
      </c>
      <c r="F839" s="27" t="inlineStr">
        <is>
          <t>LinkedIn</t>
        </is>
      </c>
      <c r="G839" s="27" t="inlineStr">
        <is>
          <t>https://www.linkedin.com/in/altheajennings</t>
        </is>
      </c>
      <c r="H839" s="27" t="inlineStr">
        <is>
          <t>LI-altheajennings-0835</t>
        </is>
      </c>
      <c r="I839" s="27" t="inlineStr">
        <is>
          <t>156,000</t>
        </is>
      </c>
      <c r="J839" s="27" t="inlineStr">
        <is>
          <t>2026-10-13</t>
        </is>
      </c>
      <c r="K839" s="27" t="inlineStr">
        <is>
          <t>https://altheajennings.com/posts/86</t>
        </is>
      </c>
      <c r="L839" s="27" t="n">
        <v>13</v>
      </c>
      <c r="M839" s="27" t="n">
        <v>23</v>
      </c>
      <c r="N839" s="27" t="inlineStr">
        <is>
          <t>Membership</t>
        </is>
      </c>
      <c r="O839" s="27" t="inlineStr">
        <is>
          <t>https://altheajennings.com/community</t>
        </is>
      </c>
      <c r="P839" s="27" t="inlineStr">
        <is>
          <t>Editing Backlog &amp; Team Workflow Overhead</t>
        </is>
      </c>
      <c r="Q839" s="27" t="inlineStr">
        <is>
          <t>https://altheajennings.com/highlights</t>
        </is>
      </c>
      <c r="R839" s="27" t="inlineStr">
        <is>
          <t>Email</t>
        </is>
      </c>
      <c r="S839" s="27" t="inlineStr">
        <is>
          <t>hello@altheajennings.com</t>
        </is>
      </c>
      <c r="T839" s="27" t="inlineStr">
        <is>
          <t>https://altheajennings.com/work-with-me</t>
        </is>
      </c>
      <c r="U839" s="27" t="inlineStr">
        <is>
          <t>LinkedIn</t>
        </is>
      </c>
      <c r="V839" s="27" t="inlineStr">
        <is>
          <t>b2b marketing &amp; sales frameworks, specifically regarding episode 36 on B2B Marketing &amp; Sales workflow optimization</t>
        </is>
      </c>
      <c r="W839" s="27" t="inlineStr">
        <is>
          <t>Hi Althea,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39" s="27" t="inlineStr">
        <is>
          <t>2026-10-18</t>
        </is>
      </c>
      <c r="Y839" s="27" t="inlineStr">
        <is>
          <t>C</t>
        </is>
      </c>
      <c r="Z839" s="27" t="n">
        <v>81.90000000000001</v>
      </c>
      <c r="AA839" s="27" t="inlineStr">
        <is>
          <t>Qualified</t>
        </is>
      </c>
      <c r="AB839" s="27" t="inlineStr"/>
      <c r="AC839" s="28">
        <f>IF(A839="","",IF(COUNTIF($H$5:$H$1004,H839)&gt;1,"DUPLICATE","UNIQUE"))</f>
        <v/>
      </c>
      <c r="AD839" s="28">
        <f>IF(A839="","",IF(AA839="Rejected",IF(AB839&lt;&gt;"","REJECTED","ADD REASON"),IF(AND(B839&lt;&gt;"",C839&lt;&gt;"",D839&lt;&gt;"",E839&lt;&gt;"",F839&lt;&gt;"",G839&lt;&gt;"",H839&lt;&gt;"",J839&lt;&gt;"",K839&lt;&gt;"",N839&lt;&gt;"",O839&lt;&gt;"",P839&lt;&gt;"",Q839&lt;&gt;"",R839&lt;&gt;"",S839&lt;&gt;"",T839&lt;&gt;"",V839&lt;&gt;"",W839&lt;&gt;"",X839&lt;&gt;"",Y839&lt;&gt;""),"COMPLETE","MISSING FIELDS")))</f>
        <v/>
      </c>
    </row>
    <row r="840" ht="15" customHeight="1" s="15">
      <c r="A840" s="27" t="inlineStr">
        <is>
          <t>LEAD-0836</t>
        </is>
      </c>
      <c r="B840" s="27" t="inlineStr">
        <is>
          <t>Althea Kingsley</t>
        </is>
      </c>
      <c r="C840" s="27" t="inlineStr">
        <is>
          <t>YouTuber</t>
        </is>
      </c>
      <c r="D840" s="27" t="inlineStr">
        <is>
          <t>AU</t>
        </is>
      </c>
      <c r="E840" s="27" t="inlineStr">
        <is>
          <t>English</t>
        </is>
      </c>
      <c r="F840" s="27" t="inlineStr">
        <is>
          <t>YouTube</t>
        </is>
      </c>
      <c r="G840" s="27" t="inlineStr">
        <is>
          <t>https://www.youtube.com/@altheakingsley</t>
        </is>
      </c>
      <c r="H840" s="27" t="inlineStr">
        <is>
          <t>UCAU00836283027</t>
        </is>
      </c>
      <c r="I840" s="27" t="inlineStr">
        <is>
          <t>640,000</t>
        </is>
      </c>
      <c r="J840" s="27" t="inlineStr">
        <is>
          <t>2026-10-14</t>
        </is>
      </c>
      <c r="K840" s="27" t="inlineStr">
        <is>
          <t>https://www.youtube.com/watch?v=au00836</t>
        </is>
      </c>
      <c r="L840" s="27" t="n">
        <v>14</v>
      </c>
      <c r="M840" s="27" t="n">
        <v>24</v>
      </c>
      <c r="N840" s="27" t="inlineStr">
        <is>
          <t>Product</t>
        </is>
      </c>
      <c r="O840" s="27" t="inlineStr">
        <is>
          <t>https://altheakingsley.com/shop</t>
        </is>
      </c>
      <c r="P840" s="27" t="inlineStr">
        <is>
          <t>Multilingual Audio Dubbing</t>
        </is>
      </c>
      <c r="Q840" s="27" t="inlineStr">
        <is>
          <t>https://altheakingsley.com/highlights</t>
        </is>
      </c>
      <c r="R840" s="27" t="inlineStr">
        <is>
          <t>Email</t>
        </is>
      </c>
      <c r="S840" s="27" t="inlineStr">
        <is>
          <t>contact@altheakingsley.com</t>
        </is>
      </c>
      <c r="T840" s="27" t="inlineStr">
        <is>
          <t>https://altheakingsley.com/contact</t>
        </is>
      </c>
      <c r="U840" s="27" t="inlineStr">
        <is>
          <t>LinkedIn</t>
        </is>
      </c>
      <c r="V840" s="27" t="inlineStr">
        <is>
          <t>finance &amp; wealth engineering frameworks, specifically regarding episode 37 on Finance &amp; Wealth Engineering workflow optimization</t>
        </is>
      </c>
      <c r="W840" s="27" t="inlineStr">
        <is>
          <t>Hi Althea,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40" s="27" t="inlineStr">
        <is>
          <t>2026-10-18</t>
        </is>
      </c>
      <c r="Y840" s="27" t="inlineStr">
        <is>
          <t>C</t>
        </is>
      </c>
      <c r="Z840" s="27" t="n">
        <v>81.8</v>
      </c>
      <c r="AA840" s="27" t="inlineStr">
        <is>
          <t>Qualified</t>
        </is>
      </c>
      <c r="AB840" s="27" t="inlineStr"/>
      <c r="AC840" s="28">
        <f>IF(A840="","",IF(COUNTIF($H$5:$H$1004,H840)&gt;1,"DUPLICATE","UNIQUE"))</f>
        <v/>
      </c>
      <c r="AD840" s="28">
        <f>IF(A840="","",IF(AA840="Rejected",IF(AB840&lt;&gt;"","REJECTED","ADD REASON"),IF(AND(B840&lt;&gt;"",C840&lt;&gt;"",D840&lt;&gt;"",E840&lt;&gt;"",F840&lt;&gt;"",G840&lt;&gt;"",H840&lt;&gt;"",J840&lt;&gt;"",K840&lt;&gt;"",N840&lt;&gt;"",O840&lt;&gt;"",P840&lt;&gt;"",Q840&lt;&gt;"",R840&lt;&gt;"",S840&lt;&gt;"",T840&lt;&gt;"",V840&lt;&gt;"",W840&lt;&gt;"",X840&lt;&gt;"",Y840&lt;&gt;""),"COMPLETE","MISSING FIELDS")))</f>
        <v/>
      </c>
    </row>
    <row r="841" ht="15" customHeight="1" s="15">
      <c r="A841" s="27" t="inlineStr">
        <is>
          <t>LEAD-0837</t>
        </is>
      </c>
      <c r="B841" s="27" t="inlineStr">
        <is>
          <t>Althea Lockwood</t>
        </is>
      </c>
      <c r="C841" s="27" t="inlineStr">
        <is>
          <t>Podcaster</t>
        </is>
      </c>
      <c r="D841" s="27" t="inlineStr">
        <is>
          <t>AU</t>
        </is>
      </c>
      <c r="E841" s="27" t="inlineStr">
        <is>
          <t>English</t>
        </is>
      </c>
      <c r="F841" s="27" t="inlineStr">
        <is>
          <t>Apple Podcasts</t>
        </is>
      </c>
      <c r="G841" s="27" t="inlineStr">
        <is>
          <t>https://podcasts.apple.com/au/podcast/althealockwood/id1000837</t>
        </is>
      </c>
      <c r="H841" s="27" t="inlineStr">
        <is>
          <t>AP-AU-1000837</t>
        </is>
      </c>
      <c r="I841" s="27" t="inlineStr">
        <is>
          <t>156,000</t>
        </is>
      </c>
      <c r="J841" s="27" t="inlineStr">
        <is>
          <t>2026-10-15</t>
        </is>
      </c>
      <c r="K841" s="27" t="inlineStr">
        <is>
          <t>https://althealockwood.com/episodes/38</t>
        </is>
      </c>
      <c r="L841" s="27" t="n">
        <v>15</v>
      </c>
      <c r="M841" s="27" t="n">
        <v>25</v>
      </c>
      <c r="N841" s="27" t="inlineStr">
        <is>
          <t>Consulting</t>
        </is>
      </c>
      <c r="O841" s="27" t="inlineStr">
        <is>
          <t>https://althealockwood.com/advisory</t>
        </is>
      </c>
      <c r="P841" s="27" t="inlineStr">
        <is>
          <t>Multilingual Audio Dubbing</t>
        </is>
      </c>
      <c r="Q841" s="27" t="inlineStr">
        <is>
          <t>https://althealockwood.com/highlights</t>
        </is>
      </c>
      <c r="R841" s="27" t="inlineStr">
        <is>
          <t>LinkedIn</t>
        </is>
      </c>
      <c r="S841" s="27" t="inlineStr">
        <is>
          <t>https://linkedin.com/in/althealockwood</t>
        </is>
      </c>
      <c r="T841" s="27" t="inlineStr">
        <is>
          <t>https://althealockwood.com/about</t>
        </is>
      </c>
      <c r="U841" s="27" t="inlineStr">
        <is>
          <t>Email</t>
        </is>
      </c>
      <c r="V841" s="27" t="inlineStr">
        <is>
          <t>health &amp; longevity science frameworks, specifically regarding episode 38 on Health &amp; Longevity Science workflow optimization</t>
        </is>
      </c>
      <c r="W841" s="27" t="inlineStr">
        <is>
          <t>Hi Althea,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41" s="27" t="inlineStr">
        <is>
          <t>2026-10-18</t>
        </is>
      </c>
      <c r="Y841" s="27" t="inlineStr">
        <is>
          <t>C</t>
        </is>
      </c>
      <c r="Z841" s="27" t="n">
        <v>81.8</v>
      </c>
      <c r="AA841" s="27" t="inlineStr">
        <is>
          <t>Qualified</t>
        </is>
      </c>
      <c r="AB841" s="27" t="inlineStr"/>
      <c r="AC841" s="28">
        <f>IF(A841="","",IF(COUNTIF($H$5:$H$1004,H841)&gt;1,"DUPLICATE","UNIQUE"))</f>
        <v/>
      </c>
      <c r="AD841" s="28">
        <f>IF(A841="","",IF(AA841="Rejected",IF(AB841&lt;&gt;"","REJECTED","ADD REASON"),IF(AND(B841&lt;&gt;"",C841&lt;&gt;"",D841&lt;&gt;"",E841&lt;&gt;"",F841&lt;&gt;"",G841&lt;&gt;"",H841&lt;&gt;"",J841&lt;&gt;"",K841&lt;&gt;"",N841&lt;&gt;"",O841&lt;&gt;"",P841&lt;&gt;"",Q841&lt;&gt;"",R841&lt;&gt;"",S841&lt;&gt;"",T841&lt;&gt;"",V841&lt;&gt;"",W841&lt;&gt;"",X841&lt;&gt;"",Y841&lt;&gt;""),"COMPLETE","MISSING FIELDS")))</f>
        <v/>
      </c>
    </row>
    <row r="842" ht="15" customHeight="1" s="15">
      <c r="A842" s="27" t="inlineStr">
        <is>
          <t>LEAD-0838</t>
        </is>
      </c>
      <c r="B842" s="27" t="inlineStr">
        <is>
          <t>Althea Montague</t>
        </is>
      </c>
      <c r="C842" s="27" t="inlineStr">
        <is>
          <t>YouTuber</t>
        </is>
      </c>
      <c r="D842" s="27" t="inlineStr">
        <is>
          <t>AU</t>
        </is>
      </c>
      <c r="E842" s="27" t="inlineStr">
        <is>
          <t>English</t>
        </is>
      </c>
      <c r="F842" s="27" t="inlineStr">
        <is>
          <t>YouTube</t>
        </is>
      </c>
      <c r="G842" s="27" t="inlineStr">
        <is>
          <t>https://www.youtube.com/@altheamontague</t>
        </is>
      </c>
      <c r="H842" s="27" t="inlineStr">
        <is>
          <t>UCAU00838688991</t>
        </is>
      </c>
      <c r="I842" s="27" t="inlineStr">
        <is>
          <t>680,000</t>
        </is>
      </c>
      <c r="J842" s="27" t="inlineStr">
        <is>
          <t>2026-10-16</t>
        </is>
      </c>
      <c r="K842" s="27" t="inlineStr">
        <is>
          <t>https://www.youtube.com/watch?v=au00838</t>
        </is>
      </c>
      <c r="L842" s="27" t="n">
        <v>16</v>
      </c>
      <c r="M842" s="27" t="n">
        <v>26</v>
      </c>
      <c r="N842" s="27" t="inlineStr">
        <is>
          <t>Newsletter Subscription</t>
        </is>
      </c>
      <c r="O842" s="27" t="inlineStr">
        <is>
          <t>https://altheamontague.com/subscribe</t>
        </is>
      </c>
      <c r="P842" s="27" t="inlineStr">
        <is>
          <t>Missing Video Captions &amp; Retention Clips</t>
        </is>
      </c>
      <c r="Q842" s="27" t="inlineStr">
        <is>
          <t>https://altheamontague.com/highlights</t>
        </is>
      </c>
      <c r="R842" s="27" t="inlineStr">
        <is>
          <t>X (Twitter)</t>
        </is>
      </c>
      <c r="S842" s="27" t="inlineStr">
        <is>
          <t>https://x.com/altheamontague</t>
        </is>
      </c>
      <c r="T842" s="27" t="inlineStr">
        <is>
          <t>https://altheamontague.com/links</t>
        </is>
      </c>
      <c r="U842" s="27" t="inlineStr">
        <is>
          <t>LinkedIn</t>
        </is>
      </c>
      <c r="V842" s="27" t="inlineStr">
        <is>
          <t>education &amp; applied coding frameworks, specifically regarding episode 39 on Education &amp; Applied Coding workflow optimization</t>
        </is>
      </c>
      <c r="W842" s="27" t="inlineStr">
        <is>
          <t>Hi Althea,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42" s="27" t="inlineStr">
        <is>
          <t>2026-10-18</t>
        </is>
      </c>
      <c r="Y842" s="27" t="inlineStr">
        <is>
          <t>C</t>
        </is>
      </c>
      <c r="Z842" s="27" t="n">
        <v>81.7</v>
      </c>
      <c r="AA842" s="27" t="inlineStr">
        <is>
          <t>Qualified</t>
        </is>
      </c>
      <c r="AB842" s="27" t="inlineStr"/>
      <c r="AC842" s="28">
        <f>IF(A842="","",IF(COUNTIF($H$5:$H$1004,H842)&gt;1,"DUPLICATE","UNIQUE"))</f>
        <v/>
      </c>
      <c r="AD842" s="28">
        <f>IF(A842="","",IF(AA842="Rejected",IF(AB842&lt;&gt;"","REJECTED","ADD REASON"),IF(AND(B842&lt;&gt;"",C842&lt;&gt;"",D842&lt;&gt;"",E842&lt;&gt;"",F842&lt;&gt;"",G842&lt;&gt;"",H842&lt;&gt;"",J842&lt;&gt;"",K842&lt;&gt;"",N842&lt;&gt;"",O842&lt;&gt;"",P842&lt;&gt;"",Q842&lt;&gt;"",R842&lt;&gt;"",S842&lt;&gt;"",T842&lt;&gt;"",V842&lt;&gt;"",W842&lt;&gt;"",X842&lt;&gt;"",Y842&lt;&gt;""),"COMPLETE","MISSING FIELDS")))</f>
        <v/>
      </c>
    </row>
    <row r="843" ht="15" customHeight="1" s="15">
      <c r="A843" s="27" t="inlineStr">
        <is>
          <t>LEAD-0839</t>
        </is>
      </c>
      <c r="B843" s="27" t="inlineStr">
        <is>
          <t>Althea Northwood</t>
        </is>
      </c>
      <c r="C843" s="27" t="inlineStr">
        <is>
          <t>Podcaster</t>
        </is>
      </c>
      <c r="D843" s="27" t="inlineStr">
        <is>
          <t>AU</t>
        </is>
      </c>
      <c r="E843" s="27" t="inlineStr">
        <is>
          <t>English</t>
        </is>
      </c>
      <c r="F843" s="27" t="inlineStr">
        <is>
          <t>Apple Podcasts</t>
        </is>
      </c>
      <c r="G843" s="27" t="inlineStr">
        <is>
          <t>https://podcasts.apple.com/au/podcast/altheanorthwood/id1000839</t>
        </is>
      </c>
      <c r="H843" s="27" t="inlineStr">
        <is>
          <t>AP-AU-1000839</t>
        </is>
      </c>
      <c r="I843" s="27" t="inlineStr">
        <is>
          <t>180,000</t>
        </is>
      </c>
      <c r="J843" s="27" t="inlineStr">
        <is>
          <t>2026-10-17</t>
        </is>
      </c>
      <c r="K843" s="27" t="inlineStr">
        <is>
          <t>https://altheanorthwood.com/episodes/40</t>
        </is>
      </c>
      <c r="L843" s="27" t="n">
        <v>17</v>
      </c>
      <c r="M843" s="27" t="n">
        <v>27</v>
      </c>
      <c r="N843" s="27" t="inlineStr">
        <is>
          <t>Affiliate</t>
        </is>
      </c>
      <c r="O843" s="27" t="inlineStr">
        <is>
          <t>https://altheanorthwood.com/resources</t>
        </is>
      </c>
      <c r="P843" s="27" t="inlineStr">
        <is>
          <t>Shorts Repurposing Bottleneck</t>
        </is>
      </c>
      <c r="Q843" s="27" t="inlineStr">
        <is>
          <t>https://altheanorthwood.com/highlights</t>
        </is>
      </c>
      <c r="R843" s="27" t="inlineStr">
        <is>
          <t>Email</t>
        </is>
      </c>
      <c r="S843" s="27" t="inlineStr">
        <is>
          <t>hello@altheanorthwood.com</t>
        </is>
      </c>
      <c r="T843" s="27" t="inlineStr">
        <is>
          <t>https://altheanorthwood.com/work-with-me</t>
        </is>
      </c>
      <c r="U843" s="27" t="inlineStr">
        <is>
          <t>LinkedIn</t>
        </is>
      </c>
      <c r="V843" s="27" t="inlineStr">
        <is>
          <t>e-commerce &amp; digital brands frameworks, specifically regarding episode 40 on E-Commerce &amp; Digital Brands workflow optimization</t>
        </is>
      </c>
      <c r="W843" s="27" t="inlineStr">
        <is>
          <t>Hi Althea,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43" s="27" t="inlineStr">
        <is>
          <t>2026-10-18</t>
        </is>
      </c>
      <c r="Y843" s="27" t="inlineStr">
        <is>
          <t>C</t>
        </is>
      </c>
      <c r="Z843" s="27" t="n">
        <v>81.7</v>
      </c>
      <c r="AA843" s="27" t="inlineStr">
        <is>
          <t>Qualified</t>
        </is>
      </c>
      <c r="AB843" s="27" t="inlineStr"/>
      <c r="AC843" s="28">
        <f>IF(A843="","",IF(COUNTIF($H$5:$H$1004,H843)&gt;1,"DUPLICATE","UNIQUE"))</f>
        <v/>
      </c>
      <c r="AD843" s="28">
        <f>IF(A843="","",IF(AA843="Rejected",IF(AB843&lt;&gt;"","REJECTED","ADD REASON"),IF(AND(B843&lt;&gt;"",C843&lt;&gt;"",D843&lt;&gt;"",E843&lt;&gt;"",F843&lt;&gt;"",G843&lt;&gt;"",H843&lt;&gt;"",J843&lt;&gt;"",K843&lt;&gt;"",N843&lt;&gt;"",O843&lt;&gt;"",P843&lt;&gt;"",Q843&lt;&gt;"",R843&lt;&gt;"",S843&lt;&gt;"",T843&lt;&gt;"",V843&lt;&gt;"",W843&lt;&gt;"",X843&lt;&gt;"",Y843&lt;&gt;""),"COMPLETE","MISSING FIELDS")))</f>
        <v/>
      </c>
    </row>
    <row r="844" ht="15" customHeight="1" s="15">
      <c r="A844" s="27" t="inlineStr">
        <is>
          <t>LEAD-0840</t>
        </is>
      </c>
      <c r="B844" s="27" t="inlineStr">
        <is>
          <t>Althea Oakley</t>
        </is>
      </c>
      <c r="C844" s="27" t="inlineStr">
        <is>
          <t>YouTuber</t>
        </is>
      </c>
      <c r="D844" s="27" t="inlineStr">
        <is>
          <t>AU</t>
        </is>
      </c>
      <c r="E844" s="27" t="inlineStr">
        <is>
          <t>English</t>
        </is>
      </c>
      <c r="F844" s="27" t="inlineStr">
        <is>
          <t>YouTube</t>
        </is>
      </c>
      <c r="G844" s="27" t="inlineStr">
        <is>
          <t>https://www.youtube.com/@altheaoakley</t>
        </is>
      </c>
      <c r="H844" s="27" t="inlineStr">
        <is>
          <t>UCAU00840123422</t>
        </is>
      </c>
      <c r="I844" s="27" t="inlineStr">
        <is>
          <t>20,000</t>
        </is>
      </c>
      <c r="J844" s="27" t="inlineStr">
        <is>
          <t>2026-10-10</t>
        </is>
      </c>
      <c r="K844" s="27" t="inlineStr">
        <is>
          <t>https://www.youtube.com/watch?v=au00840</t>
        </is>
      </c>
      <c r="L844" s="27" t="n">
        <v>8</v>
      </c>
      <c r="M844" s="27" t="n">
        <v>28</v>
      </c>
      <c r="N844" s="27" t="inlineStr">
        <is>
          <t>Course</t>
        </is>
      </c>
      <c r="O844" s="27" t="inlineStr">
        <is>
          <t>https://altheaoakley.com/academy</t>
        </is>
      </c>
      <c r="P844" s="27" t="inlineStr">
        <is>
          <t>Shorts Repurposing Bottleneck</t>
        </is>
      </c>
      <c r="Q844" s="27" t="inlineStr">
        <is>
          <t>https://altheaoakley.com/highlights</t>
        </is>
      </c>
      <c r="R844" s="27" t="inlineStr">
        <is>
          <t>Email</t>
        </is>
      </c>
      <c r="S844" s="27" t="inlineStr">
        <is>
          <t>contact@altheaoakley.com</t>
        </is>
      </c>
      <c r="T844" s="27" t="inlineStr">
        <is>
          <t>https://altheaoakley.com/contact</t>
        </is>
      </c>
      <c r="U844" s="27" t="inlineStr">
        <is>
          <t>LinkedIn</t>
        </is>
      </c>
      <c r="V844" s="27" t="inlineStr">
        <is>
          <t>tech &amp; ai frameworks, specifically regarding episode 41 on Tech &amp; AI workflow optimization</t>
        </is>
      </c>
      <c r="W844" s="27" t="inlineStr">
        <is>
          <t>Hi Althea,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44" s="27" t="inlineStr">
        <is>
          <t>2026-10-18</t>
        </is>
      </c>
      <c r="Y844" s="27" t="inlineStr">
        <is>
          <t>C</t>
        </is>
      </c>
      <c r="Z844" s="27" t="n">
        <v>81.59999999999999</v>
      </c>
      <c r="AA844" s="27" t="inlineStr">
        <is>
          <t>Qualified</t>
        </is>
      </c>
      <c r="AB844" s="27" t="inlineStr"/>
      <c r="AC844" s="28">
        <f>IF(A844="","",IF(COUNTIF($H$5:$H$1004,H844)&gt;1,"DUPLICATE","UNIQUE"))</f>
        <v/>
      </c>
      <c r="AD844" s="28">
        <f>IF(A844="","",IF(AA844="Rejected",IF(AB844&lt;&gt;"","REJECTED","ADD REASON"),IF(AND(B844&lt;&gt;"",C844&lt;&gt;"",D844&lt;&gt;"",E844&lt;&gt;"",F844&lt;&gt;"",G844&lt;&gt;"",H844&lt;&gt;"",J844&lt;&gt;"",K844&lt;&gt;"",N844&lt;&gt;"",O844&lt;&gt;"",P844&lt;&gt;"",Q844&lt;&gt;"",R844&lt;&gt;"",S844&lt;&gt;"",T844&lt;&gt;"",V844&lt;&gt;"",W844&lt;&gt;"",X844&lt;&gt;"",Y844&lt;&gt;""),"COMPLETE","MISSING FIELDS")))</f>
        <v/>
      </c>
    </row>
    <row r="845" ht="15" customHeight="1" s="15">
      <c r="A845" s="27" t="inlineStr">
        <is>
          <t>LEAD-0841</t>
        </is>
      </c>
      <c r="B845" s="27" t="inlineStr">
        <is>
          <t>Althea Pemberton</t>
        </is>
      </c>
      <c r="C845" s="27" t="inlineStr">
        <is>
          <t>Podcaster</t>
        </is>
      </c>
      <c r="D845" s="27" t="inlineStr">
        <is>
          <t>AU</t>
        </is>
      </c>
      <c r="E845" s="27" t="inlineStr">
        <is>
          <t>English</t>
        </is>
      </c>
      <c r="F845" s="27" t="inlineStr">
        <is>
          <t>Apple Podcasts</t>
        </is>
      </c>
      <c r="G845" s="27" t="inlineStr">
        <is>
          <t>https://podcasts.apple.com/au/podcast/altheapemberton/id1000841</t>
        </is>
      </c>
      <c r="H845" s="27" t="inlineStr">
        <is>
          <t>AP-AU-1000841</t>
        </is>
      </c>
      <c r="I845" s="27" t="inlineStr">
        <is>
          <t>204,000</t>
        </is>
      </c>
      <c r="J845" s="27" t="inlineStr">
        <is>
          <t>2026-10-11</t>
        </is>
      </c>
      <c r="K845" s="27" t="inlineStr">
        <is>
          <t>https://altheapemberton.com/episodes/42</t>
        </is>
      </c>
      <c r="L845" s="27" t="n">
        <v>9</v>
      </c>
      <c r="M845" s="27" t="n">
        <v>29</v>
      </c>
      <c r="N845" s="27" t="inlineStr">
        <is>
          <t>Sponsor</t>
        </is>
      </c>
      <c r="O845" s="27" t="inlineStr">
        <is>
          <t>https://altheapemberton.com/partners</t>
        </is>
      </c>
      <c r="P845" s="27" t="inlineStr">
        <is>
          <t>Missing Video Captions &amp; Retention Clips</t>
        </is>
      </c>
      <c r="Q845" s="27" t="inlineStr">
        <is>
          <t>https://altheapemberton.com/highlights</t>
        </is>
      </c>
      <c r="R845" s="27" t="inlineStr">
        <is>
          <t>LinkedIn</t>
        </is>
      </c>
      <c r="S845" s="27" t="inlineStr">
        <is>
          <t>https://linkedin.com/in/altheapemberton</t>
        </is>
      </c>
      <c r="T845" s="27" t="inlineStr">
        <is>
          <t>https://altheapemberton.com/about</t>
        </is>
      </c>
      <c r="U845" s="27" t="inlineStr">
        <is>
          <t>Email</t>
        </is>
      </c>
      <c r="V845" s="27" t="inlineStr">
        <is>
          <t>saas &amp; product growth frameworks, specifically regarding episode 42 on SaaS &amp; Product Growth workflow optimization</t>
        </is>
      </c>
      <c r="W845" s="27" t="inlineStr">
        <is>
          <t>Hi Althea,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45" s="27" t="inlineStr">
        <is>
          <t>2026-10-18</t>
        </is>
      </c>
      <c r="Y845" s="27" t="inlineStr">
        <is>
          <t>C</t>
        </is>
      </c>
      <c r="Z845" s="27" t="n">
        <v>81.5</v>
      </c>
      <c r="AA845" s="27" t="inlineStr">
        <is>
          <t>Qualified</t>
        </is>
      </c>
      <c r="AB845" s="27" t="inlineStr"/>
      <c r="AC845" s="28">
        <f>IF(A845="","",IF(COUNTIF($H$5:$H$1004,H845)&gt;1,"DUPLICATE","UNIQUE"))</f>
        <v/>
      </c>
      <c r="AD845" s="28">
        <f>IF(A845="","",IF(AA845="Rejected",IF(AB845&lt;&gt;"","REJECTED","ADD REASON"),IF(AND(B845&lt;&gt;"",C845&lt;&gt;"",D845&lt;&gt;"",E845&lt;&gt;"",F845&lt;&gt;"",G845&lt;&gt;"",H845&lt;&gt;"",J845&lt;&gt;"",K845&lt;&gt;"",N845&lt;&gt;"",O845&lt;&gt;"",P845&lt;&gt;"",Q845&lt;&gt;"",R845&lt;&gt;"",S845&lt;&gt;"",T845&lt;&gt;"",V845&lt;&gt;"",W845&lt;&gt;"",X845&lt;&gt;"",Y845&lt;&gt;""),"COMPLETE","MISSING FIELDS")))</f>
        <v/>
      </c>
    </row>
    <row r="846" ht="15" customHeight="1" s="15">
      <c r="A846" s="27" t="inlineStr">
        <is>
          <t>LEAD-0842</t>
        </is>
      </c>
      <c r="B846" s="27" t="inlineStr">
        <is>
          <t>Althea Quatermain</t>
        </is>
      </c>
      <c r="C846" s="27" t="inlineStr">
        <is>
          <t>Expert-Led Creator</t>
        </is>
      </c>
      <c r="D846" s="27" t="inlineStr">
        <is>
          <t>AU</t>
        </is>
      </c>
      <c r="E846" s="27" t="inlineStr">
        <is>
          <t>English</t>
        </is>
      </c>
      <c r="F846" s="27" t="inlineStr">
        <is>
          <t>YouTube</t>
        </is>
      </c>
      <c r="G846" s="27" t="inlineStr">
        <is>
          <t>https://www.youtube.com/@altheaquatermain</t>
        </is>
      </c>
      <c r="H846" s="27" t="inlineStr">
        <is>
          <t>UCAU00842439835</t>
        </is>
      </c>
      <c r="I846" s="27" t="inlineStr">
        <is>
          <t>60,000</t>
        </is>
      </c>
      <c r="J846" s="27" t="inlineStr">
        <is>
          <t>2026-10-12</t>
        </is>
      </c>
      <c r="K846" s="27" t="inlineStr">
        <is>
          <t>https://www.youtube.com/watch?v=au00842</t>
        </is>
      </c>
      <c r="L846" s="27" t="n">
        <v>10</v>
      </c>
      <c r="M846" s="27" t="n">
        <v>30</v>
      </c>
      <c r="N846" s="27" t="inlineStr">
        <is>
          <t>Membership</t>
        </is>
      </c>
      <c r="O846" s="27" t="inlineStr">
        <is>
          <t>https://altheaquatermain.com/community</t>
        </is>
      </c>
      <c r="P846" s="27" t="inlineStr">
        <is>
          <t>Editing Backlog &amp; Team Workflow Overhead</t>
        </is>
      </c>
      <c r="Q846" s="27" t="inlineStr">
        <is>
          <t>https://altheaquatermain.com/highlights</t>
        </is>
      </c>
      <c r="R846" s="27" t="inlineStr">
        <is>
          <t>X (Twitter)</t>
        </is>
      </c>
      <c r="S846" s="27" t="inlineStr">
        <is>
          <t>https://x.com/altheaquatermain</t>
        </is>
      </c>
      <c r="T846" s="27" t="inlineStr">
        <is>
          <t>https://altheaquatermain.com/links</t>
        </is>
      </c>
      <c r="U846" s="27" t="inlineStr">
        <is>
          <t>LinkedIn</t>
        </is>
      </c>
      <c r="V846" s="27" t="inlineStr">
        <is>
          <t>creator business &amp; monetization frameworks, specifically regarding episode 43 on Creator Business &amp; Monetization workflow optimization</t>
        </is>
      </c>
      <c r="W846" s="27" t="inlineStr">
        <is>
          <t>Hi Althea,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46" s="27" t="inlineStr">
        <is>
          <t>2026-10-18</t>
        </is>
      </c>
      <c r="Y846" s="27" t="inlineStr">
        <is>
          <t>C</t>
        </is>
      </c>
      <c r="Z846" s="27" t="n">
        <v>81.5</v>
      </c>
      <c r="AA846" s="27" t="inlineStr">
        <is>
          <t>Qualified</t>
        </is>
      </c>
      <c r="AB846" s="27" t="inlineStr"/>
      <c r="AC846" s="28">
        <f>IF(A846="","",IF(COUNTIF($H$5:$H$1004,H846)&gt;1,"DUPLICATE","UNIQUE"))</f>
        <v/>
      </c>
      <c r="AD846" s="28">
        <f>IF(A846="","",IF(AA846="Rejected",IF(AB846&lt;&gt;"","REJECTED","ADD REASON"),IF(AND(B846&lt;&gt;"",C846&lt;&gt;"",D846&lt;&gt;"",E846&lt;&gt;"",F846&lt;&gt;"",G846&lt;&gt;"",H846&lt;&gt;"",J846&lt;&gt;"",K846&lt;&gt;"",N846&lt;&gt;"",O846&lt;&gt;"",P846&lt;&gt;"",Q846&lt;&gt;"",R846&lt;&gt;"",S846&lt;&gt;"",T846&lt;&gt;"",V846&lt;&gt;"",W846&lt;&gt;"",X846&lt;&gt;"",Y846&lt;&gt;""),"COMPLETE","MISSING FIELDS")))</f>
        <v/>
      </c>
    </row>
    <row r="847" ht="15" customHeight="1" s="15">
      <c r="A847" s="27" t="inlineStr">
        <is>
          <t>LEAD-0843</t>
        </is>
      </c>
      <c r="B847" s="27" t="inlineStr">
        <is>
          <t>Althea Radcliffe</t>
        </is>
      </c>
      <c r="C847" s="27" t="inlineStr">
        <is>
          <t>YouTuber</t>
        </is>
      </c>
      <c r="D847" s="27" t="inlineStr">
        <is>
          <t>AU</t>
        </is>
      </c>
      <c r="E847" s="27" t="inlineStr">
        <is>
          <t>English</t>
        </is>
      </c>
      <c r="F847" s="27" t="inlineStr">
        <is>
          <t>YouTube</t>
        </is>
      </c>
      <c r="G847" s="27" t="inlineStr">
        <is>
          <t>https://www.youtube.com/@althearadcliffe</t>
        </is>
      </c>
      <c r="H847" s="27" t="inlineStr">
        <is>
          <t>UCAU00843393095</t>
        </is>
      </c>
      <c r="I847" s="27" t="inlineStr">
        <is>
          <t>80,000</t>
        </is>
      </c>
      <c r="J847" s="27" t="inlineStr">
        <is>
          <t>2026-10-13</t>
        </is>
      </c>
      <c r="K847" s="27" t="inlineStr">
        <is>
          <t>https://www.youtube.com/watch?v=au00843</t>
        </is>
      </c>
      <c r="L847" s="27" t="n">
        <v>11</v>
      </c>
      <c r="M847" s="27" t="n">
        <v>31</v>
      </c>
      <c r="N847" s="27" t="inlineStr">
        <is>
          <t>Product</t>
        </is>
      </c>
      <c r="O847" s="27" t="inlineStr">
        <is>
          <t>https://althearadcliffe.com/shop</t>
        </is>
      </c>
      <c r="P847" s="27" t="inlineStr">
        <is>
          <t>Shorts Repurposing Bottleneck</t>
        </is>
      </c>
      <c r="Q847" s="27" t="inlineStr">
        <is>
          <t>https://althearadcliffe.com/highlights</t>
        </is>
      </c>
      <c r="R847" s="27" t="inlineStr">
        <is>
          <t>Email</t>
        </is>
      </c>
      <c r="S847" s="27" t="inlineStr">
        <is>
          <t>hello@althearadcliffe.com</t>
        </is>
      </c>
      <c r="T847" s="27" t="inlineStr">
        <is>
          <t>https://althearadcliffe.com/work-with-me</t>
        </is>
      </c>
      <c r="U847" s="27" t="inlineStr">
        <is>
          <t>LinkedIn</t>
        </is>
      </c>
      <c r="V847" s="27" t="inlineStr">
        <is>
          <t>productivity &amp; personal systems frameworks, specifically regarding episode 44 on Productivity &amp; Personal Systems workflow optimization</t>
        </is>
      </c>
      <c r="W847" s="27" t="inlineStr">
        <is>
          <t>Hi Althea,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47" s="27" t="inlineStr">
        <is>
          <t>2026-10-18</t>
        </is>
      </c>
      <c r="Y847" s="27" t="inlineStr">
        <is>
          <t>C</t>
        </is>
      </c>
      <c r="Z847" s="27" t="n">
        <v>81.40000000000001</v>
      </c>
      <c r="AA847" s="27" t="inlineStr">
        <is>
          <t>Qualified</t>
        </is>
      </c>
      <c r="AB847" s="27" t="inlineStr"/>
      <c r="AC847" s="28">
        <f>IF(A847="","",IF(COUNTIF($H$5:$H$1004,H847)&gt;1,"DUPLICATE","UNIQUE"))</f>
        <v/>
      </c>
      <c r="AD847" s="28">
        <f>IF(A847="","",IF(AA847="Rejected",IF(AB847&lt;&gt;"","REJECTED","ADD REASON"),IF(AND(B847&lt;&gt;"",C847&lt;&gt;"",D847&lt;&gt;"",E847&lt;&gt;"",F847&lt;&gt;"",G847&lt;&gt;"",H847&lt;&gt;"",J847&lt;&gt;"",K847&lt;&gt;"",N847&lt;&gt;"",O847&lt;&gt;"",P847&lt;&gt;"",Q847&lt;&gt;"",R847&lt;&gt;"",S847&lt;&gt;"",T847&lt;&gt;"",V847&lt;&gt;"",W847&lt;&gt;"",X847&lt;&gt;"",Y847&lt;&gt;""),"COMPLETE","MISSING FIELDS")))</f>
        <v/>
      </c>
    </row>
    <row r="848" ht="15" customHeight="1" s="15">
      <c r="A848" s="27" t="inlineStr">
        <is>
          <t>LEAD-0844</t>
        </is>
      </c>
      <c r="B848" s="27" t="inlineStr">
        <is>
          <t>Althea Stanhope</t>
        </is>
      </c>
      <c r="C848" s="27" t="inlineStr">
        <is>
          <t>Podcaster</t>
        </is>
      </c>
      <c r="D848" s="27" t="inlineStr">
        <is>
          <t>AU</t>
        </is>
      </c>
      <c r="E848" s="27" t="inlineStr">
        <is>
          <t>English</t>
        </is>
      </c>
      <c r="F848" s="27" t="inlineStr">
        <is>
          <t>Apple Podcasts</t>
        </is>
      </c>
      <c r="G848" s="27" t="inlineStr">
        <is>
          <t>https://podcasts.apple.com/au/podcast/altheastanhope/id1000844</t>
        </is>
      </c>
      <c r="H848" s="27" t="inlineStr">
        <is>
          <t>AP-AU-1000844</t>
        </is>
      </c>
      <c r="I848" s="27" t="inlineStr">
        <is>
          <t>240,000</t>
        </is>
      </c>
      <c r="J848" s="27" t="inlineStr">
        <is>
          <t>2026-10-14</t>
        </is>
      </c>
      <c r="K848" s="27" t="inlineStr">
        <is>
          <t>https://altheastanhope.com/episodes/45</t>
        </is>
      </c>
      <c r="L848" s="27" t="n">
        <v>12</v>
      </c>
      <c r="M848" s="27" t="n">
        <v>32</v>
      </c>
      <c r="N848" s="27" t="inlineStr">
        <is>
          <t>Consulting</t>
        </is>
      </c>
      <c r="O848" s="27" t="inlineStr">
        <is>
          <t>https://altheastanhope.com/advisory</t>
        </is>
      </c>
      <c r="P848" s="27" t="inlineStr">
        <is>
          <t>Inconsistent Cross-Platform Publishing</t>
        </is>
      </c>
      <c r="Q848" s="27" t="inlineStr">
        <is>
          <t>https://altheastanhope.com/highlights</t>
        </is>
      </c>
      <c r="R848" s="27" t="inlineStr">
        <is>
          <t>Email</t>
        </is>
      </c>
      <c r="S848" s="27" t="inlineStr">
        <is>
          <t>contact@altheastanhope.com</t>
        </is>
      </c>
      <c r="T848" s="27" t="inlineStr">
        <is>
          <t>https://altheastanhope.com/contact</t>
        </is>
      </c>
      <c r="U848" s="27" t="inlineStr">
        <is>
          <t>LinkedIn</t>
        </is>
      </c>
      <c r="V848" s="27" t="inlineStr">
        <is>
          <t>leadership &amp; team ops frameworks, specifically regarding episode 45 on Leadership &amp; Team Ops workflow optimization</t>
        </is>
      </c>
      <c r="W848" s="27" t="inlineStr">
        <is>
          <t>Hi Althea,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48" s="27" t="inlineStr">
        <is>
          <t>2026-10-18</t>
        </is>
      </c>
      <c r="Y848" s="27" t="inlineStr">
        <is>
          <t>C</t>
        </is>
      </c>
      <c r="Z848" s="27" t="n">
        <v>81.40000000000001</v>
      </c>
      <c r="AA848" s="27" t="inlineStr">
        <is>
          <t>Qualified</t>
        </is>
      </c>
      <c r="AB848" s="27" t="inlineStr"/>
      <c r="AC848" s="28">
        <f>IF(A848="","",IF(COUNTIF($H$5:$H$1004,H848)&gt;1,"DUPLICATE","UNIQUE"))</f>
        <v/>
      </c>
      <c r="AD848" s="28">
        <f>IF(A848="","",IF(AA848="Rejected",IF(AB848&lt;&gt;"","REJECTED","ADD REASON"),IF(AND(B848&lt;&gt;"",C848&lt;&gt;"",D848&lt;&gt;"",E848&lt;&gt;"",F848&lt;&gt;"",G848&lt;&gt;"",H848&lt;&gt;"",J848&lt;&gt;"",K848&lt;&gt;"",N848&lt;&gt;"",O848&lt;&gt;"",P848&lt;&gt;"",Q848&lt;&gt;"",R848&lt;&gt;"",S848&lt;&gt;"",T848&lt;&gt;"",V848&lt;&gt;"",W848&lt;&gt;"",X848&lt;&gt;"",Y848&lt;&gt;""),"COMPLETE","MISSING FIELDS")))</f>
        <v/>
      </c>
    </row>
    <row r="849" ht="15" customHeight="1" s="15">
      <c r="A849" s="27" t="inlineStr">
        <is>
          <t>LEAD-0845</t>
        </is>
      </c>
      <c r="B849" s="27" t="inlineStr">
        <is>
          <t>Althea Thackery</t>
        </is>
      </c>
      <c r="C849" s="27" t="inlineStr">
        <is>
          <t>Expert-Led Creator</t>
        </is>
      </c>
      <c r="D849" s="27" t="inlineStr">
        <is>
          <t>AU</t>
        </is>
      </c>
      <c r="E849" s="27" t="inlineStr">
        <is>
          <t>English</t>
        </is>
      </c>
      <c r="F849" s="27" t="inlineStr">
        <is>
          <t>LinkedIn</t>
        </is>
      </c>
      <c r="G849" s="27" t="inlineStr">
        <is>
          <t>https://www.linkedin.com/in/altheathackery</t>
        </is>
      </c>
      <c r="H849" s="27" t="inlineStr">
        <is>
          <t>LI-altheathackery-0845</t>
        </is>
      </c>
      <c r="I849" s="27" t="inlineStr">
        <is>
          <t>36,000</t>
        </is>
      </c>
      <c r="J849" s="27" t="inlineStr">
        <is>
          <t>2026-10-15</t>
        </is>
      </c>
      <c r="K849" s="27" t="inlineStr">
        <is>
          <t>https://altheathackery.com/posts/96</t>
        </is>
      </c>
      <c r="L849" s="27" t="n">
        <v>13</v>
      </c>
      <c r="M849" s="27" t="n">
        <v>33</v>
      </c>
      <c r="N849" s="27" t="inlineStr">
        <is>
          <t>Newsletter Subscription</t>
        </is>
      </c>
      <c r="O849" s="27" t="inlineStr">
        <is>
          <t>https://altheathackery.com/subscribe</t>
        </is>
      </c>
      <c r="P849" s="27" t="inlineStr">
        <is>
          <t>Editing Backlog &amp; Team Workflow Overhead</t>
        </is>
      </c>
      <c r="Q849" s="27" t="inlineStr">
        <is>
          <t>https://altheathackery.com/highlights</t>
        </is>
      </c>
      <c r="R849" s="27" t="inlineStr">
        <is>
          <t>LinkedIn</t>
        </is>
      </c>
      <c r="S849" s="27" t="inlineStr">
        <is>
          <t>https://linkedin.com/in/altheathackery</t>
        </is>
      </c>
      <c r="T849" s="27" t="inlineStr">
        <is>
          <t>https://altheathackery.com/about</t>
        </is>
      </c>
      <c r="U849" s="27" t="inlineStr">
        <is>
          <t>Email</t>
        </is>
      </c>
      <c r="V849" s="27" t="inlineStr">
        <is>
          <t>b2b marketing &amp; sales frameworks, specifically regarding episode 46 on B2B Marketing &amp; Sales workflow optimization</t>
        </is>
      </c>
      <c r="W849" s="27" t="inlineStr">
        <is>
          <t>Hi Althea,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49" s="27" t="inlineStr">
        <is>
          <t>2026-10-18</t>
        </is>
      </c>
      <c r="Y849" s="27" t="inlineStr">
        <is>
          <t>C</t>
        </is>
      </c>
      <c r="Z849" s="27" t="n">
        <v>81.3</v>
      </c>
      <c r="AA849" s="27" t="inlineStr">
        <is>
          <t>Qualified</t>
        </is>
      </c>
      <c r="AB849" s="27" t="inlineStr"/>
      <c r="AC849" s="28">
        <f>IF(A849="","",IF(COUNTIF($H$5:$H$1004,H849)&gt;1,"DUPLICATE","UNIQUE"))</f>
        <v/>
      </c>
      <c r="AD849" s="28">
        <f>IF(A849="","",IF(AA849="Rejected",IF(AB849&lt;&gt;"","REJECTED","ADD REASON"),IF(AND(B849&lt;&gt;"",C849&lt;&gt;"",D849&lt;&gt;"",E849&lt;&gt;"",F849&lt;&gt;"",G849&lt;&gt;"",H849&lt;&gt;"",J849&lt;&gt;"",K849&lt;&gt;"",N849&lt;&gt;"",O849&lt;&gt;"",P849&lt;&gt;"",Q849&lt;&gt;"",R849&lt;&gt;"",S849&lt;&gt;"",T849&lt;&gt;"",V849&lt;&gt;"",W849&lt;&gt;"",X849&lt;&gt;"",Y849&lt;&gt;""),"COMPLETE","MISSING FIELDS")))</f>
        <v/>
      </c>
    </row>
    <row r="850" ht="15" customHeight="1" s="15">
      <c r="A850" s="27" t="inlineStr">
        <is>
          <t>LEAD-0846</t>
        </is>
      </c>
      <c r="B850" s="27" t="inlineStr">
        <is>
          <t>Althea Underwood</t>
        </is>
      </c>
      <c r="C850" s="27" t="inlineStr">
        <is>
          <t>YouTuber</t>
        </is>
      </c>
      <c r="D850" s="27" t="inlineStr">
        <is>
          <t>AU</t>
        </is>
      </c>
      <c r="E850" s="27" t="inlineStr">
        <is>
          <t>English</t>
        </is>
      </c>
      <c r="F850" s="27" t="inlineStr">
        <is>
          <t>YouTube</t>
        </is>
      </c>
      <c r="G850" s="27" t="inlineStr">
        <is>
          <t>https://www.youtube.com/@altheaunderwood</t>
        </is>
      </c>
      <c r="H850" s="27" t="inlineStr">
        <is>
          <t>UCAU00846822888</t>
        </is>
      </c>
      <c r="I850" s="27" t="inlineStr">
        <is>
          <t>140,000</t>
        </is>
      </c>
      <c r="J850" s="27" t="inlineStr">
        <is>
          <t>2026-10-16</t>
        </is>
      </c>
      <c r="K850" s="27" t="inlineStr">
        <is>
          <t>https://www.youtube.com/watch?v=au00846</t>
        </is>
      </c>
      <c r="L850" s="27" t="n">
        <v>14</v>
      </c>
      <c r="M850" s="27" t="n">
        <v>16</v>
      </c>
      <c r="N850" s="27" t="inlineStr">
        <is>
          <t>Affiliate</t>
        </is>
      </c>
      <c r="O850" s="27" t="inlineStr">
        <is>
          <t>https://altheaunderwood.com/resources</t>
        </is>
      </c>
      <c r="P850" s="27" t="inlineStr">
        <is>
          <t>Multilingual Audio Dubbing</t>
        </is>
      </c>
      <c r="Q850" s="27" t="inlineStr">
        <is>
          <t>https://altheaunderwood.com/highlights</t>
        </is>
      </c>
      <c r="R850" s="27" t="inlineStr">
        <is>
          <t>X (Twitter)</t>
        </is>
      </c>
      <c r="S850" s="27" t="inlineStr">
        <is>
          <t>https://x.com/altheaunderwood</t>
        </is>
      </c>
      <c r="T850" s="27" t="inlineStr">
        <is>
          <t>https://altheaunderwood.com/links</t>
        </is>
      </c>
      <c r="U850" s="27" t="inlineStr">
        <is>
          <t>LinkedIn</t>
        </is>
      </c>
      <c r="V850" s="27" t="inlineStr">
        <is>
          <t>finance &amp; wealth engineering frameworks, specifically regarding episode 47 on Finance &amp; Wealth Engineering workflow optimization</t>
        </is>
      </c>
      <c r="W850" s="27" t="inlineStr">
        <is>
          <t>Hi Althea,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50" s="27" t="inlineStr">
        <is>
          <t>2026-10-18</t>
        </is>
      </c>
      <c r="Y850" s="27" t="inlineStr">
        <is>
          <t>C</t>
        </is>
      </c>
      <c r="Z850" s="27" t="n">
        <v>81.2</v>
      </c>
      <c r="AA850" s="27" t="inlineStr">
        <is>
          <t>Qualified</t>
        </is>
      </c>
      <c r="AB850" s="27" t="inlineStr"/>
      <c r="AC850" s="28">
        <f>IF(A850="","",IF(COUNTIF($H$5:$H$1004,H850)&gt;1,"DUPLICATE","UNIQUE"))</f>
        <v/>
      </c>
      <c r="AD850" s="28">
        <f>IF(A850="","",IF(AA850="Rejected",IF(AB850&lt;&gt;"","REJECTED","ADD REASON"),IF(AND(B850&lt;&gt;"",C850&lt;&gt;"",D850&lt;&gt;"",E850&lt;&gt;"",F850&lt;&gt;"",G850&lt;&gt;"",H850&lt;&gt;"",J850&lt;&gt;"",K850&lt;&gt;"",N850&lt;&gt;"",O850&lt;&gt;"",P850&lt;&gt;"",Q850&lt;&gt;"",R850&lt;&gt;"",S850&lt;&gt;"",T850&lt;&gt;"",V850&lt;&gt;"",W850&lt;&gt;"",X850&lt;&gt;"",Y850&lt;&gt;""),"COMPLETE","MISSING FIELDS")))</f>
        <v/>
      </c>
    </row>
    <row r="851" ht="15" customHeight="1" s="15">
      <c r="A851" s="27" t="inlineStr">
        <is>
          <t>LEAD-0847</t>
        </is>
      </c>
      <c r="B851" s="27" t="inlineStr">
        <is>
          <t>Althea Vanguard</t>
        </is>
      </c>
      <c r="C851" s="27" t="inlineStr">
        <is>
          <t>Podcaster</t>
        </is>
      </c>
      <c r="D851" s="27" t="inlineStr">
        <is>
          <t>AU</t>
        </is>
      </c>
      <c r="E851" s="27" t="inlineStr">
        <is>
          <t>English</t>
        </is>
      </c>
      <c r="F851" s="27" t="inlineStr">
        <is>
          <t>Apple Podcasts</t>
        </is>
      </c>
      <c r="G851" s="27" t="inlineStr">
        <is>
          <t>https://podcasts.apple.com/au/podcast/altheavanguard/id1000847</t>
        </is>
      </c>
      <c r="H851" s="27" t="inlineStr">
        <is>
          <t>AP-AU-1000847</t>
        </is>
      </c>
      <c r="I851" s="27" t="inlineStr">
        <is>
          <t>276,000</t>
        </is>
      </c>
      <c r="J851" s="27" t="inlineStr">
        <is>
          <t>2026-10-17</t>
        </is>
      </c>
      <c r="K851" s="27" t="inlineStr">
        <is>
          <t>https://altheavanguard.com/episodes/48</t>
        </is>
      </c>
      <c r="L851" s="27" t="n">
        <v>15</v>
      </c>
      <c r="M851" s="27" t="n">
        <v>17</v>
      </c>
      <c r="N851" s="27" t="inlineStr">
        <is>
          <t>Course</t>
        </is>
      </c>
      <c r="O851" s="27" t="inlineStr">
        <is>
          <t>https://altheavanguard.com/academy</t>
        </is>
      </c>
      <c r="P851" s="27" t="inlineStr">
        <is>
          <t>Multilingual Audio Dubbing</t>
        </is>
      </c>
      <c r="Q851" s="27" t="inlineStr">
        <is>
          <t>https://altheavanguard.com/highlights</t>
        </is>
      </c>
      <c r="R851" s="27" t="inlineStr">
        <is>
          <t>Email</t>
        </is>
      </c>
      <c r="S851" s="27" t="inlineStr">
        <is>
          <t>hello@altheavanguard.com</t>
        </is>
      </c>
      <c r="T851" s="27" t="inlineStr">
        <is>
          <t>https://altheavanguard.com/work-with-me</t>
        </is>
      </c>
      <c r="U851" s="27" t="inlineStr">
        <is>
          <t>LinkedIn</t>
        </is>
      </c>
      <c r="V851" s="27" t="inlineStr">
        <is>
          <t>health &amp; longevity science frameworks, specifically regarding episode 48 on Health &amp; Longevity Science workflow optimization</t>
        </is>
      </c>
      <c r="W851" s="27" t="inlineStr">
        <is>
          <t>Hi Althea,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51" s="27" t="inlineStr">
        <is>
          <t>2026-10-18</t>
        </is>
      </c>
      <c r="Y851" s="27" t="inlineStr">
        <is>
          <t>C</t>
        </is>
      </c>
      <c r="Z851" s="27" t="n">
        <v>81.2</v>
      </c>
      <c r="AA851" s="27" t="inlineStr">
        <is>
          <t>Qualified</t>
        </is>
      </c>
      <c r="AB851" s="27" t="inlineStr"/>
      <c r="AC851" s="28">
        <f>IF(A851="","",IF(COUNTIF($H$5:$H$1004,H851)&gt;1,"DUPLICATE","UNIQUE"))</f>
        <v/>
      </c>
      <c r="AD851" s="28">
        <f>IF(A851="","",IF(AA851="Rejected",IF(AB851&lt;&gt;"","REJECTED","ADD REASON"),IF(AND(B851&lt;&gt;"",C851&lt;&gt;"",D851&lt;&gt;"",E851&lt;&gt;"",F851&lt;&gt;"",G851&lt;&gt;"",H851&lt;&gt;"",J851&lt;&gt;"",K851&lt;&gt;"",N851&lt;&gt;"",O851&lt;&gt;"",P851&lt;&gt;"",Q851&lt;&gt;"",R851&lt;&gt;"",S851&lt;&gt;"",T851&lt;&gt;"",V851&lt;&gt;"",W851&lt;&gt;"",X851&lt;&gt;"",Y851&lt;&gt;""),"COMPLETE","MISSING FIELDS")))</f>
        <v/>
      </c>
    </row>
    <row r="852" ht="15" customHeight="1" s="15">
      <c r="A852" s="27" t="inlineStr">
        <is>
          <t>LEAD-0848</t>
        </is>
      </c>
      <c r="B852" s="27" t="inlineStr">
        <is>
          <t>Althea Waverly</t>
        </is>
      </c>
      <c r="C852" s="27" t="inlineStr">
        <is>
          <t>YouTuber</t>
        </is>
      </c>
      <c r="D852" s="27" t="inlineStr">
        <is>
          <t>AU</t>
        </is>
      </c>
      <c r="E852" s="27" t="inlineStr">
        <is>
          <t>English</t>
        </is>
      </c>
      <c r="F852" s="27" t="inlineStr">
        <is>
          <t>YouTube</t>
        </is>
      </c>
      <c r="G852" s="27" t="inlineStr">
        <is>
          <t>https://www.youtube.com/@altheawaverly</t>
        </is>
      </c>
      <c r="H852" s="27" t="inlineStr">
        <is>
          <t>UCAU00848567409</t>
        </is>
      </c>
      <c r="I852" s="27" t="inlineStr">
        <is>
          <t>180,000</t>
        </is>
      </c>
      <c r="J852" s="27" t="inlineStr">
        <is>
          <t>2026-10-10</t>
        </is>
      </c>
      <c r="K852" s="27" t="inlineStr">
        <is>
          <t>https://www.youtube.com/watch?v=au00848</t>
        </is>
      </c>
      <c r="L852" s="27" t="n">
        <v>16</v>
      </c>
      <c r="M852" s="27" t="n">
        <v>18</v>
      </c>
      <c r="N852" s="27" t="inlineStr">
        <is>
          <t>Sponsor</t>
        </is>
      </c>
      <c r="O852" s="27" t="inlineStr">
        <is>
          <t>https://altheawaverly.com/partners</t>
        </is>
      </c>
      <c r="P852" s="27" t="inlineStr">
        <is>
          <t>Missing Video Captions &amp; Retention Clips</t>
        </is>
      </c>
      <c r="Q852" s="27" t="inlineStr">
        <is>
          <t>https://altheawaverly.com/highlights</t>
        </is>
      </c>
      <c r="R852" s="27" t="inlineStr">
        <is>
          <t>Email</t>
        </is>
      </c>
      <c r="S852" s="27" t="inlineStr">
        <is>
          <t>contact@altheawaverly.com</t>
        </is>
      </c>
      <c r="T852" s="27" t="inlineStr">
        <is>
          <t>https://altheawaverly.com/contact</t>
        </is>
      </c>
      <c r="U852" s="27" t="inlineStr">
        <is>
          <t>LinkedIn</t>
        </is>
      </c>
      <c r="V852" s="27" t="inlineStr">
        <is>
          <t>education &amp; applied coding frameworks, specifically regarding episode 49 on Education &amp; Applied Coding workflow optimization</t>
        </is>
      </c>
      <c r="W852" s="27" t="inlineStr">
        <is>
          <t>Hi Althea,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52" s="27" t="inlineStr">
        <is>
          <t>2026-10-18</t>
        </is>
      </c>
      <c r="Y852" s="27" t="inlineStr">
        <is>
          <t>C</t>
        </is>
      </c>
      <c r="Z852" s="27" t="n">
        <v>81.09999999999999</v>
      </c>
      <c r="AA852" s="27" t="inlineStr">
        <is>
          <t>Qualified</t>
        </is>
      </c>
      <c r="AB852" s="27" t="inlineStr"/>
      <c r="AC852" s="28">
        <f>IF(A852="","",IF(COUNTIF($H$5:$H$1004,H852)&gt;1,"DUPLICATE","UNIQUE"))</f>
        <v/>
      </c>
      <c r="AD852" s="28">
        <f>IF(A852="","",IF(AA852="Rejected",IF(AB852&lt;&gt;"","REJECTED","ADD REASON"),IF(AND(B852&lt;&gt;"",C852&lt;&gt;"",D852&lt;&gt;"",E852&lt;&gt;"",F852&lt;&gt;"",G852&lt;&gt;"",H852&lt;&gt;"",J852&lt;&gt;"",K852&lt;&gt;"",N852&lt;&gt;"",O852&lt;&gt;"",P852&lt;&gt;"",Q852&lt;&gt;"",R852&lt;&gt;"",S852&lt;&gt;"",T852&lt;&gt;"",V852&lt;&gt;"",W852&lt;&gt;"",X852&lt;&gt;"",Y852&lt;&gt;""),"COMPLETE","MISSING FIELDS")))</f>
        <v/>
      </c>
    </row>
    <row r="853" ht="15" customHeight="1" s="15">
      <c r="A853" s="27" t="inlineStr">
        <is>
          <t>LEAD-0849</t>
        </is>
      </c>
      <c r="B853" s="27" t="inlineStr">
        <is>
          <t>Althea Yardley</t>
        </is>
      </c>
      <c r="C853" s="27" t="inlineStr">
        <is>
          <t>Podcaster</t>
        </is>
      </c>
      <c r="D853" s="27" t="inlineStr">
        <is>
          <t>AU</t>
        </is>
      </c>
      <c r="E853" s="27" t="inlineStr">
        <is>
          <t>English</t>
        </is>
      </c>
      <c r="F853" s="27" t="inlineStr">
        <is>
          <t>Apple Podcasts</t>
        </is>
      </c>
      <c r="G853" s="27" t="inlineStr">
        <is>
          <t>https://podcasts.apple.com/au/podcast/altheayardley/id1000849</t>
        </is>
      </c>
      <c r="H853" s="27" t="inlineStr">
        <is>
          <t>AP-AU-1000849</t>
        </is>
      </c>
      <c r="I853" s="27" t="inlineStr">
        <is>
          <t>300,000</t>
        </is>
      </c>
      <c r="J853" s="27" t="inlineStr">
        <is>
          <t>2026-10-11</t>
        </is>
      </c>
      <c r="K853" s="27" t="inlineStr">
        <is>
          <t>https://altheayardley.com/episodes/50</t>
        </is>
      </c>
      <c r="L853" s="27" t="n">
        <v>17</v>
      </c>
      <c r="M853" s="27" t="n">
        <v>19</v>
      </c>
      <c r="N853" s="27" t="inlineStr">
        <is>
          <t>Membership</t>
        </is>
      </c>
      <c r="O853" s="27" t="inlineStr">
        <is>
          <t>https://altheayardley.com/community</t>
        </is>
      </c>
      <c r="P853" s="27" t="inlineStr">
        <is>
          <t>Shorts Repurposing Bottleneck</t>
        </is>
      </c>
      <c r="Q853" s="27" t="inlineStr">
        <is>
          <t>https://altheayardley.com/highlights</t>
        </is>
      </c>
      <c r="R853" s="27" t="inlineStr">
        <is>
          <t>LinkedIn</t>
        </is>
      </c>
      <c r="S853" s="27" t="inlineStr">
        <is>
          <t>https://linkedin.com/in/altheayardley</t>
        </is>
      </c>
      <c r="T853" s="27" t="inlineStr">
        <is>
          <t>https://altheayardley.com/about</t>
        </is>
      </c>
      <c r="U853" s="27" t="inlineStr">
        <is>
          <t>Email</t>
        </is>
      </c>
      <c r="V853" s="27" t="inlineStr">
        <is>
          <t>e-commerce &amp; digital brands frameworks, specifically regarding episode 50 on E-Commerce &amp; Digital Brands workflow optimization</t>
        </is>
      </c>
      <c r="W853" s="27" t="inlineStr">
        <is>
          <t>Hi Althea,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53" s="27" t="inlineStr">
        <is>
          <t>2026-10-18</t>
        </is>
      </c>
      <c r="Y853" s="27" t="inlineStr">
        <is>
          <t>C</t>
        </is>
      </c>
      <c r="Z853" s="27" t="n">
        <v>81.09999999999999</v>
      </c>
      <c r="AA853" s="27" t="inlineStr">
        <is>
          <t>Qualified</t>
        </is>
      </c>
      <c r="AB853" s="27" t="inlineStr"/>
      <c r="AC853" s="28">
        <f>IF(A853="","",IF(COUNTIF($H$5:$H$1004,H853)&gt;1,"DUPLICATE","UNIQUE"))</f>
        <v/>
      </c>
      <c r="AD853" s="28">
        <f>IF(A853="","",IF(AA853="Rejected",IF(AB853&lt;&gt;"","REJECTED","ADD REASON"),IF(AND(B853&lt;&gt;"",C853&lt;&gt;"",D853&lt;&gt;"",E853&lt;&gt;"",F853&lt;&gt;"",G853&lt;&gt;"",H853&lt;&gt;"",J853&lt;&gt;"",K853&lt;&gt;"",N853&lt;&gt;"",O853&lt;&gt;"",P853&lt;&gt;"",Q853&lt;&gt;"",R853&lt;&gt;"",S853&lt;&gt;"",T853&lt;&gt;"",V853&lt;&gt;"",W853&lt;&gt;"",X853&lt;&gt;"",Y853&lt;&gt;""),"COMPLETE","MISSING FIELDS")))</f>
        <v/>
      </c>
    </row>
    <row r="854" ht="15" customHeight="1" s="15">
      <c r="A854" s="27" t="inlineStr">
        <is>
          <t>LEAD-0850</t>
        </is>
      </c>
      <c r="B854" s="27" t="inlineStr">
        <is>
          <t>Althea Zimmerman</t>
        </is>
      </c>
      <c r="C854" s="27" t="inlineStr">
        <is>
          <t>YouTuber</t>
        </is>
      </c>
      <c r="D854" s="27" t="inlineStr">
        <is>
          <t>AU</t>
        </is>
      </c>
      <c r="E854" s="27" t="inlineStr">
        <is>
          <t>English</t>
        </is>
      </c>
      <c r="F854" s="27" t="inlineStr">
        <is>
          <t>YouTube</t>
        </is>
      </c>
      <c r="G854" s="27" t="inlineStr">
        <is>
          <t>https://www.youtube.com/@altheazimmerman</t>
        </is>
      </c>
      <c r="H854" s="27" t="inlineStr">
        <is>
          <t>UCAU00850683368</t>
        </is>
      </c>
      <c r="I854" s="27" t="inlineStr">
        <is>
          <t>220,000</t>
        </is>
      </c>
      <c r="J854" s="27" t="inlineStr">
        <is>
          <t>2026-10-12</t>
        </is>
      </c>
      <c r="K854" s="27" t="inlineStr">
        <is>
          <t>https://www.youtube.com/watch?v=au00850</t>
        </is>
      </c>
      <c r="L854" s="27" t="n">
        <v>8</v>
      </c>
      <c r="M854" s="27" t="n">
        <v>20</v>
      </c>
      <c r="N854" s="27" t="inlineStr">
        <is>
          <t>Product</t>
        </is>
      </c>
      <c r="O854" s="27" t="inlineStr">
        <is>
          <t>https://altheazimmerman.com/shop</t>
        </is>
      </c>
      <c r="P854" s="27" t="inlineStr">
        <is>
          <t>Shorts Repurposing Bottleneck</t>
        </is>
      </c>
      <c r="Q854" s="27" t="inlineStr">
        <is>
          <t>https://altheazimmerman.com/highlights</t>
        </is>
      </c>
      <c r="R854" s="27" t="inlineStr">
        <is>
          <t>X (Twitter)</t>
        </is>
      </c>
      <c r="S854" s="27" t="inlineStr">
        <is>
          <t>https://x.com/altheazimmerman</t>
        </is>
      </c>
      <c r="T854" s="27" t="inlineStr">
        <is>
          <t>https://altheazimmerman.com/links</t>
        </is>
      </c>
      <c r="U854" s="27" t="inlineStr">
        <is>
          <t>LinkedIn</t>
        </is>
      </c>
      <c r="V854" s="27" t="inlineStr">
        <is>
          <t>tech &amp; ai frameworks, specifically regarding episode 1 on Tech &amp; AI workflow optimization</t>
        </is>
      </c>
      <c r="W854" s="27" t="inlineStr">
        <is>
          <t>Hi Althea,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54" s="27" t="inlineStr">
        <is>
          <t>2026-10-18</t>
        </is>
      </c>
      <c r="Y854" s="27" t="inlineStr">
        <is>
          <t>C</t>
        </is>
      </c>
      <c r="Z854" s="27" t="n">
        <v>81</v>
      </c>
      <c r="AA854" s="27" t="inlineStr">
        <is>
          <t>Qualified</t>
        </is>
      </c>
      <c r="AB854" s="27" t="inlineStr"/>
      <c r="AC854" s="28">
        <f>IF(A854="","",IF(COUNTIF($H$5:$H$1004,H854)&gt;1,"DUPLICATE","UNIQUE"))</f>
        <v/>
      </c>
      <c r="AD854" s="28">
        <f>IF(A854="","",IF(AA854="Rejected",IF(AB854&lt;&gt;"","REJECTED","ADD REASON"),IF(AND(B854&lt;&gt;"",C854&lt;&gt;"",D854&lt;&gt;"",E854&lt;&gt;"",F854&lt;&gt;"",G854&lt;&gt;"",H854&lt;&gt;"",J854&lt;&gt;"",K854&lt;&gt;"",N854&lt;&gt;"",O854&lt;&gt;"",P854&lt;&gt;"",Q854&lt;&gt;"",R854&lt;&gt;"",S854&lt;&gt;"",T854&lt;&gt;"",V854&lt;&gt;"",W854&lt;&gt;"",X854&lt;&gt;"",Y854&lt;&gt;""),"COMPLETE","MISSING FIELDS")))</f>
        <v/>
      </c>
    </row>
    <row r="855" ht="15" customHeight="1" s="15">
      <c r="A855" s="27" t="inlineStr">
        <is>
          <t>LEAD-0851</t>
        </is>
      </c>
      <c r="B855" s="27" t="inlineStr">
        <is>
          <t>Althea Sterling</t>
        </is>
      </c>
      <c r="C855" s="27" t="inlineStr">
        <is>
          <t>Podcaster</t>
        </is>
      </c>
      <c r="D855" s="27" t="inlineStr">
        <is>
          <t>AU</t>
        </is>
      </c>
      <c r="E855" s="27" t="inlineStr">
        <is>
          <t>English</t>
        </is>
      </c>
      <c r="F855" s="27" t="inlineStr">
        <is>
          <t>Apple Podcasts</t>
        </is>
      </c>
      <c r="G855" s="27" t="inlineStr">
        <is>
          <t>https://podcasts.apple.com/au/podcast/altheasterling/id1000851</t>
        </is>
      </c>
      <c r="H855" s="27" t="inlineStr">
        <is>
          <t>AP-AU-1000851</t>
        </is>
      </c>
      <c r="I855" s="27" t="inlineStr">
        <is>
          <t>24,000</t>
        </is>
      </c>
      <c r="J855" s="27" t="inlineStr">
        <is>
          <t>2026-10-13</t>
        </is>
      </c>
      <c r="K855" s="27" t="inlineStr">
        <is>
          <t>https://altheasterling.com/episodes/52</t>
        </is>
      </c>
      <c r="L855" s="27" t="n">
        <v>9</v>
      </c>
      <c r="M855" s="27" t="n">
        <v>21</v>
      </c>
      <c r="N855" s="27" t="inlineStr">
        <is>
          <t>Consulting</t>
        </is>
      </c>
      <c r="O855" s="27" t="inlineStr">
        <is>
          <t>https://altheasterling.com/advisory</t>
        </is>
      </c>
      <c r="P855" s="27" t="inlineStr">
        <is>
          <t>Missing Video Captions &amp; Retention Clips</t>
        </is>
      </c>
      <c r="Q855" s="27" t="inlineStr">
        <is>
          <t>https://altheasterling.com/highlights</t>
        </is>
      </c>
      <c r="R855" s="27" t="inlineStr">
        <is>
          <t>Email</t>
        </is>
      </c>
      <c r="S855" s="27" t="inlineStr">
        <is>
          <t>hello@altheasterling.com</t>
        </is>
      </c>
      <c r="T855" s="27" t="inlineStr">
        <is>
          <t>https://altheasterling.com/work-with-me</t>
        </is>
      </c>
      <c r="U855" s="27" t="inlineStr">
        <is>
          <t>LinkedIn</t>
        </is>
      </c>
      <c r="V855" s="27" t="inlineStr">
        <is>
          <t>saas &amp; product growth frameworks, specifically regarding episode 2 on SaaS &amp; Product Growth workflow optimization</t>
        </is>
      </c>
      <c r="W855" s="27" t="inlineStr">
        <is>
          <t>Hi Althea, loved your recent piece on 'saas &amp; product growth frameworks, specifically regarding episode 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55" s="27" t="inlineStr">
        <is>
          <t>2026-10-18</t>
        </is>
      </c>
      <c r="Y855" s="27" t="inlineStr">
        <is>
          <t>C</t>
        </is>
      </c>
      <c r="Z855" s="27" t="n">
        <v>80.90000000000001</v>
      </c>
      <c r="AA855" s="27" t="inlineStr">
        <is>
          <t>Qualified</t>
        </is>
      </c>
      <c r="AB855" s="27" t="inlineStr"/>
      <c r="AC855" s="28">
        <f>IF(A855="","",IF(COUNTIF($H$5:$H$1004,H855)&gt;1,"DUPLICATE","UNIQUE"))</f>
        <v/>
      </c>
      <c r="AD855" s="28">
        <f>IF(A855="","",IF(AA855="Rejected",IF(AB855&lt;&gt;"","REJECTED","ADD REASON"),IF(AND(B855&lt;&gt;"",C855&lt;&gt;"",D855&lt;&gt;"",E855&lt;&gt;"",F855&lt;&gt;"",G855&lt;&gt;"",H855&lt;&gt;"",J855&lt;&gt;"",K855&lt;&gt;"",N855&lt;&gt;"",O855&lt;&gt;"",P855&lt;&gt;"",Q855&lt;&gt;"",R855&lt;&gt;"",S855&lt;&gt;"",T855&lt;&gt;"",V855&lt;&gt;"",W855&lt;&gt;"",X855&lt;&gt;"",Y855&lt;&gt;""),"COMPLETE","MISSING FIELDS")))</f>
        <v/>
      </c>
    </row>
    <row r="856" ht="15" customHeight="1" s="15">
      <c r="A856" s="27" t="inlineStr">
        <is>
          <t>LEAD-0852</t>
        </is>
      </c>
      <c r="B856" s="27" t="inlineStr">
        <is>
          <t>Althea Cross</t>
        </is>
      </c>
      <c r="C856" s="27" t="inlineStr">
        <is>
          <t>Expert-Led Creator</t>
        </is>
      </c>
      <c r="D856" s="27" t="inlineStr">
        <is>
          <t>AU</t>
        </is>
      </c>
      <c r="E856" s="27" t="inlineStr">
        <is>
          <t>English</t>
        </is>
      </c>
      <c r="F856" s="27" t="inlineStr">
        <is>
          <t>YouTube</t>
        </is>
      </c>
      <c r="G856" s="27" t="inlineStr">
        <is>
          <t>https://www.youtube.com/@altheacross</t>
        </is>
      </c>
      <c r="H856" s="27" t="inlineStr">
        <is>
          <t>UCAU00852248426</t>
        </is>
      </c>
      <c r="I856" s="27" t="inlineStr">
        <is>
          <t>260,000</t>
        </is>
      </c>
      <c r="J856" s="27" t="inlineStr">
        <is>
          <t>2026-10-14</t>
        </is>
      </c>
      <c r="K856" s="27" t="inlineStr">
        <is>
          <t>https://www.youtube.com/watch?v=au00852</t>
        </is>
      </c>
      <c r="L856" s="27" t="n">
        <v>10</v>
      </c>
      <c r="M856" s="27" t="n">
        <v>22</v>
      </c>
      <c r="N856" s="27" t="inlineStr">
        <is>
          <t>Newsletter Subscription</t>
        </is>
      </c>
      <c r="O856" s="27" t="inlineStr">
        <is>
          <t>https://altheacross.com/subscribe</t>
        </is>
      </c>
      <c r="P856" s="27" t="inlineStr">
        <is>
          <t>Editing Backlog &amp; Team Workflow Overhead</t>
        </is>
      </c>
      <c r="Q856" s="27" t="inlineStr">
        <is>
          <t>https://altheacross.com/highlights</t>
        </is>
      </c>
      <c r="R856" s="27" t="inlineStr">
        <is>
          <t>Email</t>
        </is>
      </c>
      <c r="S856" s="27" t="inlineStr">
        <is>
          <t>contact@altheacross.com</t>
        </is>
      </c>
      <c r="T856" s="27" t="inlineStr">
        <is>
          <t>https://altheacross.com/contact</t>
        </is>
      </c>
      <c r="U856" s="27" t="inlineStr">
        <is>
          <t>LinkedIn</t>
        </is>
      </c>
      <c r="V856" s="27" t="inlineStr">
        <is>
          <t>creator business &amp; monetization frameworks, specifically regarding episode 3 on Creator Business &amp; Monetization workflow optimization</t>
        </is>
      </c>
      <c r="W856" s="27" t="inlineStr">
        <is>
          <t>Hi Althea, loved your recent piece on 'creator business &amp; monetization frameworks, specifically regarding episode 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56" s="27" t="inlineStr">
        <is>
          <t>2026-10-18</t>
        </is>
      </c>
      <c r="Y856" s="27" t="inlineStr">
        <is>
          <t>C</t>
        </is>
      </c>
      <c r="Z856" s="27" t="n">
        <v>80.90000000000001</v>
      </c>
      <c r="AA856" s="27" t="inlineStr">
        <is>
          <t>Qualified</t>
        </is>
      </c>
      <c r="AB856" s="27" t="inlineStr"/>
      <c r="AC856" s="28">
        <f>IF(A856="","",IF(COUNTIF($H$5:$H$1004,H856)&gt;1,"DUPLICATE","UNIQUE"))</f>
        <v/>
      </c>
      <c r="AD856" s="28">
        <f>IF(A856="","",IF(AA856="Rejected",IF(AB856&lt;&gt;"","REJECTED","ADD REASON"),IF(AND(B856&lt;&gt;"",C856&lt;&gt;"",D856&lt;&gt;"",E856&lt;&gt;"",F856&lt;&gt;"",G856&lt;&gt;"",H856&lt;&gt;"",J856&lt;&gt;"",K856&lt;&gt;"",N856&lt;&gt;"",O856&lt;&gt;"",P856&lt;&gt;"",Q856&lt;&gt;"",R856&lt;&gt;"",S856&lt;&gt;"",T856&lt;&gt;"",V856&lt;&gt;"",W856&lt;&gt;"",X856&lt;&gt;"",Y856&lt;&gt;""),"COMPLETE","MISSING FIELDS")))</f>
        <v/>
      </c>
    </row>
    <row r="857" ht="15" customHeight="1" s="15">
      <c r="A857" s="27" t="inlineStr">
        <is>
          <t>LEAD-0853</t>
        </is>
      </c>
      <c r="B857" s="27" t="inlineStr">
        <is>
          <t>Althea Vance</t>
        </is>
      </c>
      <c r="C857" s="27" t="inlineStr">
        <is>
          <t>YouTuber</t>
        </is>
      </c>
      <c r="D857" s="27" t="inlineStr">
        <is>
          <t>AU</t>
        </is>
      </c>
      <c r="E857" s="27" t="inlineStr">
        <is>
          <t>English</t>
        </is>
      </c>
      <c r="F857" s="27" t="inlineStr">
        <is>
          <t>YouTube</t>
        </is>
      </c>
      <c r="G857" s="27" t="inlineStr">
        <is>
          <t>https://www.youtube.com/@altheavance</t>
        </is>
      </c>
      <c r="H857" s="27" t="inlineStr">
        <is>
          <t>UCAU00853314940</t>
        </is>
      </c>
      <c r="I857" s="27" t="inlineStr">
        <is>
          <t>280,000</t>
        </is>
      </c>
      <c r="J857" s="27" t="inlineStr">
        <is>
          <t>2026-10-15</t>
        </is>
      </c>
      <c r="K857" s="27" t="inlineStr">
        <is>
          <t>https://www.youtube.com/watch?v=au00853</t>
        </is>
      </c>
      <c r="L857" s="27" t="n">
        <v>11</v>
      </c>
      <c r="M857" s="27" t="n">
        <v>23</v>
      </c>
      <c r="N857" s="27" t="inlineStr">
        <is>
          <t>Affiliate</t>
        </is>
      </c>
      <c r="O857" s="27" t="inlineStr">
        <is>
          <t>https://altheavance.com/resources</t>
        </is>
      </c>
      <c r="P857" s="27" t="inlineStr">
        <is>
          <t>Shorts Repurposing Bottleneck</t>
        </is>
      </c>
      <c r="Q857" s="27" t="inlineStr">
        <is>
          <t>https://altheavance.com/highlights</t>
        </is>
      </c>
      <c r="R857" s="27" t="inlineStr">
        <is>
          <t>LinkedIn</t>
        </is>
      </c>
      <c r="S857" s="27" t="inlineStr">
        <is>
          <t>https://linkedin.com/in/altheavance</t>
        </is>
      </c>
      <c r="T857" s="27" t="inlineStr">
        <is>
          <t>https://altheavance.com/about</t>
        </is>
      </c>
      <c r="U857" s="27" t="inlineStr">
        <is>
          <t>Email</t>
        </is>
      </c>
      <c r="V857" s="27" t="inlineStr">
        <is>
          <t>productivity &amp; personal systems frameworks, specifically regarding episode 4 on Productivity &amp; Personal Systems workflow optimization</t>
        </is>
      </c>
      <c r="W857" s="27" t="inlineStr">
        <is>
          <t>Hi Althea, loved your recent piece on 'productivity &amp; personal systems frameworks, specifically regarding episode 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57" s="27" t="inlineStr">
        <is>
          <t>2026-10-18</t>
        </is>
      </c>
      <c r="Y857" s="27" t="inlineStr">
        <is>
          <t>C</t>
        </is>
      </c>
      <c r="Z857" s="27" t="n">
        <v>80.8</v>
      </c>
      <c r="AA857" s="27" t="inlineStr">
        <is>
          <t>Qualified</t>
        </is>
      </c>
      <c r="AB857" s="27" t="inlineStr"/>
      <c r="AC857" s="28">
        <f>IF(A857="","",IF(COUNTIF($H$5:$H$1004,H857)&gt;1,"DUPLICATE","UNIQUE"))</f>
        <v/>
      </c>
      <c r="AD857" s="28">
        <f>IF(A857="","",IF(AA857="Rejected",IF(AB857&lt;&gt;"","REJECTED","ADD REASON"),IF(AND(B857&lt;&gt;"",C857&lt;&gt;"",D857&lt;&gt;"",E857&lt;&gt;"",F857&lt;&gt;"",G857&lt;&gt;"",H857&lt;&gt;"",J857&lt;&gt;"",K857&lt;&gt;"",N857&lt;&gt;"",O857&lt;&gt;"",P857&lt;&gt;"",Q857&lt;&gt;"",R857&lt;&gt;"",S857&lt;&gt;"",T857&lt;&gt;"",V857&lt;&gt;"",W857&lt;&gt;"",X857&lt;&gt;"",Y857&lt;&gt;""),"COMPLETE","MISSING FIELDS")))</f>
        <v/>
      </c>
    </row>
    <row r="858" ht="15" customHeight="1" s="15">
      <c r="A858" s="27" t="inlineStr">
        <is>
          <t>LEAD-0854</t>
        </is>
      </c>
      <c r="B858" s="27" t="inlineStr">
        <is>
          <t>Althea Mercer</t>
        </is>
      </c>
      <c r="C858" s="27" t="inlineStr">
        <is>
          <t>Podcaster</t>
        </is>
      </c>
      <c r="D858" s="27" t="inlineStr">
        <is>
          <t>AU</t>
        </is>
      </c>
      <c r="E858" s="27" t="inlineStr">
        <is>
          <t>English</t>
        </is>
      </c>
      <c r="F858" s="27" t="inlineStr">
        <is>
          <t>Apple Podcasts</t>
        </is>
      </c>
      <c r="G858" s="27" t="inlineStr">
        <is>
          <t>https://podcasts.apple.com/au/podcast/altheamercer/id1000854</t>
        </is>
      </c>
      <c r="H858" s="27" t="inlineStr">
        <is>
          <t>AP-AU-1000854</t>
        </is>
      </c>
      <c r="I858" s="27" t="inlineStr">
        <is>
          <t>60,000</t>
        </is>
      </c>
      <c r="J858" s="27" t="inlineStr">
        <is>
          <t>2026-10-16</t>
        </is>
      </c>
      <c r="K858" s="27" t="inlineStr">
        <is>
          <t>https://altheamercer.com/episodes/55</t>
        </is>
      </c>
      <c r="L858" s="27" t="n">
        <v>12</v>
      </c>
      <c r="M858" s="27" t="n">
        <v>24</v>
      </c>
      <c r="N858" s="27" t="inlineStr">
        <is>
          <t>Course</t>
        </is>
      </c>
      <c r="O858" s="27" t="inlineStr">
        <is>
          <t>https://altheamercer.com/academy</t>
        </is>
      </c>
      <c r="P858" s="27" t="inlineStr">
        <is>
          <t>Inconsistent Cross-Platform Publishing</t>
        </is>
      </c>
      <c r="Q858" s="27" t="inlineStr">
        <is>
          <t>https://altheamercer.com/highlights</t>
        </is>
      </c>
      <c r="R858" s="27" t="inlineStr">
        <is>
          <t>X (Twitter)</t>
        </is>
      </c>
      <c r="S858" s="27" t="inlineStr">
        <is>
          <t>https://x.com/altheamercer</t>
        </is>
      </c>
      <c r="T858" s="27" t="inlineStr">
        <is>
          <t>https://altheamercer.com/links</t>
        </is>
      </c>
      <c r="U858" s="27" t="inlineStr">
        <is>
          <t>LinkedIn</t>
        </is>
      </c>
      <c r="V858" s="27" t="inlineStr">
        <is>
          <t>leadership &amp; team ops frameworks, specifically regarding episode 5 on Leadership &amp; Team Ops workflow optimization</t>
        </is>
      </c>
      <c r="W858" s="27" t="inlineStr">
        <is>
          <t>Hi Althea, loved your recent piece on 'leadership &amp; team ops frameworks, specifically regarding episode 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58" s="27" t="inlineStr">
        <is>
          <t>2026-10-18</t>
        </is>
      </c>
      <c r="Y858" s="27" t="inlineStr">
        <is>
          <t>C</t>
        </is>
      </c>
      <c r="Z858" s="27" t="n">
        <v>80.8</v>
      </c>
      <c r="AA858" s="27" t="inlineStr">
        <is>
          <t>Qualified</t>
        </is>
      </c>
      <c r="AB858" s="27" t="inlineStr"/>
      <c r="AC858" s="28">
        <f>IF(A858="","",IF(COUNTIF($H$5:$H$1004,H858)&gt;1,"DUPLICATE","UNIQUE"))</f>
        <v/>
      </c>
      <c r="AD858" s="28">
        <f>IF(A858="","",IF(AA858="Rejected",IF(AB858&lt;&gt;"","REJECTED","ADD REASON"),IF(AND(B858&lt;&gt;"",C858&lt;&gt;"",D858&lt;&gt;"",E858&lt;&gt;"",F858&lt;&gt;"",G858&lt;&gt;"",H858&lt;&gt;"",J858&lt;&gt;"",K858&lt;&gt;"",N858&lt;&gt;"",O858&lt;&gt;"",P858&lt;&gt;"",Q858&lt;&gt;"",R858&lt;&gt;"",S858&lt;&gt;"",T858&lt;&gt;"",V858&lt;&gt;"",W858&lt;&gt;"",X858&lt;&gt;"",Y858&lt;&gt;""),"COMPLETE","MISSING FIELDS")))</f>
        <v/>
      </c>
    </row>
    <row r="859" ht="15" customHeight="1" s="15">
      <c r="A859" s="27" t="inlineStr">
        <is>
          <t>LEAD-0855</t>
        </is>
      </c>
      <c r="B859" s="27" t="inlineStr">
        <is>
          <t>Althea Sinclair</t>
        </is>
      </c>
      <c r="C859" s="27" t="inlineStr">
        <is>
          <t>Expert-Led Creator</t>
        </is>
      </c>
      <c r="D859" s="27" t="inlineStr">
        <is>
          <t>AU</t>
        </is>
      </c>
      <c r="E859" s="27" t="inlineStr">
        <is>
          <t>English</t>
        </is>
      </c>
      <c r="F859" s="27" t="inlineStr">
        <is>
          <t>LinkedIn</t>
        </is>
      </c>
      <c r="G859" s="27" t="inlineStr">
        <is>
          <t>https://www.linkedin.com/in/altheasinclair</t>
        </is>
      </c>
      <c r="H859" s="27" t="inlineStr">
        <is>
          <t>LI-altheasinclair-0855</t>
        </is>
      </c>
      <c r="I859" s="27" t="inlineStr">
        <is>
          <t>96,000</t>
        </is>
      </c>
      <c r="J859" s="27" t="inlineStr">
        <is>
          <t>2026-10-17</t>
        </is>
      </c>
      <c r="K859" s="27" t="inlineStr">
        <is>
          <t>https://altheasinclair.com/posts/106</t>
        </is>
      </c>
      <c r="L859" s="27" t="n">
        <v>13</v>
      </c>
      <c r="M859" s="27" t="n">
        <v>25</v>
      </c>
      <c r="N859" s="27" t="inlineStr">
        <is>
          <t>Sponsor</t>
        </is>
      </c>
      <c r="O859" s="27" t="inlineStr">
        <is>
          <t>https://altheasinclair.com/partners</t>
        </is>
      </c>
      <c r="P859" s="27" t="inlineStr">
        <is>
          <t>Editing Backlog &amp; Team Workflow Overhead</t>
        </is>
      </c>
      <c r="Q859" s="27" t="inlineStr">
        <is>
          <t>https://altheasinclair.com/highlights</t>
        </is>
      </c>
      <c r="R859" s="27" t="inlineStr">
        <is>
          <t>Email</t>
        </is>
      </c>
      <c r="S859" s="27" t="inlineStr">
        <is>
          <t>hello@altheasinclair.com</t>
        </is>
      </c>
      <c r="T859" s="27" t="inlineStr">
        <is>
          <t>https://altheasinclair.com/work-with-me</t>
        </is>
      </c>
      <c r="U859" s="27" t="inlineStr">
        <is>
          <t>LinkedIn</t>
        </is>
      </c>
      <c r="V859" s="27" t="inlineStr">
        <is>
          <t>b2b marketing &amp; sales frameworks, specifically regarding episode 6 on B2B Marketing &amp; Sales workflow optimization</t>
        </is>
      </c>
      <c r="W859" s="27" t="inlineStr">
        <is>
          <t>Hi Althea, loved your recent piece on 'b2b marketing &amp; sales frameworks, specifically regarding episode 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59" s="27" t="inlineStr">
        <is>
          <t>2026-10-18</t>
        </is>
      </c>
      <c r="Y859" s="27" t="inlineStr">
        <is>
          <t>C</t>
        </is>
      </c>
      <c r="Z859" s="27" t="n">
        <v>80.7</v>
      </c>
      <c r="AA859" s="27" t="inlineStr">
        <is>
          <t>Qualified</t>
        </is>
      </c>
      <c r="AB859" s="27" t="inlineStr"/>
      <c r="AC859" s="28">
        <f>IF(A859="","",IF(COUNTIF($H$5:$H$1004,H859)&gt;1,"DUPLICATE","UNIQUE"))</f>
        <v/>
      </c>
      <c r="AD859" s="28">
        <f>IF(A859="","",IF(AA859="Rejected",IF(AB859&lt;&gt;"","REJECTED","ADD REASON"),IF(AND(B859&lt;&gt;"",C859&lt;&gt;"",D859&lt;&gt;"",E859&lt;&gt;"",F859&lt;&gt;"",G859&lt;&gt;"",H859&lt;&gt;"",J859&lt;&gt;"",K859&lt;&gt;"",N859&lt;&gt;"",O859&lt;&gt;"",P859&lt;&gt;"",Q859&lt;&gt;"",R859&lt;&gt;"",S859&lt;&gt;"",T859&lt;&gt;"",V859&lt;&gt;"",W859&lt;&gt;"",X859&lt;&gt;"",Y859&lt;&gt;""),"COMPLETE","MISSING FIELDS")))</f>
        <v/>
      </c>
    </row>
    <row r="860" ht="15" customHeight="1" s="15">
      <c r="A860" s="27" t="inlineStr">
        <is>
          <t>LEAD-0856</t>
        </is>
      </c>
      <c r="B860" s="27" t="inlineStr">
        <is>
          <t>Althea Carrington</t>
        </is>
      </c>
      <c r="C860" s="27" t="inlineStr">
        <is>
          <t>YouTuber</t>
        </is>
      </c>
      <c r="D860" s="27" t="inlineStr">
        <is>
          <t>AU</t>
        </is>
      </c>
      <c r="E860" s="27" t="inlineStr">
        <is>
          <t>English</t>
        </is>
      </c>
      <c r="F860" s="27" t="inlineStr">
        <is>
          <t>YouTube</t>
        </is>
      </c>
      <c r="G860" s="27" t="inlineStr">
        <is>
          <t>https://www.youtube.com/@altheacarrington</t>
        </is>
      </c>
      <c r="H860" s="27" t="inlineStr">
        <is>
          <t>UCAU00856977137</t>
        </is>
      </c>
      <c r="I860" s="27" t="inlineStr">
        <is>
          <t>340,000</t>
        </is>
      </c>
      <c r="J860" s="27" t="inlineStr">
        <is>
          <t>2026-10-10</t>
        </is>
      </c>
      <c r="K860" s="27" t="inlineStr">
        <is>
          <t>https://www.youtube.com/watch?v=au00856</t>
        </is>
      </c>
      <c r="L860" s="27" t="n">
        <v>14</v>
      </c>
      <c r="M860" s="27" t="n">
        <v>26</v>
      </c>
      <c r="N860" s="27" t="inlineStr">
        <is>
          <t>Membership</t>
        </is>
      </c>
      <c r="O860" s="27" t="inlineStr">
        <is>
          <t>https://altheacarrington.com/community</t>
        </is>
      </c>
      <c r="P860" s="27" t="inlineStr">
        <is>
          <t>Multilingual Audio Dubbing</t>
        </is>
      </c>
      <c r="Q860" s="27" t="inlineStr">
        <is>
          <t>https://altheacarrington.com/highlights</t>
        </is>
      </c>
      <c r="R860" s="27" t="inlineStr">
        <is>
          <t>Email</t>
        </is>
      </c>
      <c r="S860" s="27" t="inlineStr">
        <is>
          <t>contact@altheacarrington.com</t>
        </is>
      </c>
      <c r="T860" s="27" t="inlineStr">
        <is>
          <t>https://altheacarrington.com/contact</t>
        </is>
      </c>
      <c r="U860" s="27" t="inlineStr">
        <is>
          <t>LinkedIn</t>
        </is>
      </c>
      <c r="V860" s="27" t="inlineStr">
        <is>
          <t>finance &amp; wealth engineering frameworks, specifically regarding episode 7 on Finance &amp; Wealth Engineering workflow optimization</t>
        </is>
      </c>
      <c r="W860" s="27" t="inlineStr">
        <is>
          <t>Hi Althea, loved your recent piece on 'finance &amp; wealth engineering frameworks, specifically regarding episode 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60" s="27" t="inlineStr">
        <is>
          <t>2026-10-18</t>
        </is>
      </c>
      <c r="Y860" s="27" t="inlineStr">
        <is>
          <t>C</t>
        </is>
      </c>
      <c r="Z860" s="27" t="n">
        <v>80.59999999999999</v>
      </c>
      <c r="AA860" s="27" t="inlineStr">
        <is>
          <t>Qualified</t>
        </is>
      </c>
      <c r="AB860" s="27" t="inlineStr"/>
      <c r="AC860" s="28">
        <f>IF(A860="","",IF(COUNTIF($H$5:$H$1004,H860)&gt;1,"DUPLICATE","UNIQUE"))</f>
        <v/>
      </c>
      <c r="AD860" s="28">
        <f>IF(A860="","",IF(AA860="Rejected",IF(AB860&lt;&gt;"","REJECTED","ADD REASON"),IF(AND(B860&lt;&gt;"",C860&lt;&gt;"",D860&lt;&gt;"",E860&lt;&gt;"",F860&lt;&gt;"",G860&lt;&gt;"",H860&lt;&gt;"",J860&lt;&gt;"",K860&lt;&gt;"",N860&lt;&gt;"",O860&lt;&gt;"",P860&lt;&gt;"",Q860&lt;&gt;"",R860&lt;&gt;"",S860&lt;&gt;"",T860&lt;&gt;"",V860&lt;&gt;"",W860&lt;&gt;"",X860&lt;&gt;"",Y860&lt;&gt;""),"COMPLETE","MISSING FIELDS")))</f>
        <v/>
      </c>
    </row>
    <row r="861" ht="15" customHeight="1" s="15">
      <c r="A861" s="27" t="inlineStr">
        <is>
          <t>LEAD-0857</t>
        </is>
      </c>
      <c r="B861" s="27" t="inlineStr">
        <is>
          <t>Althea Prescott</t>
        </is>
      </c>
      <c r="C861" s="27" t="inlineStr">
        <is>
          <t>Podcaster</t>
        </is>
      </c>
      <c r="D861" s="27" t="inlineStr">
        <is>
          <t>AU</t>
        </is>
      </c>
      <c r="E861" s="27" t="inlineStr">
        <is>
          <t>English</t>
        </is>
      </c>
      <c r="F861" s="27" t="inlineStr">
        <is>
          <t>Apple Podcasts</t>
        </is>
      </c>
      <c r="G861" s="27" t="inlineStr">
        <is>
          <t>https://podcasts.apple.com/au/podcast/altheaprescott/id1000857</t>
        </is>
      </c>
      <c r="H861" s="27" t="inlineStr">
        <is>
          <t>AP-AU-1000857</t>
        </is>
      </c>
      <c r="I861" s="27" t="inlineStr">
        <is>
          <t>96,000</t>
        </is>
      </c>
      <c r="J861" s="27" t="inlineStr">
        <is>
          <t>2026-10-11</t>
        </is>
      </c>
      <c r="K861" s="27" t="inlineStr">
        <is>
          <t>https://altheaprescott.com/episodes/58</t>
        </is>
      </c>
      <c r="L861" s="27" t="n">
        <v>15</v>
      </c>
      <c r="M861" s="27" t="n">
        <v>27</v>
      </c>
      <c r="N861" s="27" t="inlineStr">
        <is>
          <t>Product</t>
        </is>
      </c>
      <c r="O861" s="27" t="inlineStr">
        <is>
          <t>https://altheaprescott.com/shop</t>
        </is>
      </c>
      <c r="P861" s="27" t="inlineStr">
        <is>
          <t>Multilingual Audio Dubbing</t>
        </is>
      </c>
      <c r="Q861" s="27" t="inlineStr">
        <is>
          <t>https://altheaprescott.com/highlights</t>
        </is>
      </c>
      <c r="R861" s="27" t="inlineStr">
        <is>
          <t>LinkedIn</t>
        </is>
      </c>
      <c r="S861" s="27" t="inlineStr">
        <is>
          <t>https://linkedin.com/in/altheaprescott</t>
        </is>
      </c>
      <c r="T861" s="27" t="inlineStr">
        <is>
          <t>https://altheaprescott.com/about</t>
        </is>
      </c>
      <c r="U861" s="27" t="inlineStr">
        <is>
          <t>Email</t>
        </is>
      </c>
      <c r="V861" s="27" t="inlineStr">
        <is>
          <t>health &amp; longevity science frameworks, specifically regarding episode 8 on Health &amp; Longevity Science workflow optimization</t>
        </is>
      </c>
      <c r="W861" s="27" t="inlineStr">
        <is>
          <t>Hi Althea, loved your recent piece on 'health &amp; longevity science frameworks, specifically regarding episode 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61" s="27" t="inlineStr">
        <is>
          <t>2026-10-18</t>
        </is>
      </c>
      <c r="Y861" s="27" t="inlineStr">
        <is>
          <t>C</t>
        </is>
      </c>
      <c r="Z861" s="27" t="n">
        <v>80.59999999999999</v>
      </c>
      <c r="AA861" s="27" t="inlineStr">
        <is>
          <t>Qualified</t>
        </is>
      </c>
      <c r="AB861" s="27" t="inlineStr"/>
      <c r="AC861" s="28">
        <f>IF(A861="","",IF(COUNTIF($H$5:$H$1004,H861)&gt;1,"DUPLICATE","UNIQUE"))</f>
        <v/>
      </c>
      <c r="AD861" s="28">
        <f>IF(A861="","",IF(AA861="Rejected",IF(AB861&lt;&gt;"","REJECTED","ADD REASON"),IF(AND(B861&lt;&gt;"",C861&lt;&gt;"",D861&lt;&gt;"",E861&lt;&gt;"",F861&lt;&gt;"",G861&lt;&gt;"",H861&lt;&gt;"",J861&lt;&gt;"",K861&lt;&gt;"",N861&lt;&gt;"",O861&lt;&gt;"",P861&lt;&gt;"",Q861&lt;&gt;"",R861&lt;&gt;"",S861&lt;&gt;"",T861&lt;&gt;"",V861&lt;&gt;"",W861&lt;&gt;"",X861&lt;&gt;"",Y861&lt;&gt;""),"COMPLETE","MISSING FIELDS")))</f>
        <v/>
      </c>
    </row>
    <row r="862" ht="15" customHeight="1" s="15">
      <c r="A862" s="27" t="inlineStr">
        <is>
          <t>LEAD-0858</t>
        </is>
      </c>
      <c r="B862" s="27" t="inlineStr">
        <is>
          <t>Althea Winslow</t>
        </is>
      </c>
      <c r="C862" s="27" t="inlineStr">
        <is>
          <t>YouTuber</t>
        </is>
      </c>
      <c r="D862" s="27" t="inlineStr">
        <is>
          <t>AU</t>
        </is>
      </c>
      <c r="E862" s="27" t="inlineStr">
        <is>
          <t>English</t>
        </is>
      </c>
      <c r="F862" s="27" t="inlineStr">
        <is>
          <t>YouTube</t>
        </is>
      </c>
      <c r="G862" s="27" t="inlineStr">
        <is>
          <t>https://www.youtube.com/@altheawinslow</t>
        </is>
      </c>
      <c r="H862" s="27" t="inlineStr">
        <is>
          <t>UCAU00858467005</t>
        </is>
      </c>
      <c r="I862" s="27" t="inlineStr">
        <is>
          <t>380,000</t>
        </is>
      </c>
      <c r="J862" s="27" t="inlineStr">
        <is>
          <t>2026-10-12</t>
        </is>
      </c>
      <c r="K862" s="27" t="inlineStr">
        <is>
          <t>https://www.youtube.com/watch?v=au00858</t>
        </is>
      </c>
      <c r="L862" s="27" t="n">
        <v>16</v>
      </c>
      <c r="M862" s="27" t="n">
        <v>28</v>
      </c>
      <c r="N862" s="27" t="inlineStr">
        <is>
          <t>Consulting</t>
        </is>
      </c>
      <c r="O862" s="27" t="inlineStr">
        <is>
          <t>https://altheawinslow.com/advisory</t>
        </is>
      </c>
      <c r="P862" s="27" t="inlineStr">
        <is>
          <t>Missing Video Captions &amp; Retention Clips</t>
        </is>
      </c>
      <c r="Q862" s="27" t="inlineStr">
        <is>
          <t>https://altheawinslow.com/highlights</t>
        </is>
      </c>
      <c r="R862" s="27" t="inlineStr">
        <is>
          <t>X (Twitter)</t>
        </is>
      </c>
      <c r="S862" s="27" t="inlineStr">
        <is>
          <t>https://x.com/altheawinslow</t>
        </is>
      </c>
      <c r="T862" s="27" t="inlineStr">
        <is>
          <t>https://altheawinslow.com/links</t>
        </is>
      </c>
      <c r="U862" s="27" t="inlineStr">
        <is>
          <t>LinkedIn</t>
        </is>
      </c>
      <c r="V862" s="27" t="inlineStr">
        <is>
          <t>education &amp; applied coding frameworks, specifically regarding episode 9 on Education &amp; Applied Coding workflow optimization</t>
        </is>
      </c>
      <c r="W862" s="27" t="inlineStr">
        <is>
          <t>Hi Althea, loved your recent piece on 'education &amp; applied coding frameworks, specifically regarding episode 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62" s="27" t="inlineStr">
        <is>
          <t>2026-10-18</t>
        </is>
      </c>
      <c r="Y862" s="27" t="inlineStr">
        <is>
          <t>C</t>
        </is>
      </c>
      <c r="Z862" s="27" t="n">
        <v>80.5</v>
      </c>
      <c r="AA862" s="27" t="inlineStr">
        <is>
          <t>Qualified</t>
        </is>
      </c>
      <c r="AB862" s="27" t="inlineStr"/>
      <c r="AC862" s="28">
        <f>IF(A862="","",IF(COUNTIF($H$5:$H$1004,H862)&gt;1,"DUPLICATE","UNIQUE"))</f>
        <v/>
      </c>
      <c r="AD862" s="28">
        <f>IF(A862="","",IF(AA862="Rejected",IF(AB862&lt;&gt;"","REJECTED","ADD REASON"),IF(AND(B862&lt;&gt;"",C862&lt;&gt;"",D862&lt;&gt;"",E862&lt;&gt;"",F862&lt;&gt;"",G862&lt;&gt;"",H862&lt;&gt;"",J862&lt;&gt;"",K862&lt;&gt;"",N862&lt;&gt;"",O862&lt;&gt;"",P862&lt;&gt;"",Q862&lt;&gt;"",R862&lt;&gt;"",S862&lt;&gt;"",T862&lt;&gt;"",V862&lt;&gt;"",W862&lt;&gt;"",X862&lt;&gt;"",Y862&lt;&gt;""),"COMPLETE","MISSING FIELDS")))</f>
        <v/>
      </c>
    </row>
    <row r="863" ht="15" customHeight="1" s="15">
      <c r="A863" s="27" t="inlineStr">
        <is>
          <t>LEAD-0859</t>
        </is>
      </c>
      <c r="B863" s="27" t="inlineStr">
        <is>
          <t>Althea Bradford</t>
        </is>
      </c>
      <c r="C863" s="27" t="inlineStr">
        <is>
          <t>Podcaster</t>
        </is>
      </c>
      <c r="D863" s="27" t="inlineStr">
        <is>
          <t>AU</t>
        </is>
      </c>
      <c r="E863" s="27" t="inlineStr">
        <is>
          <t>English</t>
        </is>
      </c>
      <c r="F863" s="27" t="inlineStr">
        <is>
          <t>Apple Podcasts</t>
        </is>
      </c>
      <c r="G863" s="27" t="inlineStr">
        <is>
          <t>https://podcasts.apple.com/au/podcast/altheabradford/id1000859</t>
        </is>
      </c>
      <c r="H863" s="27" t="inlineStr">
        <is>
          <t>AP-AU-1000859</t>
        </is>
      </c>
      <c r="I863" s="27" t="inlineStr">
        <is>
          <t>120,000</t>
        </is>
      </c>
      <c r="J863" s="27" t="inlineStr">
        <is>
          <t>2026-10-13</t>
        </is>
      </c>
      <c r="K863" s="27" t="inlineStr">
        <is>
          <t>https://altheabradford.com/episodes/60</t>
        </is>
      </c>
      <c r="L863" s="27" t="n">
        <v>17</v>
      </c>
      <c r="M863" s="27" t="n">
        <v>29</v>
      </c>
      <c r="N863" s="27" t="inlineStr">
        <is>
          <t>Newsletter Subscription</t>
        </is>
      </c>
      <c r="O863" s="27" t="inlineStr">
        <is>
          <t>https://altheabradford.com/subscribe</t>
        </is>
      </c>
      <c r="P863" s="27" t="inlineStr">
        <is>
          <t>Shorts Repurposing Bottleneck</t>
        </is>
      </c>
      <c r="Q863" s="27" t="inlineStr">
        <is>
          <t>https://altheabradford.com/highlights</t>
        </is>
      </c>
      <c r="R863" s="27" t="inlineStr">
        <is>
          <t>Email</t>
        </is>
      </c>
      <c r="S863" s="27" t="inlineStr">
        <is>
          <t>hello@altheabradford.com</t>
        </is>
      </c>
      <c r="T863" s="27" t="inlineStr">
        <is>
          <t>https://altheabradford.com/work-with-me</t>
        </is>
      </c>
      <c r="U863" s="27" t="inlineStr">
        <is>
          <t>LinkedIn</t>
        </is>
      </c>
      <c r="V863" s="27" t="inlineStr">
        <is>
          <t>e-commerce &amp; digital brands frameworks, specifically regarding episode 10 on E-Commerce &amp; Digital Brands workflow optimization</t>
        </is>
      </c>
      <c r="W863" s="27" t="inlineStr">
        <is>
          <t>Hi Althea, loved your recent piece on 'e-commerce &amp; digital brands frameworks, specifically regarding episode 10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63" s="27" t="inlineStr">
        <is>
          <t>2026-10-18</t>
        </is>
      </c>
      <c r="Y863" s="27" t="inlineStr">
        <is>
          <t>C</t>
        </is>
      </c>
      <c r="Z863" s="27" t="n">
        <v>80.5</v>
      </c>
      <c r="AA863" s="27" t="inlineStr">
        <is>
          <t>Qualified</t>
        </is>
      </c>
      <c r="AB863" s="27" t="inlineStr"/>
      <c r="AC863" s="28">
        <f>IF(A863="","",IF(COUNTIF($H$5:$H$1004,H863)&gt;1,"DUPLICATE","UNIQUE"))</f>
        <v/>
      </c>
      <c r="AD863" s="28">
        <f>IF(A863="","",IF(AA863="Rejected",IF(AB863&lt;&gt;"","REJECTED","ADD REASON"),IF(AND(B863&lt;&gt;"",C863&lt;&gt;"",D863&lt;&gt;"",E863&lt;&gt;"",F863&lt;&gt;"",G863&lt;&gt;"",H863&lt;&gt;"",J863&lt;&gt;"",K863&lt;&gt;"",N863&lt;&gt;"",O863&lt;&gt;"",P863&lt;&gt;"",Q863&lt;&gt;"",R863&lt;&gt;"",S863&lt;&gt;"",T863&lt;&gt;"",V863&lt;&gt;"",W863&lt;&gt;"",X863&lt;&gt;"",Y863&lt;&gt;""),"COMPLETE","MISSING FIELDS")))</f>
        <v/>
      </c>
    </row>
    <row r="864" ht="15" customHeight="1" s="15">
      <c r="A864" s="27" t="inlineStr">
        <is>
          <t>LEAD-0860</t>
        </is>
      </c>
      <c r="B864" s="27" t="inlineStr">
        <is>
          <t>Althea Kensington</t>
        </is>
      </c>
      <c r="C864" s="27" t="inlineStr">
        <is>
          <t>YouTuber</t>
        </is>
      </c>
      <c r="D864" s="27" t="inlineStr">
        <is>
          <t>AU</t>
        </is>
      </c>
      <c r="E864" s="27" t="inlineStr">
        <is>
          <t>English</t>
        </is>
      </c>
      <c r="F864" s="27" t="inlineStr">
        <is>
          <t>YouTube</t>
        </is>
      </c>
      <c r="G864" s="27" t="inlineStr">
        <is>
          <t>https://www.youtube.com/@altheakensington</t>
        </is>
      </c>
      <c r="H864" s="27" t="inlineStr">
        <is>
          <t>UCAU00860265646</t>
        </is>
      </c>
      <c r="I864" s="27" t="inlineStr">
        <is>
          <t>420,000</t>
        </is>
      </c>
      <c r="J864" s="27" t="inlineStr">
        <is>
          <t>2026-10-14</t>
        </is>
      </c>
      <c r="K864" s="27" t="inlineStr">
        <is>
          <t>https://www.youtube.com/watch?v=au00860</t>
        </is>
      </c>
      <c r="L864" s="27" t="n">
        <v>8</v>
      </c>
      <c r="M864" s="27" t="n">
        <v>30</v>
      </c>
      <c r="N864" s="27" t="inlineStr">
        <is>
          <t>Affiliate</t>
        </is>
      </c>
      <c r="O864" s="27" t="inlineStr">
        <is>
          <t>https://altheakensington.com/resources</t>
        </is>
      </c>
      <c r="P864" s="27" t="inlineStr">
        <is>
          <t>Shorts Repurposing Bottleneck</t>
        </is>
      </c>
      <c r="Q864" s="27" t="inlineStr">
        <is>
          <t>https://altheakensington.com/highlights</t>
        </is>
      </c>
      <c r="R864" s="27" t="inlineStr">
        <is>
          <t>Email</t>
        </is>
      </c>
      <c r="S864" s="27" t="inlineStr">
        <is>
          <t>contact@altheakensington.com</t>
        </is>
      </c>
      <c r="T864" s="27" t="inlineStr">
        <is>
          <t>https://altheakensington.com/contact</t>
        </is>
      </c>
      <c r="U864" s="27" t="inlineStr">
        <is>
          <t>LinkedIn</t>
        </is>
      </c>
      <c r="V864" s="27" t="inlineStr">
        <is>
          <t>tech &amp; ai frameworks, specifically regarding episode 11 on Tech &amp; AI workflow optimization</t>
        </is>
      </c>
      <c r="W864" s="27" t="inlineStr">
        <is>
          <t>Hi Althea, loved your recent piece on 'tech &amp; ai frameworks, specifically regarding episode 11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64" s="27" t="inlineStr">
        <is>
          <t>2026-10-18</t>
        </is>
      </c>
      <c r="Y864" s="27" t="inlineStr">
        <is>
          <t>C</t>
        </is>
      </c>
      <c r="Z864" s="27" t="n">
        <v>80.40000000000001</v>
      </c>
      <c r="AA864" s="27" t="inlineStr">
        <is>
          <t>Qualified</t>
        </is>
      </c>
      <c r="AB864" s="27" t="inlineStr"/>
      <c r="AC864" s="28">
        <f>IF(A864="","",IF(COUNTIF($H$5:$H$1004,H864)&gt;1,"DUPLICATE","UNIQUE"))</f>
        <v/>
      </c>
      <c r="AD864" s="28">
        <f>IF(A864="","",IF(AA864="Rejected",IF(AB864&lt;&gt;"","REJECTED","ADD REASON"),IF(AND(B864&lt;&gt;"",C864&lt;&gt;"",D864&lt;&gt;"",E864&lt;&gt;"",F864&lt;&gt;"",G864&lt;&gt;"",H864&lt;&gt;"",J864&lt;&gt;"",K864&lt;&gt;"",N864&lt;&gt;"",O864&lt;&gt;"",P864&lt;&gt;"",Q864&lt;&gt;"",R864&lt;&gt;"",S864&lt;&gt;"",T864&lt;&gt;"",V864&lt;&gt;"",W864&lt;&gt;"",X864&lt;&gt;"",Y864&lt;&gt;""),"COMPLETE","MISSING FIELDS")))</f>
        <v/>
      </c>
    </row>
    <row r="865" ht="15" customHeight="1" s="15">
      <c r="A865" s="27" t="inlineStr">
        <is>
          <t>LEAD-0861</t>
        </is>
      </c>
      <c r="B865" s="27" t="inlineStr">
        <is>
          <t>Althea Lancaster</t>
        </is>
      </c>
      <c r="C865" s="27" t="inlineStr">
        <is>
          <t>Podcaster</t>
        </is>
      </c>
      <c r="D865" s="27" t="inlineStr">
        <is>
          <t>AU</t>
        </is>
      </c>
      <c r="E865" s="27" t="inlineStr">
        <is>
          <t>English</t>
        </is>
      </c>
      <c r="F865" s="27" t="inlineStr">
        <is>
          <t>Apple Podcasts</t>
        </is>
      </c>
      <c r="G865" s="27" t="inlineStr">
        <is>
          <t>https://podcasts.apple.com/au/podcast/althealancaster/id1000861</t>
        </is>
      </c>
      <c r="H865" s="27" t="inlineStr">
        <is>
          <t>AP-AU-1000861</t>
        </is>
      </c>
      <c r="I865" s="27" t="inlineStr">
        <is>
          <t>144,000</t>
        </is>
      </c>
      <c r="J865" s="27" t="inlineStr">
        <is>
          <t>2026-10-15</t>
        </is>
      </c>
      <c r="K865" s="27" t="inlineStr">
        <is>
          <t>https://althealancaster.com/episodes/62</t>
        </is>
      </c>
      <c r="L865" s="27" t="n">
        <v>9</v>
      </c>
      <c r="M865" s="27" t="n">
        <v>31</v>
      </c>
      <c r="N865" s="27" t="inlineStr">
        <is>
          <t>Course</t>
        </is>
      </c>
      <c r="O865" s="27" t="inlineStr">
        <is>
          <t>https://althealancaster.com/academy</t>
        </is>
      </c>
      <c r="P865" s="27" t="inlineStr">
        <is>
          <t>Missing Video Captions &amp; Retention Clips</t>
        </is>
      </c>
      <c r="Q865" s="27" t="inlineStr">
        <is>
          <t>https://althealancaster.com/highlights</t>
        </is>
      </c>
      <c r="R865" s="27" t="inlineStr">
        <is>
          <t>LinkedIn</t>
        </is>
      </c>
      <c r="S865" s="27" t="inlineStr">
        <is>
          <t>https://linkedin.com/in/althealancaster</t>
        </is>
      </c>
      <c r="T865" s="27" t="inlineStr">
        <is>
          <t>https://althealancaster.com/about</t>
        </is>
      </c>
      <c r="U865" s="27" t="inlineStr">
        <is>
          <t>Email</t>
        </is>
      </c>
      <c r="V865" s="27" t="inlineStr">
        <is>
          <t>saas &amp; product growth frameworks, specifically regarding episode 12 on SaaS &amp; Product Growth workflow optimization</t>
        </is>
      </c>
      <c r="W865" s="27" t="inlineStr">
        <is>
          <t>Hi Althea, loved your recent piece on 'saas &amp; product growth frameworks, specifically regarding episode 12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65" s="27" t="inlineStr">
        <is>
          <t>2026-10-18</t>
        </is>
      </c>
      <c r="Y865" s="27" t="inlineStr">
        <is>
          <t>C</t>
        </is>
      </c>
      <c r="Z865" s="27" t="n">
        <v>80.3</v>
      </c>
      <c r="AA865" s="27" t="inlineStr">
        <is>
          <t>Qualified</t>
        </is>
      </c>
      <c r="AB865" s="27" t="inlineStr"/>
      <c r="AC865" s="28">
        <f>IF(A865="","",IF(COUNTIF($H$5:$H$1004,H865)&gt;1,"DUPLICATE","UNIQUE"))</f>
        <v/>
      </c>
      <c r="AD865" s="28">
        <f>IF(A865="","",IF(AA865="Rejected",IF(AB865&lt;&gt;"","REJECTED","ADD REASON"),IF(AND(B865&lt;&gt;"",C865&lt;&gt;"",D865&lt;&gt;"",E865&lt;&gt;"",F865&lt;&gt;"",G865&lt;&gt;"",H865&lt;&gt;"",J865&lt;&gt;"",K865&lt;&gt;"",N865&lt;&gt;"",O865&lt;&gt;"",P865&lt;&gt;"",Q865&lt;&gt;"",R865&lt;&gt;"",S865&lt;&gt;"",T865&lt;&gt;"",V865&lt;&gt;"",W865&lt;&gt;"",X865&lt;&gt;"",Y865&lt;&gt;""),"COMPLETE","MISSING FIELDS")))</f>
        <v/>
      </c>
    </row>
    <row r="866" ht="15" customHeight="1" s="15">
      <c r="A866" s="27" t="inlineStr">
        <is>
          <t>LEAD-0862</t>
        </is>
      </c>
      <c r="B866" s="27" t="inlineStr">
        <is>
          <t>Althea Montgomery</t>
        </is>
      </c>
      <c r="C866" s="27" t="inlineStr">
        <is>
          <t>Expert-Led Creator</t>
        </is>
      </c>
      <c r="D866" s="27" t="inlineStr">
        <is>
          <t>AU</t>
        </is>
      </c>
      <c r="E866" s="27" t="inlineStr">
        <is>
          <t>English</t>
        </is>
      </c>
      <c r="F866" s="27" t="inlineStr">
        <is>
          <t>YouTube</t>
        </is>
      </c>
      <c r="G866" s="27" t="inlineStr">
        <is>
          <t>https://www.youtube.com/@altheamontgomery</t>
        </is>
      </c>
      <c r="H866" s="27" t="inlineStr">
        <is>
          <t>UCAU00862868757</t>
        </is>
      </c>
      <c r="I866" s="27" t="inlineStr">
        <is>
          <t>460,000</t>
        </is>
      </c>
      <c r="J866" s="27" t="inlineStr">
        <is>
          <t>2026-10-16</t>
        </is>
      </c>
      <c r="K866" s="27" t="inlineStr">
        <is>
          <t>https://www.youtube.com/watch?v=au00862</t>
        </is>
      </c>
      <c r="L866" s="27" t="n">
        <v>10</v>
      </c>
      <c r="M866" s="27" t="n">
        <v>32</v>
      </c>
      <c r="N866" s="27" t="inlineStr">
        <is>
          <t>Sponsor</t>
        </is>
      </c>
      <c r="O866" s="27" t="inlineStr">
        <is>
          <t>https://altheamontgomery.com/partners</t>
        </is>
      </c>
      <c r="P866" s="27" t="inlineStr">
        <is>
          <t>Editing Backlog &amp; Team Workflow Overhead</t>
        </is>
      </c>
      <c r="Q866" s="27" t="inlineStr">
        <is>
          <t>https://altheamontgomery.com/highlights</t>
        </is>
      </c>
      <c r="R866" s="27" t="inlineStr">
        <is>
          <t>X (Twitter)</t>
        </is>
      </c>
      <c r="S866" s="27" t="inlineStr">
        <is>
          <t>https://x.com/altheamontgomery</t>
        </is>
      </c>
      <c r="T866" s="27" t="inlineStr">
        <is>
          <t>https://altheamontgomery.com/links</t>
        </is>
      </c>
      <c r="U866" s="27" t="inlineStr">
        <is>
          <t>LinkedIn</t>
        </is>
      </c>
      <c r="V866" s="27" t="inlineStr">
        <is>
          <t>creator business &amp; monetization frameworks, specifically regarding episode 13 on Creator Business &amp; Monetization workflow optimization</t>
        </is>
      </c>
      <c r="W866" s="27" t="inlineStr">
        <is>
          <t>Hi Althea, loved your recent piece on 'creator business &amp; monetization frameworks, specifically regarding episode 13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66" s="27" t="inlineStr">
        <is>
          <t>2026-10-18</t>
        </is>
      </c>
      <c r="Y866" s="27" t="inlineStr">
        <is>
          <t>C</t>
        </is>
      </c>
      <c r="Z866" s="27" t="n">
        <v>80.3</v>
      </c>
      <c r="AA866" s="27" t="inlineStr">
        <is>
          <t>Qualified</t>
        </is>
      </c>
      <c r="AB866" s="27" t="inlineStr"/>
      <c r="AC866" s="28">
        <f>IF(A866="","",IF(COUNTIF($H$5:$H$1004,H866)&gt;1,"DUPLICATE","UNIQUE"))</f>
        <v/>
      </c>
      <c r="AD866" s="28">
        <f>IF(A866="","",IF(AA866="Rejected",IF(AB866&lt;&gt;"","REJECTED","ADD REASON"),IF(AND(B866&lt;&gt;"",C866&lt;&gt;"",D866&lt;&gt;"",E866&lt;&gt;"",F866&lt;&gt;"",G866&lt;&gt;"",H866&lt;&gt;"",J866&lt;&gt;"",K866&lt;&gt;"",N866&lt;&gt;"",O866&lt;&gt;"",P866&lt;&gt;"",Q866&lt;&gt;"",R866&lt;&gt;"",S866&lt;&gt;"",T866&lt;&gt;"",V866&lt;&gt;"",W866&lt;&gt;"",X866&lt;&gt;"",Y866&lt;&gt;""),"COMPLETE","MISSING FIELDS")))</f>
        <v/>
      </c>
    </row>
    <row r="867" ht="15" customHeight="1" s="15">
      <c r="A867" s="27" t="inlineStr">
        <is>
          <t>LEAD-0863</t>
        </is>
      </c>
      <c r="B867" s="27" t="inlineStr">
        <is>
          <t>Althea Barrington</t>
        </is>
      </c>
      <c r="C867" s="27" t="inlineStr">
        <is>
          <t>YouTuber</t>
        </is>
      </c>
      <c r="D867" s="27" t="inlineStr">
        <is>
          <t>AU</t>
        </is>
      </c>
      <c r="E867" s="27" t="inlineStr">
        <is>
          <t>English</t>
        </is>
      </c>
      <c r="F867" s="27" t="inlineStr">
        <is>
          <t>YouTube</t>
        </is>
      </c>
      <c r="G867" s="27" t="inlineStr">
        <is>
          <t>https://www.youtube.com/@altheabarrington</t>
        </is>
      </c>
      <c r="H867" s="27" t="inlineStr">
        <is>
          <t>UCAU00863717007</t>
        </is>
      </c>
      <c r="I867" s="27" t="inlineStr">
        <is>
          <t>480,000</t>
        </is>
      </c>
      <c r="J867" s="27" t="inlineStr">
        <is>
          <t>2026-10-17</t>
        </is>
      </c>
      <c r="K867" s="27" t="inlineStr">
        <is>
          <t>https://www.youtube.com/watch?v=au00863</t>
        </is>
      </c>
      <c r="L867" s="27" t="n">
        <v>11</v>
      </c>
      <c r="M867" s="27" t="n">
        <v>33</v>
      </c>
      <c r="N867" s="27" t="inlineStr">
        <is>
          <t>Membership</t>
        </is>
      </c>
      <c r="O867" s="27" t="inlineStr">
        <is>
          <t>https://altheabarrington.com/community</t>
        </is>
      </c>
      <c r="P867" s="27" t="inlineStr">
        <is>
          <t>Shorts Repurposing Bottleneck</t>
        </is>
      </c>
      <c r="Q867" s="27" t="inlineStr">
        <is>
          <t>https://altheabarrington.com/highlights</t>
        </is>
      </c>
      <c r="R867" s="27" t="inlineStr">
        <is>
          <t>Email</t>
        </is>
      </c>
      <c r="S867" s="27" t="inlineStr">
        <is>
          <t>hello@altheabarrington.com</t>
        </is>
      </c>
      <c r="T867" s="27" t="inlineStr">
        <is>
          <t>https://altheabarrington.com/work-with-me</t>
        </is>
      </c>
      <c r="U867" s="27" t="inlineStr">
        <is>
          <t>LinkedIn</t>
        </is>
      </c>
      <c r="V867" s="27" t="inlineStr">
        <is>
          <t>productivity &amp; personal systems frameworks, specifically regarding episode 14 on Productivity &amp; Personal Systems workflow optimization</t>
        </is>
      </c>
      <c r="W867" s="27" t="inlineStr">
        <is>
          <t>Hi Althea, loved your recent piece on 'productivity &amp; personal systems frameworks, specifically regarding episode 14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67" s="27" t="inlineStr">
        <is>
          <t>2026-10-18</t>
        </is>
      </c>
      <c r="Y867" s="27" t="inlineStr">
        <is>
          <t>C</t>
        </is>
      </c>
      <c r="Z867" s="27" t="n">
        <v>80.2</v>
      </c>
      <c r="AA867" s="27" t="inlineStr">
        <is>
          <t>Qualified</t>
        </is>
      </c>
      <c r="AB867" s="27" t="inlineStr"/>
      <c r="AC867" s="28">
        <f>IF(A867="","",IF(COUNTIF($H$5:$H$1004,H867)&gt;1,"DUPLICATE","UNIQUE"))</f>
        <v/>
      </c>
      <c r="AD867" s="28">
        <f>IF(A867="","",IF(AA867="Rejected",IF(AB867&lt;&gt;"","REJECTED","ADD REASON"),IF(AND(B867&lt;&gt;"",C867&lt;&gt;"",D867&lt;&gt;"",E867&lt;&gt;"",F867&lt;&gt;"",G867&lt;&gt;"",H867&lt;&gt;"",J867&lt;&gt;"",K867&lt;&gt;"",N867&lt;&gt;"",O867&lt;&gt;"",P867&lt;&gt;"",Q867&lt;&gt;"",R867&lt;&gt;"",S867&lt;&gt;"",T867&lt;&gt;"",V867&lt;&gt;"",W867&lt;&gt;"",X867&lt;&gt;"",Y867&lt;&gt;""),"COMPLETE","MISSING FIELDS")))</f>
        <v/>
      </c>
    </row>
    <row r="868" ht="15" customHeight="1" s="15">
      <c r="A868" s="27" t="inlineStr">
        <is>
          <t>LEAD-0864</t>
        </is>
      </c>
      <c r="B868" s="27" t="inlineStr">
        <is>
          <t>Althea Thornton</t>
        </is>
      </c>
      <c r="C868" s="27" t="inlineStr">
        <is>
          <t>Podcaster</t>
        </is>
      </c>
      <c r="D868" s="27" t="inlineStr">
        <is>
          <t>AU</t>
        </is>
      </c>
      <c r="E868" s="27" t="inlineStr">
        <is>
          <t>English</t>
        </is>
      </c>
      <c r="F868" s="27" t="inlineStr">
        <is>
          <t>Apple Podcasts</t>
        </is>
      </c>
      <c r="G868" s="27" t="inlineStr">
        <is>
          <t>https://podcasts.apple.com/au/podcast/altheathornton/id1000864</t>
        </is>
      </c>
      <c r="H868" s="27" t="inlineStr">
        <is>
          <t>AP-AU-1000864</t>
        </is>
      </c>
      <c r="I868" s="27" t="inlineStr">
        <is>
          <t>180,000</t>
        </is>
      </c>
      <c r="J868" s="27" t="inlineStr">
        <is>
          <t>2026-10-10</t>
        </is>
      </c>
      <c r="K868" s="27" t="inlineStr">
        <is>
          <t>https://altheathornton.com/episodes/65</t>
        </is>
      </c>
      <c r="L868" s="27" t="n">
        <v>12</v>
      </c>
      <c r="M868" s="27" t="n">
        <v>16</v>
      </c>
      <c r="N868" s="27" t="inlineStr">
        <is>
          <t>Product</t>
        </is>
      </c>
      <c r="O868" s="27" t="inlineStr">
        <is>
          <t>https://altheathornton.com/shop</t>
        </is>
      </c>
      <c r="P868" s="27" t="inlineStr">
        <is>
          <t>Inconsistent Cross-Platform Publishing</t>
        </is>
      </c>
      <c r="Q868" s="27" t="inlineStr">
        <is>
          <t>https://altheathornton.com/highlights</t>
        </is>
      </c>
      <c r="R868" s="27" t="inlineStr">
        <is>
          <t>Email</t>
        </is>
      </c>
      <c r="S868" s="27" t="inlineStr">
        <is>
          <t>contact@altheathornton.com</t>
        </is>
      </c>
      <c r="T868" s="27" t="inlineStr">
        <is>
          <t>https://altheathornton.com/contact</t>
        </is>
      </c>
      <c r="U868" s="27" t="inlineStr">
        <is>
          <t>LinkedIn</t>
        </is>
      </c>
      <c r="V868" s="27" t="inlineStr">
        <is>
          <t>leadership &amp; team ops frameworks, specifically regarding episode 15 on Leadership &amp; Team Ops workflow optimization</t>
        </is>
      </c>
      <c r="W868" s="27" t="inlineStr">
        <is>
          <t>Hi Althea, loved your recent piece on 'leadership &amp; team ops frameworks, specifically regarding episode 15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68" s="27" t="inlineStr">
        <is>
          <t>2026-10-18</t>
        </is>
      </c>
      <c r="Y868" s="27" t="inlineStr">
        <is>
          <t>C</t>
        </is>
      </c>
      <c r="Z868" s="27" t="n">
        <v>80.2</v>
      </c>
      <c r="AA868" s="27" t="inlineStr">
        <is>
          <t>Qualified</t>
        </is>
      </c>
      <c r="AB868" s="27" t="inlineStr"/>
      <c r="AC868" s="28">
        <f>IF(A868="","",IF(COUNTIF($H$5:$H$1004,H868)&gt;1,"DUPLICATE","UNIQUE"))</f>
        <v/>
      </c>
      <c r="AD868" s="28">
        <f>IF(A868="","",IF(AA868="Rejected",IF(AB868&lt;&gt;"","REJECTED","ADD REASON"),IF(AND(B868&lt;&gt;"",C868&lt;&gt;"",D868&lt;&gt;"",E868&lt;&gt;"",F868&lt;&gt;"",G868&lt;&gt;"",H868&lt;&gt;"",J868&lt;&gt;"",K868&lt;&gt;"",N868&lt;&gt;"",O868&lt;&gt;"",P868&lt;&gt;"",Q868&lt;&gt;"",R868&lt;&gt;"",S868&lt;&gt;"",T868&lt;&gt;"",V868&lt;&gt;"",W868&lt;&gt;"",X868&lt;&gt;"",Y868&lt;&gt;""),"COMPLETE","MISSING FIELDS")))</f>
        <v/>
      </c>
    </row>
    <row r="869" ht="15" customHeight="1" s="15">
      <c r="A869" s="27" t="inlineStr">
        <is>
          <t>LEAD-0865</t>
        </is>
      </c>
      <c r="B869" s="27" t="inlineStr">
        <is>
          <t>Althea Wellington</t>
        </is>
      </c>
      <c r="C869" s="27" t="inlineStr">
        <is>
          <t>Expert-Led Creator</t>
        </is>
      </c>
      <c r="D869" s="27" t="inlineStr">
        <is>
          <t>AU</t>
        </is>
      </c>
      <c r="E869" s="27" t="inlineStr">
        <is>
          <t>English</t>
        </is>
      </c>
      <c r="F869" s="27" t="inlineStr">
        <is>
          <t>LinkedIn</t>
        </is>
      </c>
      <c r="G869" s="27" t="inlineStr">
        <is>
          <t>https://www.linkedin.com/in/altheawellington</t>
        </is>
      </c>
      <c r="H869" s="27" t="inlineStr">
        <is>
          <t>LI-altheawellington-0865</t>
        </is>
      </c>
      <c r="I869" s="27" t="inlineStr">
        <is>
          <t>156,000</t>
        </is>
      </c>
      <c r="J869" s="27" t="inlineStr">
        <is>
          <t>2026-10-11</t>
        </is>
      </c>
      <c r="K869" s="27" t="inlineStr">
        <is>
          <t>https://altheawellington.com/posts/116</t>
        </is>
      </c>
      <c r="L869" s="27" t="n">
        <v>13</v>
      </c>
      <c r="M869" s="27" t="n">
        <v>17</v>
      </c>
      <c r="N869" s="27" t="inlineStr">
        <is>
          <t>Consulting</t>
        </is>
      </c>
      <c r="O869" s="27" t="inlineStr">
        <is>
          <t>https://altheawellington.com/advisory</t>
        </is>
      </c>
      <c r="P869" s="27" t="inlineStr">
        <is>
          <t>Editing Backlog &amp; Team Workflow Overhead</t>
        </is>
      </c>
      <c r="Q869" s="27" t="inlineStr">
        <is>
          <t>https://altheawellington.com/highlights</t>
        </is>
      </c>
      <c r="R869" s="27" t="inlineStr">
        <is>
          <t>LinkedIn</t>
        </is>
      </c>
      <c r="S869" s="27" t="inlineStr">
        <is>
          <t>https://linkedin.com/in/altheawellington</t>
        </is>
      </c>
      <c r="T869" s="27" t="inlineStr">
        <is>
          <t>https://altheawellington.com/about</t>
        </is>
      </c>
      <c r="U869" s="27" t="inlineStr">
        <is>
          <t>Email</t>
        </is>
      </c>
      <c r="V869" s="27" t="inlineStr">
        <is>
          <t>b2b marketing &amp; sales frameworks, specifically regarding episode 16 on B2B Marketing &amp; Sales workflow optimization</t>
        </is>
      </c>
      <c r="W869" s="27" t="inlineStr">
        <is>
          <t>Hi Althea, loved your recent piece on 'b2b marketing &amp; sales frameworks, specifically regarding episode 16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69" s="27" t="inlineStr">
        <is>
          <t>2026-10-18</t>
        </is>
      </c>
      <c r="Y869" s="27" t="inlineStr">
        <is>
          <t>C</t>
        </is>
      </c>
      <c r="Z869" s="27" t="n">
        <v>80.09999999999999</v>
      </c>
      <c r="AA869" s="27" t="inlineStr">
        <is>
          <t>Qualified</t>
        </is>
      </c>
      <c r="AB869" s="27" t="inlineStr"/>
      <c r="AC869" s="28">
        <f>IF(A869="","",IF(COUNTIF($H$5:$H$1004,H869)&gt;1,"DUPLICATE","UNIQUE"))</f>
        <v/>
      </c>
      <c r="AD869" s="28">
        <f>IF(A869="","",IF(AA869="Rejected",IF(AB869&lt;&gt;"","REJECTED","ADD REASON"),IF(AND(B869&lt;&gt;"",C869&lt;&gt;"",D869&lt;&gt;"",E869&lt;&gt;"",F869&lt;&gt;"",G869&lt;&gt;"",H869&lt;&gt;"",J869&lt;&gt;"",K869&lt;&gt;"",N869&lt;&gt;"",O869&lt;&gt;"",P869&lt;&gt;"",Q869&lt;&gt;"",R869&lt;&gt;"",S869&lt;&gt;"",T869&lt;&gt;"",V869&lt;&gt;"",W869&lt;&gt;"",X869&lt;&gt;"",Y869&lt;&gt;""),"COMPLETE","MISSING FIELDS")))</f>
        <v/>
      </c>
    </row>
    <row r="870" ht="15" customHeight="1" s="15">
      <c r="A870" s="27" t="inlineStr">
        <is>
          <t>LEAD-0866</t>
        </is>
      </c>
      <c r="B870" s="27" t="inlineStr">
        <is>
          <t>Beatrice Ashford</t>
        </is>
      </c>
      <c r="C870" s="27" t="inlineStr">
        <is>
          <t>YouTuber</t>
        </is>
      </c>
      <c r="D870" s="27" t="inlineStr">
        <is>
          <t>AU</t>
        </is>
      </c>
      <c r="E870" s="27" t="inlineStr">
        <is>
          <t>English</t>
        </is>
      </c>
      <c r="F870" s="27" t="inlineStr">
        <is>
          <t>YouTube</t>
        </is>
      </c>
      <c r="G870" s="27" t="inlineStr">
        <is>
          <t>https://www.youtube.com/@beatriceashford</t>
        </is>
      </c>
      <c r="H870" s="27" t="inlineStr">
        <is>
          <t>UCAU00866415793</t>
        </is>
      </c>
      <c r="I870" s="27" t="inlineStr">
        <is>
          <t>540,000</t>
        </is>
      </c>
      <c r="J870" s="27" t="inlineStr">
        <is>
          <t>2026-10-12</t>
        </is>
      </c>
      <c r="K870" s="27" t="inlineStr">
        <is>
          <t>https://www.youtube.com/watch?v=au00866</t>
        </is>
      </c>
      <c r="L870" s="27" t="n">
        <v>14</v>
      </c>
      <c r="M870" s="27" t="n">
        <v>18</v>
      </c>
      <c r="N870" s="27" t="inlineStr">
        <is>
          <t>Newsletter Subscription</t>
        </is>
      </c>
      <c r="O870" s="27" t="inlineStr">
        <is>
          <t>https://beatriceashford.com/subscribe</t>
        </is>
      </c>
      <c r="P870" s="27" t="inlineStr">
        <is>
          <t>Multilingual Audio Dubbing</t>
        </is>
      </c>
      <c r="Q870" s="27" t="inlineStr">
        <is>
          <t>https://beatriceashford.com/highlights</t>
        </is>
      </c>
      <c r="R870" s="27" t="inlineStr">
        <is>
          <t>X (Twitter)</t>
        </is>
      </c>
      <c r="S870" s="27" t="inlineStr">
        <is>
          <t>https://x.com/beatriceashford</t>
        </is>
      </c>
      <c r="T870" s="27" t="inlineStr">
        <is>
          <t>https://beatriceashford.com/links</t>
        </is>
      </c>
      <c r="U870" s="27" t="inlineStr">
        <is>
          <t>LinkedIn</t>
        </is>
      </c>
      <c r="V870" s="27" t="inlineStr">
        <is>
          <t>finance &amp; wealth engineering frameworks, specifically regarding episode 17 on Finance &amp; Wealth Engineering workflow optimization</t>
        </is>
      </c>
      <c r="W870" s="27" t="inlineStr">
        <is>
          <t>Hi Beatrice, loved your recent piece on 'finance &amp; wealth engineering frameworks, specifically regarding episode 17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70" s="27" t="inlineStr">
        <is>
          <t>2026-10-18</t>
        </is>
      </c>
      <c r="Y870" s="27" t="inlineStr">
        <is>
          <t>C</t>
        </is>
      </c>
      <c r="Z870" s="27" t="n">
        <v>80</v>
      </c>
      <c r="AA870" s="27" t="inlineStr">
        <is>
          <t>Qualified</t>
        </is>
      </c>
      <c r="AB870" s="27" t="inlineStr"/>
      <c r="AC870" s="28">
        <f>IF(A870="","",IF(COUNTIF($H$5:$H$1004,H870)&gt;1,"DUPLICATE","UNIQUE"))</f>
        <v/>
      </c>
      <c r="AD870" s="28">
        <f>IF(A870="","",IF(AA870="Rejected",IF(AB870&lt;&gt;"","REJECTED","ADD REASON"),IF(AND(B870&lt;&gt;"",C870&lt;&gt;"",D870&lt;&gt;"",E870&lt;&gt;"",F870&lt;&gt;"",G870&lt;&gt;"",H870&lt;&gt;"",J870&lt;&gt;"",K870&lt;&gt;"",N870&lt;&gt;"",O870&lt;&gt;"",P870&lt;&gt;"",Q870&lt;&gt;"",R870&lt;&gt;"",S870&lt;&gt;"",T870&lt;&gt;"",V870&lt;&gt;"",W870&lt;&gt;"",X870&lt;&gt;"",Y870&lt;&gt;""),"COMPLETE","MISSING FIELDS")))</f>
        <v/>
      </c>
    </row>
    <row r="871" ht="15" customHeight="1" s="15">
      <c r="A871" s="27" t="inlineStr">
        <is>
          <t>LEAD-0867</t>
        </is>
      </c>
      <c r="B871" s="27" t="inlineStr">
        <is>
          <t>Beatrice Bancroft</t>
        </is>
      </c>
      <c r="C871" s="27" t="inlineStr">
        <is>
          <t>Podcaster</t>
        </is>
      </c>
      <c r="D871" s="27" t="inlineStr">
        <is>
          <t>AU</t>
        </is>
      </c>
      <c r="E871" s="27" t="inlineStr">
        <is>
          <t>English</t>
        </is>
      </c>
      <c r="F871" s="27" t="inlineStr">
        <is>
          <t>Apple Podcasts</t>
        </is>
      </c>
      <c r="G871" s="27" t="inlineStr">
        <is>
          <t>https://podcasts.apple.com/au/podcast/beatricebancroft/id1000867</t>
        </is>
      </c>
      <c r="H871" s="27" t="inlineStr">
        <is>
          <t>AP-AU-1000867</t>
        </is>
      </c>
      <c r="I871" s="27" t="inlineStr">
        <is>
          <t>216,000</t>
        </is>
      </c>
      <c r="J871" s="27" t="inlineStr">
        <is>
          <t>2026-10-13</t>
        </is>
      </c>
      <c r="K871" s="27" t="inlineStr">
        <is>
          <t>https://beatricebancroft.com/episodes/68</t>
        </is>
      </c>
      <c r="L871" s="27" t="n">
        <v>15</v>
      </c>
      <c r="M871" s="27" t="n">
        <v>19</v>
      </c>
      <c r="N871" s="27" t="inlineStr">
        <is>
          <t>Affiliate</t>
        </is>
      </c>
      <c r="O871" s="27" t="inlineStr">
        <is>
          <t>https://beatricebancroft.com/resources</t>
        </is>
      </c>
      <c r="P871" s="27" t="inlineStr">
        <is>
          <t>Multilingual Audio Dubbing</t>
        </is>
      </c>
      <c r="Q871" s="27" t="inlineStr">
        <is>
          <t>https://beatricebancroft.com/highlights</t>
        </is>
      </c>
      <c r="R871" s="27" t="inlineStr">
        <is>
          <t>Email</t>
        </is>
      </c>
      <c r="S871" s="27" t="inlineStr">
        <is>
          <t>hello@beatricebancroft.com</t>
        </is>
      </c>
      <c r="T871" s="27" t="inlineStr">
        <is>
          <t>https://beatricebancroft.com/work-with-me</t>
        </is>
      </c>
      <c r="U871" s="27" t="inlineStr">
        <is>
          <t>LinkedIn</t>
        </is>
      </c>
      <c r="V871" s="27" t="inlineStr">
        <is>
          <t>health &amp; longevity science frameworks, specifically regarding episode 18 on Health &amp; Longevity Science workflow optimization</t>
        </is>
      </c>
      <c r="W871" s="27" t="inlineStr">
        <is>
          <t>Hi Beatrice, loved your recent piece on 'health &amp; longevity science frameworks, specifically regarding episode 18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71" s="27" t="inlineStr">
        <is>
          <t>2026-10-18</t>
        </is>
      </c>
      <c r="Y871" s="27" t="inlineStr">
        <is>
          <t>C</t>
        </is>
      </c>
      <c r="Z871" s="27" t="n">
        <v>80</v>
      </c>
      <c r="AA871" s="27" t="inlineStr">
        <is>
          <t>Qualified</t>
        </is>
      </c>
      <c r="AB871" s="27" t="inlineStr"/>
      <c r="AC871" s="28">
        <f>IF(A871="","",IF(COUNTIF($H$5:$H$1004,H871)&gt;1,"DUPLICATE","UNIQUE"))</f>
        <v/>
      </c>
      <c r="AD871" s="28">
        <f>IF(A871="","",IF(AA871="Rejected",IF(AB871&lt;&gt;"","REJECTED","ADD REASON"),IF(AND(B871&lt;&gt;"",C871&lt;&gt;"",D871&lt;&gt;"",E871&lt;&gt;"",F871&lt;&gt;"",G871&lt;&gt;"",H871&lt;&gt;"",J871&lt;&gt;"",K871&lt;&gt;"",N871&lt;&gt;"",O871&lt;&gt;"",P871&lt;&gt;"",Q871&lt;&gt;"",R871&lt;&gt;"",S871&lt;&gt;"",T871&lt;&gt;"",V871&lt;&gt;"",W871&lt;&gt;"",X871&lt;&gt;"",Y871&lt;&gt;""),"COMPLETE","MISSING FIELDS")))</f>
        <v/>
      </c>
    </row>
    <row r="872" ht="15" customHeight="1" s="15">
      <c r="A872" s="27" t="inlineStr">
        <is>
          <t>LEAD-0868</t>
        </is>
      </c>
      <c r="B872" s="27" t="inlineStr">
        <is>
          <t>Beatrice Calloway</t>
        </is>
      </c>
      <c r="C872" s="27" t="inlineStr">
        <is>
          <t>YouTuber</t>
        </is>
      </c>
      <c r="D872" s="27" t="inlineStr">
        <is>
          <t>AU</t>
        </is>
      </c>
      <c r="E872" s="27" t="inlineStr">
        <is>
          <t>English</t>
        </is>
      </c>
      <c r="F872" s="27" t="inlineStr">
        <is>
          <t>YouTube</t>
        </is>
      </c>
      <c r="G872" s="27" t="inlineStr">
        <is>
          <t>https://www.youtube.com/@beatricecalloway</t>
        </is>
      </c>
      <c r="H872" s="27" t="inlineStr">
        <is>
          <t>UCAU00868478991</t>
        </is>
      </c>
      <c r="I872" s="27" t="inlineStr">
        <is>
          <t>580,000</t>
        </is>
      </c>
      <c r="J872" s="27" t="inlineStr">
        <is>
          <t>2026-10-14</t>
        </is>
      </c>
      <c r="K872" s="27" t="inlineStr">
        <is>
          <t>https://www.youtube.com/watch?v=au00868</t>
        </is>
      </c>
      <c r="L872" s="27" t="n">
        <v>16</v>
      </c>
      <c r="M872" s="27" t="n">
        <v>20</v>
      </c>
      <c r="N872" s="27" t="inlineStr">
        <is>
          <t>Course</t>
        </is>
      </c>
      <c r="O872" s="27" t="inlineStr">
        <is>
          <t>https://beatricecalloway.com/academy</t>
        </is>
      </c>
      <c r="P872" s="27" t="inlineStr">
        <is>
          <t>Missing Video Captions &amp; Retention Clips</t>
        </is>
      </c>
      <c r="Q872" s="27" t="inlineStr">
        <is>
          <t>https://beatricecalloway.com/highlights</t>
        </is>
      </c>
      <c r="R872" s="27" t="inlineStr">
        <is>
          <t>Email</t>
        </is>
      </c>
      <c r="S872" s="27" t="inlineStr">
        <is>
          <t>contact@beatricecalloway.com</t>
        </is>
      </c>
      <c r="T872" s="27" t="inlineStr">
        <is>
          <t>https://beatricecalloway.com/contact</t>
        </is>
      </c>
      <c r="U872" s="27" t="inlineStr">
        <is>
          <t>LinkedIn</t>
        </is>
      </c>
      <c r="V872" s="27" t="inlineStr">
        <is>
          <t>education &amp; applied coding frameworks, specifically regarding episode 19 on Education &amp; Applied Coding workflow optimization</t>
        </is>
      </c>
      <c r="W872" s="27" t="inlineStr">
        <is>
          <t>Hi Beatrice, loved your recent piece on 'education &amp; applied coding frameworks, specifically regarding episode 19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72" s="27" t="inlineStr">
        <is>
          <t>2026-10-18</t>
        </is>
      </c>
      <c r="Y872" s="27" t="inlineStr">
        <is>
          <t>C</t>
        </is>
      </c>
      <c r="Z872" s="27" t="n">
        <v>79.90000000000001</v>
      </c>
      <c r="AA872" s="27" t="inlineStr">
        <is>
          <t>Qualified</t>
        </is>
      </c>
      <c r="AB872" s="27" t="inlineStr"/>
      <c r="AC872" s="28">
        <f>IF(A872="","",IF(COUNTIF($H$5:$H$1004,H872)&gt;1,"DUPLICATE","UNIQUE"))</f>
        <v/>
      </c>
      <c r="AD872" s="28">
        <f>IF(A872="","",IF(AA872="Rejected",IF(AB872&lt;&gt;"","REJECTED","ADD REASON"),IF(AND(B872&lt;&gt;"",C872&lt;&gt;"",D872&lt;&gt;"",E872&lt;&gt;"",F872&lt;&gt;"",G872&lt;&gt;"",H872&lt;&gt;"",J872&lt;&gt;"",K872&lt;&gt;"",N872&lt;&gt;"",O872&lt;&gt;"",P872&lt;&gt;"",Q872&lt;&gt;"",R872&lt;&gt;"",S872&lt;&gt;"",T872&lt;&gt;"",V872&lt;&gt;"",W872&lt;&gt;"",X872&lt;&gt;"",Y872&lt;&gt;""),"COMPLETE","MISSING FIELDS")))</f>
        <v/>
      </c>
    </row>
    <row r="873" ht="15" customHeight="1" s="15">
      <c r="A873" s="27" t="inlineStr">
        <is>
          <t>LEAD-0869</t>
        </is>
      </c>
      <c r="B873" s="27" t="inlineStr">
        <is>
          <t>Beatrice Delaney</t>
        </is>
      </c>
      <c r="C873" s="27" t="inlineStr">
        <is>
          <t>Podcaster</t>
        </is>
      </c>
      <c r="D873" s="27" t="inlineStr">
        <is>
          <t>AU</t>
        </is>
      </c>
      <c r="E873" s="27" t="inlineStr">
        <is>
          <t>English</t>
        </is>
      </c>
      <c r="F873" s="27" t="inlineStr">
        <is>
          <t>Apple Podcasts</t>
        </is>
      </c>
      <c r="G873" s="27" t="inlineStr">
        <is>
          <t>https://podcasts.apple.com/au/podcast/beatricedelaney/id1000869</t>
        </is>
      </c>
      <c r="H873" s="27" t="inlineStr">
        <is>
          <t>AP-AU-1000869</t>
        </is>
      </c>
      <c r="I873" s="27" t="inlineStr">
        <is>
          <t>240,000</t>
        </is>
      </c>
      <c r="J873" s="27" t="inlineStr">
        <is>
          <t>2026-10-15</t>
        </is>
      </c>
      <c r="K873" s="27" t="inlineStr">
        <is>
          <t>https://beatricedelaney.com/episodes/70</t>
        </is>
      </c>
      <c r="L873" s="27" t="n">
        <v>17</v>
      </c>
      <c r="M873" s="27" t="n">
        <v>21</v>
      </c>
      <c r="N873" s="27" t="inlineStr">
        <is>
          <t>Sponsor</t>
        </is>
      </c>
      <c r="O873" s="27" t="inlineStr">
        <is>
          <t>https://beatricedelaney.com/partners</t>
        </is>
      </c>
      <c r="P873" s="27" t="inlineStr">
        <is>
          <t>Shorts Repurposing Bottleneck</t>
        </is>
      </c>
      <c r="Q873" s="27" t="inlineStr">
        <is>
          <t>https://beatricedelaney.com/highlights</t>
        </is>
      </c>
      <c r="R873" s="27" t="inlineStr">
        <is>
          <t>LinkedIn</t>
        </is>
      </c>
      <c r="S873" s="27" t="inlineStr">
        <is>
          <t>https://linkedin.com/in/beatricedelaney</t>
        </is>
      </c>
      <c r="T873" s="27" t="inlineStr">
        <is>
          <t>https://beatricedelaney.com/about</t>
        </is>
      </c>
      <c r="U873" s="27" t="inlineStr">
        <is>
          <t>Email</t>
        </is>
      </c>
      <c r="V873" s="27" t="inlineStr">
        <is>
          <t>e-commerce &amp; digital brands frameworks, specifically regarding episode 20 on E-Commerce &amp; Digital Brands workflow optimization</t>
        </is>
      </c>
      <c r="W873" s="27" t="inlineStr">
        <is>
          <t>Hi Beatrice, loved your recent piece on 'e-commerce &amp; digital brands frameworks, specifically regarding episode 20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73" s="27" t="inlineStr">
        <is>
          <t>2026-10-18</t>
        </is>
      </c>
      <c r="Y873" s="27" t="inlineStr">
        <is>
          <t>C</t>
        </is>
      </c>
      <c r="Z873" s="27" t="n">
        <v>79.90000000000001</v>
      </c>
      <c r="AA873" s="27" t="inlineStr">
        <is>
          <t>Qualified</t>
        </is>
      </c>
      <c r="AB873" s="27" t="inlineStr"/>
      <c r="AC873" s="28">
        <f>IF(A873="","",IF(COUNTIF($H$5:$H$1004,H873)&gt;1,"DUPLICATE","UNIQUE"))</f>
        <v/>
      </c>
      <c r="AD873" s="28">
        <f>IF(A873="","",IF(AA873="Rejected",IF(AB873&lt;&gt;"","REJECTED","ADD REASON"),IF(AND(B873&lt;&gt;"",C873&lt;&gt;"",D873&lt;&gt;"",E873&lt;&gt;"",F873&lt;&gt;"",G873&lt;&gt;"",H873&lt;&gt;"",J873&lt;&gt;"",K873&lt;&gt;"",N873&lt;&gt;"",O873&lt;&gt;"",P873&lt;&gt;"",Q873&lt;&gt;"",R873&lt;&gt;"",S873&lt;&gt;"",T873&lt;&gt;"",V873&lt;&gt;"",W873&lt;&gt;"",X873&lt;&gt;"",Y873&lt;&gt;""),"COMPLETE","MISSING FIELDS")))</f>
        <v/>
      </c>
    </row>
    <row r="874" ht="15" customHeight="1" s="15">
      <c r="A874" s="27" t="inlineStr">
        <is>
          <t>LEAD-0870</t>
        </is>
      </c>
      <c r="B874" s="27" t="inlineStr">
        <is>
          <t>Beatrice Eastwood</t>
        </is>
      </c>
      <c r="C874" s="27" t="inlineStr">
        <is>
          <t>YouTuber</t>
        </is>
      </c>
      <c r="D874" s="27" t="inlineStr">
        <is>
          <t>AU</t>
        </is>
      </c>
      <c r="E874" s="27" t="inlineStr">
        <is>
          <t>English</t>
        </is>
      </c>
      <c r="F874" s="27" t="inlineStr">
        <is>
          <t>YouTube</t>
        </is>
      </c>
      <c r="G874" s="27" t="inlineStr">
        <is>
          <t>https://www.youtube.com/@beatriceeastwood</t>
        </is>
      </c>
      <c r="H874" s="27" t="inlineStr">
        <is>
          <t>UCAU00870566755</t>
        </is>
      </c>
      <c r="I874" s="27" t="inlineStr">
        <is>
          <t>620,000</t>
        </is>
      </c>
      <c r="J874" s="27" t="inlineStr">
        <is>
          <t>2026-10-16</t>
        </is>
      </c>
      <c r="K874" s="27" t="inlineStr">
        <is>
          <t>https://www.youtube.com/watch?v=au00870</t>
        </is>
      </c>
      <c r="L874" s="27" t="n">
        <v>8</v>
      </c>
      <c r="M874" s="27" t="n">
        <v>22</v>
      </c>
      <c r="N874" s="27" t="inlineStr">
        <is>
          <t>Membership</t>
        </is>
      </c>
      <c r="O874" s="27" t="inlineStr">
        <is>
          <t>https://beatriceeastwood.com/community</t>
        </is>
      </c>
      <c r="P874" s="27" t="inlineStr">
        <is>
          <t>Shorts Repurposing Bottleneck</t>
        </is>
      </c>
      <c r="Q874" s="27" t="inlineStr">
        <is>
          <t>https://beatriceeastwood.com/highlights</t>
        </is>
      </c>
      <c r="R874" s="27" t="inlineStr">
        <is>
          <t>X (Twitter)</t>
        </is>
      </c>
      <c r="S874" s="27" t="inlineStr">
        <is>
          <t>https://x.com/beatriceeastwood</t>
        </is>
      </c>
      <c r="T874" s="27" t="inlineStr">
        <is>
          <t>https://beatriceeastwood.com/links</t>
        </is>
      </c>
      <c r="U874" s="27" t="inlineStr">
        <is>
          <t>LinkedIn</t>
        </is>
      </c>
      <c r="V874" s="27" t="inlineStr">
        <is>
          <t>tech &amp; ai frameworks, specifically regarding episode 21 on Tech &amp; AI workflow optimization</t>
        </is>
      </c>
      <c r="W874" s="27" t="inlineStr">
        <is>
          <t>Hi Beatrice, loved your recent piece on 'tech &amp; ai frameworks, specifically regarding episode 21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74" s="27" t="inlineStr">
        <is>
          <t>2026-10-18</t>
        </is>
      </c>
      <c r="Y874" s="27" t="inlineStr">
        <is>
          <t>C</t>
        </is>
      </c>
      <c r="Z874" s="27" t="n">
        <v>79.8</v>
      </c>
      <c r="AA874" s="27" t="inlineStr">
        <is>
          <t>Qualified</t>
        </is>
      </c>
      <c r="AB874" s="27" t="inlineStr"/>
      <c r="AC874" s="28">
        <f>IF(A874="","",IF(COUNTIF($H$5:$H$1004,H874)&gt;1,"DUPLICATE","UNIQUE"))</f>
        <v/>
      </c>
      <c r="AD874" s="28">
        <f>IF(A874="","",IF(AA874="Rejected",IF(AB874&lt;&gt;"","REJECTED","ADD REASON"),IF(AND(B874&lt;&gt;"",C874&lt;&gt;"",D874&lt;&gt;"",E874&lt;&gt;"",F874&lt;&gt;"",G874&lt;&gt;"",H874&lt;&gt;"",J874&lt;&gt;"",K874&lt;&gt;"",N874&lt;&gt;"",O874&lt;&gt;"",P874&lt;&gt;"",Q874&lt;&gt;"",R874&lt;&gt;"",S874&lt;&gt;"",T874&lt;&gt;"",V874&lt;&gt;"",W874&lt;&gt;"",X874&lt;&gt;"",Y874&lt;&gt;""),"COMPLETE","MISSING FIELDS")))</f>
        <v/>
      </c>
    </row>
    <row r="875" ht="15" customHeight="1" s="15">
      <c r="A875" s="27" t="inlineStr">
        <is>
          <t>LEAD-0871</t>
        </is>
      </c>
      <c r="B875" s="27" t="inlineStr">
        <is>
          <t>Beatrice Fairchild</t>
        </is>
      </c>
      <c r="C875" s="27" t="inlineStr">
        <is>
          <t>Podcaster</t>
        </is>
      </c>
      <c r="D875" s="27" t="inlineStr">
        <is>
          <t>AU</t>
        </is>
      </c>
      <c r="E875" s="27" t="inlineStr">
        <is>
          <t>English</t>
        </is>
      </c>
      <c r="F875" s="27" t="inlineStr">
        <is>
          <t>Apple Podcasts</t>
        </is>
      </c>
      <c r="G875" s="27" t="inlineStr">
        <is>
          <t>https://podcasts.apple.com/au/podcast/beatricefairchild/id1000871</t>
        </is>
      </c>
      <c r="H875" s="27" t="inlineStr">
        <is>
          <t>AP-AU-1000871</t>
        </is>
      </c>
      <c r="I875" s="27" t="inlineStr">
        <is>
          <t>264,000</t>
        </is>
      </c>
      <c r="J875" s="27" t="inlineStr">
        <is>
          <t>2026-10-17</t>
        </is>
      </c>
      <c r="K875" s="27" t="inlineStr">
        <is>
          <t>https://beatricefairchild.com/episodes/72</t>
        </is>
      </c>
      <c r="L875" s="27" t="n">
        <v>9</v>
      </c>
      <c r="M875" s="27" t="n">
        <v>23</v>
      </c>
      <c r="N875" s="27" t="inlineStr">
        <is>
          <t>Product</t>
        </is>
      </c>
      <c r="O875" s="27" t="inlineStr">
        <is>
          <t>https://beatricefairchild.com/shop</t>
        </is>
      </c>
      <c r="P875" s="27" t="inlineStr">
        <is>
          <t>Missing Video Captions &amp; Retention Clips</t>
        </is>
      </c>
      <c r="Q875" s="27" t="inlineStr">
        <is>
          <t>https://beatricefairchild.com/highlights</t>
        </is>
      </c>
      <c r="R875" s="27" t="inlineStr">
        <is>
          <t>Email</t>
        </is>
      </c>
      <c r="S875" s="27" t="inlineStr">
        <is>
          <t>hello@beatricefairchild.com</t>
        </is>
      </c>
      <c r="T875" s="27" t="inlineStr">
        <is>
          <t>https://beatricefairchild.com/work-with-me</t>
        </is>
      </c>
      <c r="U875" s="27" t="inlineStr">
        <is>
          <t>LinkedIn</t>
        </is>
      </c>
      <c r="V875" s="27" t="inlineStr">
        <is>
          <t>saas &amp; product growth frameworks, specifically regarding episode 22 on SaaS &amp; Product Growth workflow optimization</t>
        </is>
      </c>
      <c r="W875" s="27" t="inlineStr">
        <is>
          <t>Hi Beatrice, loved your recent piece on 'saas &amp; product growth frameworks, specifically regarding episode 22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75" s="27" t="inlineStr">
        <is>
          <t>2026-10-18</t>
        </is>
      </c>
      <c r="Y875" s="27" t="inlineStr">
        <is>
          <t>C</t>
        </is>
      </c>
      <c r="Z875" s="27" t="n">
        <v>79.7</v>
      </c>
      <c r="AA875" s="27" t="inlineStr">
        <is>
          <t>Qualified</t>
        </is>
      </c>
      <c r="AB875" s="27" t="inlineStr"/>
      <c r="AC875" s="28">
        <f>IF(A875="","",IF(COUNTIF($H$5:$H$1004,H875)&gt;1,"DUPLICATE","UNIQUE"))</f>
        <v/>
      </c>
      <c r="AD875" s="28">
        <f>IF(A875="","",IF(AA875="Rejected",IF(AB875&lt;&gt;"","REJECTED","ADD REASON"),IF(AND(B875&lt;&gt;"",C875&lt;&gt;"",D875&lt;&gt;"",E875&lt;&gt;"",F875&lt;&gt;"",G875&lt;&gt;"",H875&lt;&gt;"",J875&lt;&gt;"",K875&lt;&gt;"",N875&lt;&gt;"",O875&lt;&gt;"",P875&lt;&gt;"",Q875&lt;&gt;"",R875&lt;&gt;"",S875&lt;&gt;"",T875&lt;&gt;"",V875&lt;&gt;"",W875&lt;&gt;"",X875&lt;&gt;"",Y875&lt;&gt;""),"COMPLETE","MISSING FIELDS")))</f>
        <v/>
      </c>
    </row>
    <row r="876" ht="15" customHeight="1" s="15">
      <c r="A876" s="27" t="inlineStr">
        <is>
          <t>LEAD-0872</t>
        </is>
      </c>
      <c r="B876" s="27" t="inlineStr">
        <is>
          <t>Beatrice Gallagher</t>
        </is>
      </c>
      <c r="C876" s="27" t="inlineStr">
        <is>
          <t>Expert-Led Creator</t>
        </is>
      </c>
      <c r="D876" s="27" t="inlineStr">
        <is>
          <t>AU</t>
        </is>
      </c>
      <c r="E876" s="27" t="inlineStr">
        <is>
          <t>English</t>
        </is>
      </c>
      <c r="F876" s="27" t="inlineStr">
        <is>
          <t>YouTube</t>
        </is>
      </c>
      <c r="G876" s="27" t="inlineStr">
        <is>
          <t>https://www.youtube.com/@beatricegallagher</t>
        </is>
      </c>
      <c r="H876" s="27" t="inlineStr">
        <is>
          <t>UCAU00872236345</t>
        </is>
      </c>
      <c r="I876" s="27" t="inlineStr">
        <is>
          <t>660,000</t>
        </is>
      </c>
      <c r="J876" s="27" t="inlineStr">
        <is>
          <t>2026-10-10</t>
        </is>
      </c>
      <c r="K876" s="27" t="inlineStr">
        <is>
          <t>https://www.youtube.com/watch?v=au00872</t>
        </is>
      </c>
      <c r="L876" s="27" t="n">
        <v>10</v>
      </c>
      <c r="M876" s="27" t="n">
        <v>24</v>
      </c>
      <c r="N876" s="27" t="inlineStr">
        <is>
          <t>Consulting</t>
        </is>
      </c>
      <c r="O876" s="27" t="inlineStr">
        <is>
          <t>https://beatricegallagher.com/advisory</t>
        </is>
      </c>
      <c r="P876" s="27" t="inlineStr">
        <is>
          <t>Editing Backlog &amp; Team Workflow Overhead</t>
        </is>
      </c>
      <c r="Q876" s="27" t="inlineStr">
        <is>
          <t>https://beatricegallagher.com/highlights</t>
        </is>
      </c>
      <c r="R876" s="27" t="inlineStr">
        <is>
          <t>Email</t>
        </is>
      </c>
      <c r="S876" s="27" t="inlineStr">
        <is>
          <t>contact@beatricegallagher.com</t>
        </is>
      </c>
      <c r="T876" s="27" t="inlineStr">
        <is>
          <t>https://beatricegallagher.com/contact</t>
        </is>
      </c>
      <c r="U876" s="27" t="inlineStr">
        <is>
          <t>LinkedIn</t>
        </is>
      </c>
      <c r="V876" s="27" t="inlineStr">
        <is>
          <t>creator business &amp; monetization frameworks, specifically regarding episode 23 on Creator Business &amp; Monetization workflow optimization</t>
        </is>
      </c>
      <c r="W876" s="27" t="inlineStr">
        <is>
          <t>Hi Beatrice, loved your recent piece on 'creator business &amp; monetization frameworks, specifically regarding episode 23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76" s="27" t="inlineStr">
        <is>
          <t>2026-10-18</t>
        </is>
      </c>
      <c r="Y876" s="27" t="inlineStr">
        <is>
          <t>C</t>
        </is>
      </c>
      <c r="Z876" s="27" t="n">
        <v>79.7</v>
      </c>
      <c r="AA876" s="27" t="inlineStr">
        <is>
          <t>Qualified</t>
        </is>
      </c>
      <c r="AB876" s="27" t="inlineStr"/>
      <c r="AC876" s="28">
        <f>IF(A876="","",IF(COUNTIF($H$5:$H$1004,H876)&gt;1,"DUPLICATE","UNIQUE"))</f>
        <v/>
      </c>
      <c r="AD876" s="28">
        <f>IF(A876="","",IF(AA876="Rejected",IF(AB876&lt;&gt;"","REJECTED","ADD REASON"),IF(AND(B876&lt;&gt;"",C876&lt;&gt;"",D876&lt;&gt;"",E876&lt;&gt;"",F876&lt;&gt;"",G876&lt;&gt;"",H876&lt;&gt;"",J876&lt;&gt;"",K876&lt;&gt;"",N876&lt;&gt;"",O876&lt;&gt;"",P876&lt;&gt;"",Q876&lt;&gt;"",R876&lt;&gt;"",S876&lt;&gt;"",T876&lt;&gt;"",V876&lt;&gt;"",W876&lt;&gt;"",X876&lt;&gt;"",Y876&lt;&gt;""),"COMPLETE","MISSING FIELDS")))</f>
        <v/>
      </c>
    </row>
    <row r="877" ht="15" customHeight="1" s="15">
      <c r="A877" s="27" t="inlineStr">
        <is>
          <t>LEAD-0873</t>
        </is>
      </c>
      <c r="B877" s="27" t="inlineStr">
        <is>
          <t>Beatrice Hawthorne</t>
        </is>
      </c>
      <c r="C877" s="27" t="inlineStr">
        <is>
          <t>YouTuber</t>
        </is>
      </c>
      <c r="D877" s="27" t="inlineStr">
        <is>
          <t>AU</t>
        </is>
      </c>
      <c r="E877" s="27" t="inlineStr">
        <is>
          <t>English</t>
        </is>
      </c>
      <c r="F877" s="27" t="inlineStr">
        <is>
          <t>YouTube</t>
        </is>
      </c>
      <c r="G877" s="27" t="inlineStr">
        <is>
          <t>https://www.youtube.com/@beatricehawthorne</t>
        </is>
      </c>
      <c r="H877" s="27" t="inlineStr">
        <is>
          <t>UCAU00873124203</t>
        </is>
      </c>
      <c r="I877" s="27" t="inlineStr">
        <is>
          <t>680,000</t>
        </is>
      </c>
      <c r="J877" s="27" t="inlineStr">
        <is>
          <t>2026-10-11</t>
        </is>
      </c>
      <c r="K877" s="27" t="inlineStr">
        <is>
          <t>https://www.youtube.com/watch?v=au00873</t>
        </is>
      </c>
      <c r="L877" s="27" t="n">
        <v>11</v>
      </c>
      <c r="M877" s="27" t="n">
        <v>25</v>
      </c>
      <c r="N877" s="27" t="inlineStr">
        <is>
          <t>Newsletter Subscription</t>
        </is>
      </c>
      <c r="O877" s="27" t="inlineStr">
        <is>
          <t>https://beatricehawthorne.com/subscribe</t>
        </is>
      </c>
      <c r="P877" s="27" t="inlineStr">
        <is>
          <t>Shorts Repurposing Bottleneck</t>
        </is>
      </c>
      <c r="Q877" s="27" t="inlineStr">
        <is>
          <t>https://beatricehawthorne.com/highlights</t>
        </is>
      </c>
      <c r="R877" s="27" t="inlineStr">
        <is>
          <t>LinkedIn</t>
        </is>
      </c>
      <c r="S877" s="27" t="inlineStr">
        <is>
          <t>https://linkedin.com/in/beatricehawthorne</t>
        </is>
      </c>
      <c r="T877" s="27" t="inlineStr">
        <is>
          <t>https://beatricehawthorne.com/about</t>
        </is>
      </c>
      <c r="U877" s="27" t="inlineStr">
        <is>
          <t>Email</t>
        </is>
      </c>
      <c r="V877" s="27" t="inlineStr">
        <is>
          <t>productivity &amp; personal systems frameworks, specifically regarding episode 24 on Productivity &amp; Personal Systems workflow optimization</t>
        </is>
      </c>
      <c r="W877" s="27" t="inlineStr">
        <is>
          <t>Hi Beatrice, loved your recent piece on 'productivity &amp; personal systems frameworks, specifically regarding episode 24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77" s="27" t="inlineStr">
        <is>
          <t>2026-10-18</t>
        </is>
      </c>
      <c r="Y877" s="27" t="inlineStr">
        <is>
          <t>C</t>
        </is>
      </c>
      <c r="Z877" s="27" t="n">
        <v>79.59999999999999</v>
      </c>
      <c r="AA877" s="27" t="inlineStr">
        <is>
          <t>Qualified</t>
        </is>
      </c>
      <c r="AB877" s="27" t="inlineStr"/>
      <c r="AC877" s="28">
        <f>IF(A877="","",IF(COUNTIF($H$5:$H$1004,H877)&gt;1,"DUPLICATE","UNIQUE"))</f>
        <v/>
      </c>
      <c r="AD877" s="28">
        <f>IF(A877="","",IF(AA877="Rejected",IF(AB877&lt;&gt;"","REJECTED","ADD REASON"),IF(AND(B877&lt;&gt;"",C877&lt;&gt;"",D877&lt;&gt;"",E877&lt;&gt;"",F877&lt;&gt;"",G877&lt;&gt;"",H877&lt;&gt;"",J877&lt;&gt;"",K877&lt;&gt;"",N877&lt;&gt;"",O877&lt;&gt;"",P877&lt;&gt;"",Q877&lt;&gt;"",R877&lt;&gt;"",S877&lt;&gt;"",T877&lt;&gt;"",V877&lt;&gt;"",W877&lt;&gt;"",X877&lt;&gt;"",Y877&lt;&gt;""),"COMPLETE","MISSING FIELDS")))</f>
        <v/>
      </c>
    </row>
    <row r="878" ht="15" customHeight="1" s="15">
      <c r="A878" s="27" t="inlineStr">
        <is>
          <t>LEAD-0874</t>
        </is>
      </c>
      <c r="B878" s="27" t="inlineStr">
        <is>
          <t>Beatrice Ingram</t>
        </is>
      </c>
      <c r="C878" s="27" t="inlineStr">
        <is>
          <t>Podcaster</t>
        </is>
      </c>
      <c r="D878" s="27" t="inlineStr">
        <is>
          <t>AU</t>
        </is>
      </c>
      <c r="E878" s="27" t="inlineStr">
        <is>
          <t>English</t>
        </is>
      </c>
      <c r="F878" s="27" t="inlineStr">
        <is>
          <t>Apple Podcasts</t>
        </is>
      </c>
      <c r="G878" s="27" t="inlineStr">
        <is>
          <t>https://podcasts.apple.com/au/podcast/beatriceingram/id1000874</t>
        </is>
      </c>
      <c r="H878" s="27" t="inlineStr">
        <is>
          <t>AP-AU-1000874</t>
        </is>
      </c>
      <c r="I878" s="27" t="inlineStr">
        <is>
          <t>300,000</t>
        </is>
      </c>
      <c r="J878" s="27" t="inlineStr">
        <is>
          <t>2026-10-12</t>
        </is>
      </c>
      <c r="K878" s="27" t="inlineStr">
        <is>
          <t>https://beatriceingram.com/episodes/75</t>
        </is>
      </c>
      <c r="L878" s="27" t="n">
        <v>12</v>
      </c>
      <c r="M878" s="27" t="n">
        <v>26</v>
      </c>
      <c r="N878" s="27" t="inlineStr">
        <is>
          <t>Affiliate</t>
        </is>
      </c>
      <c r="O878" s="27" t="inlineStr">
        <is>
          <t>https://beatriceingram.com/resources</t>
        </is>
      </c>
      <c r="P878" s="27" t="inlineStr">
        <is>
          <t>Inconsistent Cross-Platform Publishing</t>
        </is>
      </c>
      <c r="Q878" s="27" t="inlineStr">
        <is>
          <t>https://beatriceingram.com/highlights</t>
        </is>
      </c>
      <c r="R878" s="27" t="inlineStr">
        <is>
          <t>X (Twitter)</t>
        </is>
      </c>
      <c r="S878" s="27" t="inlineStr">
        <is>
          <t>https://x.com/beatriceingram</t>
        </is>
      </c>
      <c r="T878" s="27" t="inlineStr">
        <is>
          <t>https://beatriceingram.com/links</t>
        </is>
      </c>
      <c r="U878" s="27" t="inlineStr">
        <is>
          <t>LinkedIn</t>
        </is>
      </c>
      <c r="V878" s="27" t="inlineStr">
        <is>
          <t>leadership &amp; team ops frameworks, specifically regarding episode 25 on Leadership &amp; Team Ops workflow optimization</t>
        </is>
      </c>
      <c r="W878" s="27" t="inlineStr">
        <is>
          <t>Hi Beatrice, loved your recent piece on 'leadership &amp; team ops frameworks, specifically regarding episode 25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78" s="27" t="inlineStr">
        <is>
          <t>2026-10-18</t>
        </is>
      </c>
      <c r="Y878" s="27" t="inlineStr">
        <is>
          <t>C</t>
        </is>
      </c>
      <c r="Z878" s="27" t="n">
        <v>79.59999999999999</v>
      </c>
      <c r="AA878" s="27" t="inlineStr">
        <is>
          <t>Qualified</t>
        </is>
      </c>
      <c r="AB878" s="27" t="inlineStr"/>
      <c r="AC878" s="28">
        <f>IF(A878="","",IF(COUNTIF($H$5:$H$1004,H878)&gt;1,"DUPLICATE","UNIQUE"))</f>
        <v/>
      </c>
      <c r="AD878" s="28">
        <f>IF(A878="","",IF(AA878="Rejected",IF(AB878&lt;&gt;"","REJECTED","ADD REASON"),IF(AND(B878&lt;&gt;"",C878&lt;&gt;"",D878&lt;&gt;"",E878&lt;&gt;"",F878&lt;&gt;"",G878&lt;&gt;"",H878&lt;&gt;"",J878&lt;&gt;"",K878&lt;&gt;"",N878&lt;&gt;"",O878&lt;&gt;"",P878&lt;&gt;"",Q878&lt;&gt;"",R878&lt;&gt;"",S878&lt;&gt;"",T878&lt;&gt;"",V878&lt;&gt;"",W878&lt;&gt;"",X878&lt;&gt;"",Y878&lt;&gt;""),"COMPLETE","MISSING FIELDS")))</f>
        <v/>
      </c>
    </row>
    <row r="879" ht="15" customHeight="1" s="15">
      <c r="A879" s="27" t="inlineStr">
        <is>
          <t>LEAD-0875</t>
        </is>
      </c>
      <c r="B879" s="27" t="inlineStr">
        <is>
          <t>Beatrice Jennings</t>
        </is>
      </c>
      <c r="C879" s="27" t="inlineStr">
        <is>
          <t>Expert-Led Creator</t>
        </is>
      </c>
      <c r="D879" s="27" t="inlineStr">
        <is>
          <t>AU</t>
        </is>
      </c>
      <c r="E879" s="27" t="inlineStr">
        <is>
          <t>English</t>
        </is>
      </c>
      <c r="F879" s="27" t="inlineStr">
        <is>
          <t>LinkedIn</t>
        </is>
      </c>
      <c r="G879" s="27" t="inlineStr">
        <is>
          <t>https://www.linkedin.com/in/beatricejennings</t>
        </is>
      </c>
      <c r="H879" s="27" t="inlineStr">
        <is>
          <t>LI-beatricejennings-0875</t>
        </is>
      </c>
      <c r="I879" s="27" t="inlineStr">
        <is>
          <t>36,000</t>
        </is>
      </c>
      <c r="J879" s="27" t="inlineStr">
        <is>
          <t>2026-10-13</t>
        </is>
      </c>
      <c r="K879" s="27" t="inlineStr">
        <is>
          <t>https://beatricejennings.com/posts/126</t>
        </is>
      </c>
      <c r="L879" s="27" t="n">
        <v>13</v>
      </c>
      <c r="M879" s="27" t="n">
        <v>27</v>
      </c>
      <c r="N879" s="27" t="inlineStr">
        <is>
          <t>Course</t>
        </is>
      </c>
      <c r="O879" s="27" t="inlineStr">
        <is>
          <t>https://beatricejennings.com/academy</t>
        </is>
      </c>
      <c r="P879" s="27" t="inlineStr">
        <is>
          <t>Editing Backlog &amp; Team Workflow Overhead</t>
        </is>
      </c>
      <c r="Q879" s="27" t="inlineStr">
        <is>
          <t>https://beatricejennings.com/highlights</t>
        </is>
      </c>
      <c r="R879" s="27" t="inlineStr">
        <is>
          <t>Email</t>
        </is>
      </c>
      <c r="S879" s="27" t="inlineStr">
        <is>
          <t>hello@beatricejennings.com</t>
        </is>
      </c>
      <c r="T879" s="27" t="inlineStr">
        <is>
          <t>https://beatricejennings.com/work-with-me</t>
        </is>
      </c>
      <c r="U879" s="27" t="inlineStr">
        <is>
          <t>LinkedIn</t>
        </is>
      </c>
      <c r="V879" s="27" t="inlineStr">
        <is>
          <t>b2b marketing &amp; sales frameworks, specifically regarding episode 26 on B2B Marketing &amp; Sales workflow optimization</t>
        </is>
      </c>
      <c r="W879" s="27" t="inlineStr">
        <is>
          <t>Hi Beatrice, loved your recent piece on 'b2b marketing &amp; sales frameworks, specifically regarding episode 26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79" s="27" t="inlineStr">
        <is>
          <t>2026-10-18</t>
        </is>
      </c>
      <c r="Y879" s="27" t="inlineStr">
        <is>
          <t>C</t>
        </is>
      </c>
      <c r="Z879" s="27" t="n">
        <v>79.5</v>
      </c>
      <c r="AA879" s="27" t="inlineStr">
        <is>
          <t>Qualified</t>
        </is>
      </c>
      <c r="AB879" s="27" t="inlineStr"/>
      <c r="AC879" s="28">
        <f>IF(A879="","",IF(COUNTIF($H$5:$H$1004,H879)&gt;1,"DUPLICATE","UNIQUE"))</f>
        <v/>
      </c>
      <c r="AD879" s="28">
        <f>IF(A879="","",IF(AA879="Rejected",IF(AB879&lt;&gt;"","REJECTED","ADD REASON"),IF(AND(B879&lt;&gt;"",C879&lt;&gt;"",D879&lt;&gt;"",E879&lt;&gt;"",F879&lt;&gt;"",G879&lt;&gt;"",H879&lt;&gt;"",J879&lt;&gt;"",K879&lt;&gt;"",N879&lt;&gt;"",O879&lt;&gt;"",P879&lt;&gt;"",Q879&lt;&gt;"",R879&lt;&gt;"",S879&lt;&gt;"",T879&lt;&gt;"",V879&lt;&gt;"",W879&lt;&gt;"",X879&lt;&gt;"",Y879&lt;&gt;""),"COMPLETE","MISSING FIELDS")))</f>
        <v/>
      </c>
    </row>
    <row r="880" ht="15" customHeight="1" s="15">
      <c r="A880" s="27" t="inlineStr">
        <is>
          <t>LEAD-0876</t>
        </is>
      </c>
      <c r="B880" s="27" t="inlineStr">
        <is>
          <t>Beatrice Kingsley</t>
        </is>
      </c>
      <c r="C880" s="27" t="inlineStr">
        <is>
          <t>YouTuber</t>
        </is>
      </c>
      <c r="D880" s="27" t="inlineStr">
        <is>
          <t>AU</t>
        </is>
      </c>
      <c r="E880" s="27" t="inlineStr">
        <is>
          <t>English</t>
        </is>
      </c>
      <c r="F880" s="27" t="inlineStr">
        <is>
          <t>YouTube</t>
        </is>
      </c>
      <c r="G880" s="27" t="inlineStr">
        <is>
          <t>https://www.youtube.com/@beatricekingsley</t>
        </is>
      </c>
      <c r="H880" s="27" t="inlineStr">
        <is>
          <t>UCAU00876321496</t>
        </is>
      </c>
      <c r="I880" s="27" t="inlineStr">
        <is>
          <t>40,000</t>
        </is>
      </c>
      <c r="J880" s="27" t="inlineStr">
        <is>
          <t>2026-10-14</t>
        </is>
      </c>
      <c r="K880" s="27" t="inlineStr">
        <is>
          <t>https://www.youtube.com/watch?v=au00876</t>
        </is>
      </c>
      <c r="L880" s="27" t="n">
        <v>14</v>
      </c>
      <c r="M880" s="27" t="n">
        <v>28</v>
      </c>
      <c r="N880" s="27" t="inlineStr">
        <is>
          <t>Sponsor</t>
        </is>
      </c>
      <c r="O880" s="27" t="inlineStr">
        <is>
          <t>https://beatricekingsley.com/partners</t>
        </is>
      </c>
      <c r="P880" s="27" t="inlineStr">
        <is>
          <t>Multilingual Audio Dubbing</t>
        </is>
      </c>
      <c r="Q880" s="27" t="inlineStr">
        <is>
          <t>https://beatricekingsley.com/highlights</t>
        </is>
      </c>
      <c r="R880" s="27" t="inlineStr">
        <is>
          <t>Email</t>
        </is>
      </c>
      <c r="S880" s="27" t="inlineStr">
        <is>
          <t>contact@beatricekingsley.com</t>
        </is>
      </c>
      <c r="T880" s="27" t="inlineStr">
        <is>
          <t>https://beatricekingsley.com/contact</t>
        </is>
      </c>
      <c r="U880" s="27" t="inlineStr">
        <is>
          <t>LinkedIn</t>
        </is>
      </c>
      <c r="V880" s="27" t="inlineStr">
        <is>
          <t>finance &amp; wealth engineering frameworks, specifically regarding episode 27 on Finance &amp; Wealth Engineering workflow optimization</t>
        </is>
      </c>
      <c r="W880" s="27" t="inlineStr">
        <is>
          <t>Hi Beatrice,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80" s="27" t="inlineStr">
        <is>
          <t>2026-10-18</t>
        </is>
      </c>
      <c r="Y880" s="27" t="inlineStr">
        <is>
          <t>C</t>
        </is>
      </c>
      <c r="Z880" s="27" t="n">
        <v>79.40000000000001</v>
      </c>
      <c r="AA880" s="27" t="inlineStr">
        <is>
          <t>Qualified</t>
        </is>
      </c>
      <c r="AB880" s="27" t="inlineStr"/>
      <c r="AC880" s="28">
        <f>IF(A880="","",IF(COUNTIF($H$5:$H$1004,H880)&gt;1,"DUPLICATE","UNIQUE"))</f>
        <v/>
      </c>
      <c r="AD880" s="28">
        <f>IF(A880="","",IF(AA880="Rejected",IF(AB880&lt;&gt;"","REJECTED","ADD REASON"),IF(AND(B880&lt;&gt;"",C880&lt;&gt;"",D880&lt;&gt;"",E880&lt;&gt;"",F880&lt;&gt;"",G880&lt;&gt;"",H880&lt;&gt;"",J880&lt;&gt;"",K880&lt;&gt;"",N880&lt;&gt;"",O880&lt;&gt;"",P880&lt;&gt;"",Q880&lt;&gt;"",R880&lt;&gt;"",S880&lt;&gt;"",T880&lt;&gt;"",V880&lt;&gt;"",W880&lt;&gt;"",X880&lt;&gt;"",Y880&lt;&gt;""),"COMPLETE","MISSING FIELDS")))</f>
        <v/>
      </c>
    </row>
    <row r="881" ht="15" customHeight="1" s="15">
      <c r="A881" s="27" t="inlineStr">
        <is>
          <t>LEAD-0877</t>
        </is>
      </c>
      <c r="B881" s="27" t="inlineStr">
        <is>
          <t>Beatrice Lockwood</t>
        </is>
      </c>
      <c r="C881" s="27" t="inlineStr">
        <is>
          <t>Podcaster</t>
        </is>
      </c>
      <c r="D881" s="27" t="inlineStr">
        <is>
          <t>AU</t>
        </is>
      </c>
      <c r="E881" s="27" t="inlineStr">
        <is>
          <t>English</t>
        </is>
      </c>
      <c r="F881" s="27" t="inlineStr">
        <is>
          <t>Apple Podcasts</t>
        </is>
      </c>
      <c r="G881" s="27" t="inlineStr">
        <is>
          <t>https://podcasts.apple.com/au/podcast/beatricelockwood/id1000877</t>
        </is>
      </c>
      <c r="H881" s="27" t="inlineStr">
        <is>
          <t>AP-AU-1000877</t>
        </is>
      </c>
      <c r="I881" s="27" t="inlineStr">
        <is>
          <t>36,000</t>
        </is>
      </c>
      <c r="J881" s="27" t="inlineStr">
        <is>
          <t>2026-10-15</t>
        </is>
      </c>
      <c r="K881" s="27" t="inlineStr">
        <is>
          <t>https://beatricelockwood.com/episodes/78</t>
        </is>
      </c>
      <c r="L881" s="27" t="n">
        <v>15</v>
      </c>
      <c r="M881" s="27" t="n">
        <v>29</v>
      </c>
      <c r="N881" s="27" t="inlineStr">
        <is>
          <t>Membership</t>
        </is>
      </c>
      <c r="O881" s="27" t="inlineStr">
        <is>
          <t>https://beatricelockwood.com/community</t>
        </is>
      </c>
      <c r="P881" s="27" t="inlineStr">
        <is>
          <t>Multilingual Audio Dubbing</t>
        </is>
      </c>
      <c r="Q881" s="27" t="inlineStr">
        <is>
          <t>https://beatricelockwood.com/highlights</t>
        </is>
      </c>
      <c r="R881" s="27" t="inlineStr">
        <is>
          <t>LinkedIn</t>
        </is>
      </c>
      <c r="S881" s="27" t="inlineStr">
        <is>
          <t>https://linkedin.com/in/beatricelockwood</t>
        </is>
      </c>
      <c r="T881" s="27" t="inlineStr">
        <is>
          <t>https://beatricelockwood.com/about</t>
        </is>
      </c>
      <c r="U881" s="27" t="inlineStr">
        <is>
          <t>Email</t>
        </is>
      </c>
      <c r="V881" s="27" t="inlineStr">
        <is>
          <t>health &amp; longevity science frameworks, specifically regarding episode 28 on Health &amp; Longevity Science workflow optimization</t>
        </is>
      </c>
      <c r="W881" s="27" t="inlineStr">
        <is>
          <t>Hi Beatrice,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81" s="27" t="inlineStr">
        <is>
          <t>2026-10-18</t>
        </is>
      </c>
      <c r="Y881" s="27" t="inlineStr">
        <is>
          <t>C</t>
        </is>
      </c>
      <c r="Z881" s="27" t="n">
        <v>79.40000000000001</v>
      </c>
      <c r="AA881" s="27" t="inlineStr">
        <is>
          <t>Qualified</t>
        </is>
      </c>
      <c r="AB881" s="27" t="inlineStr"/>
      <c r="AC881" s="28">
        <f>IF(A881="","",IF(COUNTIF($H$5:$H$1004,H881)&gt;1,"DUPLICATE","UNIQUE"))</f>
        <v/>
      </c>
      <c r="AD881" s="28">
        <f>IF(A881="","",IF(AA881="Rejected",IF(AB881&lt;&gt;"","REJECTED","ADD REASON"),IF(AND(B881&lt;&gt;"",C881&lt;&gt;"",D881&lt;&gt;"",E881&lt;&gt;"",F881&lt;&gt;"",G881&lt;&gt;"",H881&lt;&gt;"",J881&lt;&gt;"",K881&lt;&gt;"",N881&lt;&gt;"",O881&lt;&gt;"",P881&lt;&gt;"",Q881&lt;&gt;"",R881&lt;&gt;"",S881&lt;&gt;"",T881&lt;&gt;"",V881&lt;&gt;"",W881&lt;&gt;"",X881&lt;&gt;"",Y881&lt;&gt;""),"COMPLETE","MISSING FIELDS")))</f>
        <v/>
      </c>
    </row>
    <row r="882" ht="15" customHeight="1" s="15">
      <c r="A882" s="27" t="inlineStr">
        <is>
          <t>LEAD-0878</t>
        </is>
      </c>
      <c r="B882" s="27" t="inlineStr">
        <is>
          <t>Beatrice Montague</t>
        </is>
      </c>
      <c r="C882" s="27" t="inlineStr">
        <is>
          <t>YouTuber</t>
        </is>
      </c>
      <c r="D882" s="27" t="inlineStr">
        <is>
          <t>AU</t>
        </is>
      </c>
      <c r="E882" s="27" t="inlineStr">
        <is>
          <t>English</t>
        </is>
      </c>
      <c r="F882" s="27" t="inlineStr">
        <is>
          <t>YouTube</t>
        </is>
      </c>
      <c r="G882" s="27" t="inlineStr">
        <is>
          <t>https://www.youtube.com/@beatricemontague</t>
        </is>
      </c>
      <c r="H882" s="27" t="inlineStr">
        <is>
          <t>UCAU00878351804</t>
        </is>
      </c>
      <c r="I882" s="27" t="inlineStr">
        <is>
          <t>80,000</t>
        </is>
      </c>
      <c r="J882" s="27" t="inlineStr">
        <is>
          <t>2026-10-16</t>
        </is>
      </c>
      <c r="K882" s="27" t="inlineStr">
        <is>
          <t>https://www.youtube.com/watch?v=au00878</t>
        </is>
      </c>
      <c r="L882" s="27" t="n">
        <v>16</v>
      </c>
      <c r="M882" s="27" t="n">
        <v>30</v>
      </c>
      <c r="N882" s="27" t="inlineStr">
        <is>
          <t>Product</t>
        </is>
      </c>
      <c r="O882" s="27" t="inlineStr">
        <is>
          <t>https://beatricemontague.com/shop</t>
        </is>
      </c>
      <c r="P882" s="27" t="inlineStr">
        <is>
          <t>Missing Video Captions &amp; Retention Clips</t>
        </is>
      </c>
      <c r="Q882" s="27" t="inlineStr">
        <is>
          <t>https://beatricemontague.com/highlights</t>
        </is>
      </c>
      <c r="R882" s="27" t="inlineStr">
        <is>
          <t>X (Twitter)</t>
        </is>
      </c>
      <c r="S882" s="27" t="inlineStr">
        <is>
          <t>https://x.com/beatricemontague</t>
        </is>
      </c>
      <c r="T882" s="27" t="inlineStr">
        <is>
          <t>https://beatricemontague.com/links</t>
        </is>
      </c>
      <c r="U882" s="27" t="inlineStr">
        <is>
          <t>LinkedIn</t>
        </is>
      </c>
      <c r="V882" s="27" t="inlineStr">
        <is>
          <t>education &amp; applied coding frameworks, specifically regarding episode 29 on Education &amp; Applied Coding workflow optimization</t>
        </is>
      </c>
      <c r="W882" s="27" t="inlineStr">
        <is>
          <t>Hi Beatrice,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82" s="27" t="inlineStr">
        <is>
          <t>2026-10-18</t>
        </is>
      </c>
      <c r="Y882" s="27" t="inlineStr">
        <is>
          <t>C</t>
        </is>
      </c>
      <c r="Z882" s="27" t="n">
        <v>79.3</v>
      </c>
      <c r="AA882" s="27" t="inlineStr">
        <is>
          <t>Qualified</t>
        </is>
      </c>
      <c r="AB882" s="27" t="inlineStr"/>
      <c r="AC882" s="28">
        <f>IF(A882="","",IF(COUNTIF($H$5:$H$1004,H882)&gt;1,"DUPLICATE","UNIQUE"))</f>
        <v/>
      </c>
      <c r="AD882" s="28">
        <f>IF(A882="","",IF(AA882="Rejected",IF(AB882&lt;&gt;"","REJECTED","ADD REASON"),IF(AND(B882&lt;&gt;"",C882&lt;&gt;"",D882&lt;&gt;"",E882&lt;&gt;"",F882&lt;&gt;"",G882&lt;&gt;"",H882&lt;&gt;"",J882&lt;&gt;"",K882&lt;&gt;"",N882&lt;&gt;"",O882&lt;&gt;"",P882&lt;&gt;"",Q882&lt;&gt;"",R882&lt;&gt;"",S882&lt;&gt;"",T882&lt;&gt;"",V882&lt;&gt;"",W882&lt;&gt;"",X882&lt;&gt;"",Y882&lt;&gt;""),"COMPLETE","MISSING FIELDS")))</f>
        <v/>
      </c>
    </row>
    <row r="883" ht="15" customHeight="1" s="15">
      <c r="A883" s="27" t="inlineStr">
        <is>
          <t>LEAD-0879</t>
        </is>
      </c>
      <c r="B883" s="27" t="inlineStr">
        <is>
          <t>Beatrice Northwood</t>
        </is>
      </c>
      <c r="C883" s="27" t="inlineStr">
        <is>
          <t>Podcaster</t>
        </is>
      </c>
      <c r="D883" s="27" t="inlineStr">
        <is>
          <t>AU</t>
        </is>
      </c>
      <c r="E883" s="27" t="inlineStr">
        <is>
          <t>English</t>
        </is>
      </c>
      <c r="F883" s="27" t="inlineStr">
        <is>
          <t>Apple Podcasts</t>
        </is>
      </c>
      <c r="G883" s="27" t="inlineStr">
        <is>
          <t>https://podcasts.apple.com/au/podcast/beatricenorthwood/id1000879</t>
        </is>
      </c>
      <c r="H883" s="27" t="inlineStr">
        <is>
          <t>AP-AU-1000879</t>
        </is>
      </c>
      <c r="I883" s="27" t="inlineStr">
        <is>
          <t>60,000</t>
        </is>
      </c>
      <c r="J883" s="27" t="inlineStr">
        <is>
          <t>2026-10-17</t>
        </is>
      </c>
      <c r="K883" s="27" t="inlineStr">
        <is>
          <t>https://beatricenorthwood.com/episodes/80</t>
        </is>
      </c>
      <c r="L883" s="27" t="n">
        <v>17</v>
      </c>
      <c r="M883" s="27" t="n">
        <v>31</v>
      </c>
      <c r="N883" s="27" t="inlineStr">
        <is>
          <t>Consulting</t>
        </is>
      </c>
      <c r="O883" s="27" t="inlineStr">
        <is>
          <t>https://beatricenorthwood.com/advisory</t>
        </is>
      </c>
      <c r="P883" s="27" t="inlineStr">
        <is>
          <t>Shorts Repurposing Bottleneck</t>
        </is>
      </c>
      <c r="Q883" s="27" t="inlineStr">
        <is>
          <t>https://beatricenorthwood.com/highlights</t>
        </is>
      </c>
      <c r="R883" s="27" t="inlineStr">
        <is>
          <t>Email</t>
        </is>
      </c>
      <c r="S883" s="27" t="inlineStr">
        <is>
          <t>hello@beatricenorthwood.com</t>
        </is>
      </c>
      <c r="T883" s="27" t="inlineStr">
        <is>
          <t>https://beatricenorthwood.com/work-with-me</t>
        </is>
      </c>
      <c r="U883" s="27" t="inlineStr">
        <is>
          <t>LinkedIn</t>
        </is>
      </c>
      <c r="V883" s="27" t="inlineStr">
        <is>
          <t>e-commerce &amp; digital brands frameworks, specifically regarding episode 30 on E-Commerce &amp; Digital Brands workflow optimization</t>
        </is>
      </c>
      <c r="W883" s="27" t="inlineStr">
        <is>
          <t>Hi Beatrice,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83" s="27" t="inlineStr">
        <is>
          <t>2026-10-18</t>
        </is>
      </c>
      <c r="Y883" s="27" t="inlineStr">
        <is>
          <t>C</t>
        </is>
      </c>
      <c r="Z883" s="27" t="n">
        <v>79.3</v>
      </c>
      <c r="AA883" s="27" t="inlineStr">
        <is>
          <t>Qualified</t>
        </is>
      </c>
      <c r="AB883" s="27" t="inlineStr"/>
      <c r="AC883" s="28">
        <f>IF(A883="","",IF(COUNTIF($H$5:$H$1004,H883)&gt;1,"DUPLICATE","UNIQUE"))</f>
        <v/>
      </c>
      <c r="AD883" s="28">
        <f>IF(A883="","",IF(AA883="Rejected",IF(AB883&lt;&gt;"","REJECTED","ADD REASON"),IF(AND(B883&lt;&gt;"",C883&lt;&gt;"",D883&lt;&gt;"",E883&lt;&gt;"",F883&lt;&gt;"",G883&lt;&gt;"",H883&lt;&gt;"",J883&lt;&gt;"",K883&lt;&gt;"",N883&lt;&gt;"",O883&lt;&gt;"",P883&lt;&gt;"",Q883&lt;&gt;"",R883&lt;&gt;"",S883&lt;&gt;"",T883&lt;&gt;"",V883&lt;&gt;"",W883&lt;&gt;"",X883&lt;&gt;"",Y883&lt;&gt;""),"COMPLETE","MISSING FIELDS")))</f>
        <v/>
      </c>
    </row>
    <row r="884" ht="15" customHeight="1" s="15">
      <c r="A884" s="27" t="inlineStr">
        <is>
          <t>LEAD-0880</t>
        </is>
      </c>
      <c r="B884" s="27" t="inlineStr">
        <is>
          <t>Beatrice Oakley</t>
        </is>
      </c>
      <c r="C884" s="27" t="inlineStr">
        <is>
          <t>YouTuber</t>
        </is>
      </c>
      <c r="D884" s="27" t="inlineStr">
        <is>
          <t>AU</t>
        </is>
      </c>
      <c r="E884" s="27" t="inlineStr">
        <is>
          <t>English</t>
        </is>
      </c>
      <c r="F884" s="27" t="inlineStr">
        <is>
          <t>YouTube</t>
        </is>
      </c>
      <c r="G884" s="27" t="inlineStr">
        <is>
          <t>https://www.youtube.com/@beatriceoakley</t>
        </is>
      </c>
      <c r="H884" s="27" t="inlineStr">
        <is>
          <t>UCAU00880444544</t>
        </is>
      </c>
      <c r="I884" s="27" t="inlineStr">
        <is>
          <t>120,000</t>
        </is>
      </c>
      <c r="J884" s="27" t="inlineStr">
        <is>
          <t>2026-10-10</t>
        </is>
      </c>
      <c r="K884" s="27" t="inlineStr">
        <is>
          <t>https://www.youtube.com/watch?v=au00880</t>
        </is>
      </c>
      <c r="L884" s="27" t="n">
        <v>8</v>
      </c>
      <c r="M884" s="27" t="n">
        <v>32</v>
      </c>
      <c r="N884" s="27" t="inlineStr">
        <is>
          <t>Newsletter Subscription</t>
        </is>
      </c>
      <c r="O884" s="27" t="inlineStr">
        <is>
          <t>https://beatriceoakley.com/subscribe</t>
        </is>
      </c>
      <c r="P884" s="27" t="inlineStr">
        <is>
          <t>Shorts Repurposing Bottleneck</t>
        </is>
      </c>
      <c r="Q884" s="27" t="inlineStr">
        <is>
          <t>https://beatriceoakley.com/highlights</t>
        </is>
      </c>
      <c r="R884" s="27" t="inlineStr">
        <is>
          <t>Email</t>
        </is>
      </c>
      <c r="S884" s="27" t="inlineStr">
        <is>
          <t>contact@beatriceoakley.com</t>
        </is>
      </c>
      <c r="T884" s="27" t="inlineStr">
        <is>
          <t>https://beatriceoakley.com/contact</t>
        </is>
      </c>
      <c r="U884" s="27" t="inlineStr">
        <is>
          <t>LinkedIn</t>
        </is>
      </c>
      <c r="V884" s="27" t="inlineStr">
        <is>
          <t>tech &amp; ai frameworks, specifically regarding episode 31 on Tech &amp; AI workflow optimization</t>
        </is>
      </c>
      <c r="W884" s="27" t="inlineStr">
        <is>
          <t>Hi Beatrice,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84" s="27" t="inlineStr">
        <is>
          <t>2026-10-18</t>
        </is>
      </c>
      <c r="Y884" s="27" t="inlineStr">
        <is>
          <t>C</t>
        </is>
      </c>
      <c r="Z884" s="27" t="n">
        <v>79.2</v>
      </c>
      <c r="AA884" s="27" t="inlineStr">
        <is>
          <t>Qualified</t>
        </is>
      </c>
      <c r="AB884" s="27" t="inlineStr"/>
      <c r="AC884" s="28">
        <f>IF(A884="","",IF(COUNTIF($H$5:$H$1004,H884)&gt;1,"DUPLICATE","UNIQUE"))</f>
        <v/>
      </c>
      <c r="AD884" s="28">
        <f>IF(A884="","",IF(AA884="Rejected",IF(AB884&lt;&gt;"","REJECTED","ADD REASON"),IF(AND(B884&lt;&gt;"",C884&lt;&gt;"",D884&lt;&gt;"",E884&lt;&gt;"",F884&lt;&gt;"",G884&lt;&gt;"",H884&lt;&gt;"",J884&lt;&gt;"",K884&lt;&gt;"",N884&lt;&gt;"",O884&lt;&gt;"",P884&lt;&gt;"",Q884&lt;&gt;"",R884&lt;&gt;"",S884&lt;&gt;"",T884&lt;&gt;"",V884&lt;&gt;"",W884&lt;&gt;"",X884&lt;&gt;"",Y884&lt;&gt;""),"COMPLETE","MISSING FIELDS")))</f>
        <v/>
      </c>
    </row>
    <row r="885" ht="15" customHeight="1" s="15">
      <c r="A885" s="27" t="inlineStr">
        <is>
          <t>LEAD-0881</t>
        </is>
      </c>
      <c r="B885" s="27" t="inlineStr">
        <is>
          <t>Beatrice Pemberton</t>
        </is>
      </c>
      <c r="C885" s="27" t="inlineStr">
        <is>
          <t>Podcaster</t>
        </is>
      </c>
      <c r="D885" s="27" t="inlineStr">
        <is>
          <t>AU</t>
        </is>
      </c>
      <c r="E885" s="27" t="inlineStr">
        <is>
          <t>English</t>
        </is>
      </c>
      <c r="F885" s="27" t="inlineStr">
        <is>
          <t>Apple Podcasts</t>
        </is>
      </c>
      <c r="G885" s="27" t="inlineStr">
        <is>
          <t>https://podcasts.apple.com/au/podcast/beatricepemberton/id1000881</t>
        </is>
      </c>
      <c r="H885" s="27" t="inlineStr">
        <is>
          <t>AP-AU-1000881</t>
        </is>
      </c>
      <c r="I885" s="27" t="inlineStr">
        <is>
          <t>84,000</t>
        </is>
      </c>
      <c r="J885" s="27" t="inlineStr">
        <is>
          <t>2026-10-11</t>
        </is>
      </c>
      <c r="K885" s="27" t="inlineStr">
        <is>
          <t>https://beatricepemberton.com/episodes/82</t>
        </is>
      </c>
      <c r="L885" s="27" t="n">
        <v>9</v>
      </c>
      <c r="M885" s="27" t="n">
        <v>33</v>
      </c>
      <c r="N885" s="27" t="inlineStr">
        <is>
          <t>Affiliate</t>
        </is>
      </c>
      <c r="O885" s="27" t="inlineStr">
        <is>
          <t>https://beatricepemberton.com/resources</t>
        </is>
      </c>
      <c r="P885" s="27" t="inlineStr">
        <is>
          <t>Missing Video Captions &amp; Retention Clips</t>
        </is>
      </c>
      <c r="Q885" s="27" t="inlineStr">
        <is>
          <t>https://beatricepemberton.com/highlights</t>
        </is>
      </c>
      <c r="R885" s="27" t="inlineStr">
        <is>
          <t>LinkedIn</t>
        </is>
      </c>
      <c r="S885" s="27" t="inlineStr">
        <is>
          <t>https://linkedin.com/in/beatricepemberton</t>
        </is>
      </c>
      <c r="T885" s="27" t="inlineStr">
        <is>
          <t>https://beatricepemberton.com/about</t>
        </is>
      </c>
      <c r="U885" s="27" t="inlineStr">
        <is>
          <t>Email</t>
        </is>
      </c>
      <c r="V885" s="27" t="inlineStr">
        <is>
          <t>saas &amp; product growth frameworks, specifically regarding episode 32 on SaaS &amp; Product Growth workflow optimization</t>
        </is>
      </c>
      <c r="W885" s="27" t="inlineStr">
        <is>
          <t>Hi Beatrice,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85" s="27" t="inlineStr">
        <is>
          <t>2026-10-18</t>
        </is>
      </c>
      <c r="Y885" s="27" t="inlineStr">
        <is>
          <t>C</t>
        </is>
      </c>
      <c r="Z885" s="27" t="n">
        <v>79.09999999999999</v>
      </c>
      <c r="AA885" s="27" t="inlineStr">
        <is>
          <t>Qualified</t>
        </is>
      </c>
      <c r="AB885" s="27" t="inlineStr"/>
      <c r="AC885" s="28">
        <f>IF(A885="","",IF(COUNTIF($H$5:$H$1004,H885)&gt;1,"DUPLICATE","UNIQUE"))</f>
        <v/>
      </c>
      <c r="AD885" s="28">
        <f>IF(A885="","",IF(AA885="Rejected",IF(AB885&lt;&gt;"","REJECTED","ADD REASON"),IF(AND(B885&lt;&gt;"",C885&lt;&gt;"",D885&lt;&gt;"",E885&lt;&gt;"",F885&lt;&gt;"",G885&lt;&gt;"",H885&lt;&gt;"",J885&lt;&gt;"",K885&lt;&gt;"",N885&lt;&gt;"",O885&lt;&gt;"",P885&lt;&gt;"",Q885&lt;&gt;"",R885&lt;&gt;"",S885&lt;&gt;"",T885&lt;&gt;"",V885&lt;&gt;"",W885&lt;&gt;"",X885&lt;&gt;"",Y885&lt;&gt;""),"COMPLETE","MISSING FIELDS")))</f>
        <v/>
      </c>
    </row>
    <row r="886" ht="15" customHeight="1" s="15">
      <c r="A886" s="27" t="inlineStr">
        <is>
          <t>LEAD-0882</t>
        </is>
      </c>
      <c r="B886" s="27" t="inlineStr">
        <is>
          <t>Beatrice Quatermain</t>
        </is>
      </c>
      <c r="C886" s="27" t="inlineStr">
        <is>
          <t>Expert-Led Creator</t>
        </is>
      </c>
      <c r="D886" s="27" t="inlineStr">
        <is>
          <t>AU</t>
        </is>
      </c>
      <c r="E886" s="27" t="inlineStr">
        <is>
          <t>English</t>
        </is>
      </c>
      <c r="F886" s="27" t="inlineStr">
        <is>
          <t>YouTube</t>
        </is>
      </c>
      <c r="G886" s="27" t="inlineStr">
        <is>
          <t>https://www.youtube.com/@beatricequatermain</t>
        </is>
      </c>
      <c r="H886" s="27" t="inlineStr">
        <is>
          <t>UCAU00882188053</t>
        </is>
      </c>
      <c r="I886" s="27" t="inlineStr">
        <is>
          <t>160,000</t>
        </is>
      </c>
      <c r="J886" s="27" t="inlineStr">
        <is>
          <t>2026-10-12</t>
        </is>
      </c>
      <c r="K886" s="27" t="inlineStr">
        <is>
          <t>https://www.youtube.com/watch?v=au00882</t>
        </is>
      </c>
      <c r="L886" s="27" t="n">
        <v>10</v>
      </c>
      <c r="M886" s="27" t="n">
        <v>16</v>
      </c>
      <c r="N886" s="27" t="inlineStr">
        <is>
          <t>Course</t>
        </is>
      </c>
      <c r="O886" s="27" t="inlineStr">
        <is>
          <t>https://beatricequatermain.com/academy</t>
        </is>
      </c>
      <c r="P886" s="27" t="inlineStr">
        <is>
          <t>Editing Backlog &amp; Team Workflow Overhead</t>
        </is>
      </c>
      <c r="Q886" s="27" t="inlineStr">
        <is>
          <t>https://beatricequatermain.com/highlights</t>
        </is>
      </c>
      <c r="R886" s="27" t="inlineStr">
        <is>
          <t>X (Twitter)</t>
        </is>
      </c>
      <c r="S886" s="27" t="inlineStr">
        <is>
          <t>https://x.com/beatricequatermain</t>
        </is>
      </c>
      <c r="T886" s="27" t="inlineStr">
        <is>
          <t>https://beatricequatermain.com/links</t>
        </is>
      </c>
      <c r="U886" s="27" t="inlineStr">
        <is>
          <t>LinkedIn</t>
        </is>
      </c>
      <c r="V886" s="27" t="inlineStr">
        <is>
          <t>creator business &amp; monetization frameworks, specifically regarding episode 33 on Creator Business &amp; Monetization workflow optimization</t>
        </is>
      </c>
      <c r="W886" s="27" t="inlineStr">
        <is>
          <t>Hi Beatrice,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86" s="27" t="inlineStr">
        <is>
          <t>2026-10-18</t>
        </is>
      </c>
      <c r="Y886" s="27" t="inlineStr">
        <is>
          <t>C</t>
        </is>
      </c>
      <c r="Z886" s="27" t="n">
        <v>79.09999999999999</v>
      </c>
      <c r="AA886" s="27" t="inlineStr">
        <is>
          <t>Qualified</t>
        </is>
      </c>
      <c r="AB886" s="27" t="inlineStr"/>
      <c r="AC886" s="28">
        <f>IF(A886="","",IF(COUNTIF($H$5:$H$1004,H886)&gt;1,"DUPLICATE","UNIQUE"))</f>
        <v/>
      </c>
      <c r="AD886" s="28">
        <f>IF(A886="","",IF(AA886="Rejected",IF(AB886&lt;&gt;"","REJECTED","ADD REASON"),IF(AND(B886&lt;&gt;"",C886&lt;&gt;"",D886&lt;&gt;"",E886&lt;&gt;"",F886&lt;&gt;"",G886&lt;&gt;"",H886&lt;&gt;"",J886&lt;&gt;"",K886&lt;&gt;"",N886&lt;&gt;"",O886&lt;&gt;"",P886&lt;&gt;"",Q886&lt;&gt;"",R886&lt;&gt;"",S886&lt;&gt;"",T886&lt;&gt;"",V886&lt;&gt;"",W886&lt;&gt;"",X886&lt;&gt;"",Y886&lt;&gt;""),"COMPLETE","MISSING FIELDS")))</f>
        <v/>
      </c>
    </row>
    <row r="887" ht="15" customHeight="1" s="15">
      <c r="A887" s="27" t="inlineStr">
        <is>
          <t>LEAD-0883</t>
        </is>
      </c>
      <c r="B887" s="27" t="inlineStr">
        <is>
          <t>Beatrice Radcliffe</t>
        </is>
      </c>
      <c r="C887" s="27" t="inlineStr">
        <is>
          <t>YouTuber</t>
        </is>
      </c>
      <c r="D887" s="27" t="inlineStr">
        <is>
          <t>AU</t>
        </is>
      </c>
      <c r="E887" s="27" t="inlineStr">
        <is>
          <t>English</t>
        </is>
      </c>
      <c r="F887" s="27" t="inlineStr">
        <is>
          <t>YouTube</t>
        </is>
      </c>
      <c r="G887" s="27" t="inlineStr">
        <is>
          <t>https://www.youtube.com/@beatriceradcliffe</t>
        </is>
      </c>
      <c r="H887" s="27" t="inlineStr">
        <is>
          <t>UCAU00883221917</t>
        </is>
      </c>
      <c r="I887" s="27" t="inlineStr">
        <is>
          <t>180,000</t>
        </is>
      </c>
      <c r="J887" s="27" t="inlineStr">
        <is>
          <t>2026-10-13</t>
        </is>
      </c>
      <c r="K887" s="27" t="inlineStr">
        <is>
          <t>https://www.youtube.com/watch?v=au00883</t>
        </is>
      </c>
      <c r="L887" s="27" t="n">
        <v>11</v>
      </c>
      <c r="M887" s="27" t="n">
        <v>17</v>
      </c>
      <c r="N887" s="27" t="inlineStr">
        <is>
          <t>Sponsor</t>
        </is>
      </c>
      <c r="O887" s="27" t="inlineStr">
        <is>
          <t>https://beatriceradcliffe.com/partners</t>
        </is>
      </c>
      <c r="P887" s="27" t="inlineStr">
        <is>
          <t>Shorts Repurposing Bottleneck</t>
        </is>
      </c>
      <c r="Q887" s="27" t="inlineStr">
        <is>
          <t>https://beatriceradcliffe.com/highlights</t>
        </is>
      </c>
      <c r="R887" s="27" t="inlineStr">
        <is>
          <t>Email</t>
        </is>
      </c>
      <c r="S887" s="27" t="inlineStr">
        <is>
          <t>hello@beatriceradcliffe.com</t>
        </is>
      </c>
      <c r="T887" s="27" t="inlineStr">
        <is>
          <t>https://beatriceradcliffe.com/work-with-me</t>
        </is>
      </c>
      <c r="U887" s="27" t="inlineStr">
        <is>
          <t>LinkedIn</t>
        </is>
      </c>
      <c r="V887" s="27" t="inlineStr">
        <is>
          <t>productivity &amp; personal systems frameworks, specifically regarding episode 34 on Productivity &amp; Personal Systems workflow optimization</t>
        </is>
      </c>
      <c r="W887" s="27" t="inlineStr">
        <is>
          <t>Hi Beatrice,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87" s="27" t="inlineStr">
        <is>
          <t>2026-10-18</t>
        </is>
      </c>
      <c r="Y887" s="27" t="inlineStr">
        <is>
          <t>C</t>
        </is>
      </c>
      <c r="Z887" s="27" t="n">
        <v>79</v>
      </c>
      <c r="AA887" s="27" t="inlineStr">
        <is>
          <t>Qualified</t>
        </is>
      </c>
      <c r="AB887" s="27" t="inlineStr"/>
      <c r="AC887" s="28">
        <f>IF(A887="","",IF(COUNTIF($H$5:$H$1004,H887)&gt;1,"DUPLICATE","UNIQUE"))</f>
        <v/>
      </c>
      <c r="AD887" s="28">
        <f>IF(A887="","",IF(AA887="Rejected",IF(AB887&lt;&gt;"","REJECTED","ADD REASON"),IF(AND(B887&lt;&gt;"",C887&lt;&gt;"",D887&lt;&gt;"",E887&lt;&gt;"",F887&lt;&gt;"",G887&lt;&gt;"",H887&lt;&gt;"",J887&lt;&gt;"",K887&lt;&gt;"",N887&lt;&gt;"",O887&lt;&gt;"",P887&lt;&gt;"",Q887&lt;&gt;"",R887&lt;&gt;"",S887&lt;&gt;"",T887&lt;&gt;"",V887&lt;&gt;"",W887&lt;&gt;"",X887&lt;&gt;"",Y887&lt;&gt;""),"COMPLETE","MISSING FIELDS")))</f>
        <v/>
      </c>
    </row>
    <row r="888" ht="15" customHeight="1" s="15">
      <c r="A888" s="27" t="inlineStr">
        <is>
          <t>LEAD-0884</t>
        </is>
      </c>
      <c r="B888" s="27" t="inlineStr">
        <is>
          <t>Beatrice Stanhope</t>
        </is>
      </c>
      <c r="C888" s="27" t="inlineStr">
        <is>
          <t>Podcaster</t>
        </is>
      </c>
      <c r="D888" s="27" t="inlineStr">
        <is>
          <t>AU</t>
        </is>
      </c>
      <c r="E888" s="27" t="inlineStr">
        <is>
          <t>English</t>
        </is>
      </c>
      <c r="F888" s="27" t="inlineStr">
        <is>
          <t>Apple Podcasts</t>
        </is>
      </c>
      <c r="G888" s="27" t="inlineStr">
        <is>
          <t>https://podcasts.apple.com/au/podcast/beatricestanhope/id1000884</t>
        </is>
      </c>
      <c r="H888" s="27" t="inlineStr">
        <is>
          <t>AP-AU-1000884</t>
        </is>
      </c>
      <c r="I888" s="27" t="inlineStr">
        <is>
          <t>120,000</t>
        </is>
      </c>
      <c r="J888" s="27" t="inlineStr">
        <is>
          <t>2026-10-14</t>
        </is>
      </c>
      <c r="K888" s="27" t="inlineStr">
        <is>
          <t>https://beatricestanhope.com/episodes/85</t>
        </is>
      </c>
      <c r="L888" s="27" t="n">
        <v>12</v>
      </c>
      <c r="M888" s="27" t="n">
        <v>18</v>
      </c>
      <c r="N888" s="27" t="inlineStr">
        <is>
          <t>Membership</t>
        </is>
      </c>
      <c r="O888" s="27" t="inlineStr">
        <is>
          <t>https://beatricestanhope.com/community</t>
        </is>
      </c>
      <c r="P888" s="27" t="inlineStr">
        <is>
          <t>Inconsistent Cross-Platform Publishing</t>
        </is>
      </c>
      <c r="Q888" s="27" t="inlineStr">
        <is>
          <t>https://beatricestanhope.com/highlights</t>
        </is>
      </c>
      <c r="R888" s="27" t="inlineStr">
        <is>
          <t>Email</t>
        </is>
      </c>
      <c r="S888" s="27" t="inlineStr">
        <is>
          <t>contact@beatricestanhope.com</t>
        </is>
      </c>
      <c r="T888" s="27" t="inlineStr">
        <is>
          <t>https://beatricestanhope.com/contact</t>
        </is>
      </c>
      <c r="U888" s="27" t="inlineStr">
        <is>
          <t>LinkedIn</t>
        </is>
      </c>
      <c r="V888" s="27" t="inlineStr">
        <is>
          <t>leadership &amp; team ops frameworks, specifically regarding episode 35 on Leadership &amp; Team Ops workflow optimization</t>
        </is>
      </c>
      <c r="W888" s="27" t="inlineStr">
        <is>
          <t>Hi Beatrice,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88" s="27" t="inlineStr">
        <is>
          <t>2026-10-18</t>
        </is>
      </c>
      <c r="Y888" s="27" t="inlineStr">
        <is>
          <t>C</t>
        </is>
      </c>
      <c r="Z888" s="27" t="n">
        <v>79</v>
      </c>
      <c r="AA888" s="27" t="inlineStr">
        <is>
          <t>Qualified</t>
        </is>
      </c>
      <c r="AB888" s="27" t="inlineStr"/>
      <c r="AC888" s="28">
        <f>IF(A888="","",IF(COUNTIF($H$5:$H$1004,H888)&gt;1,"DUPLICATE","UNIQUE"))</f>
        <v/>
      </c>
      <c r="AD888" s="28">
        <f>IF(A888="","",IF(AA888="Rejected",IF(AB888&lt;&gt;"","REJECTED","ADD REASON"),IF(AND(B888&lt;&gt;"",C888&lt;&gt;"",D888&lt;&gt;"",E888&lt;&gt;"",F888&lt;&gt;"",G888&lt;&gt;"",H888&lt;&gt;"",J888&lt;&gt;"",K888&lt;&gt;"",N888&lt;&gt;"",O888&lt;&gt;"",P888&lt;&gt;"",Q888&lt;&gt;"",R888&lt;&gt;"",S888&lt;&gt;"",T888&lt;&gt;"",V888&lt;&gt;"",W888&lt;&gt;"",X888&lt;&gt;"",Y888&lt;&gt;""),"COMPLETE","MISSING FIELDS")))</f>
        <v/>
      </c>
    </row>
    <row r="889" ht="15" customHeight="1" s="15">
      <c r="A889" s="27" t="inlineStr">
        <is>
          <t>LEAD-0885</t>
        </is>
      </c>
      <c r="B889" s="27" t="inlineStr">
        <is>
          <t>Beatrice Thackery</t>
        </is>
      </c>
      <c r="C889" s="27" t="inlineStr">
        <is>
          <t>Expert-Led Creator</t>
        </is>
      </c>
      <c r="D889" s="27" t="inlineStr">
        <is>
          <t>AU</t>
        </is>
      </c>
      <c r="E889" s="27" t="inlineStr">
        <is>
          <t>English</t>
        </is>
      </c>
      <c r="F889" s="27" t="inlineStr">
        <is>
          <t>LinkedIn</t>
        </is>
      </c>
      <c r="G889" s="27" t="inlineStr">
        <is>
          <t>https://www.linkedin.com/in/beatricethackery</t>
        </is>
      </c>
      <c r="H889" s="27" t="inlineStr">
        <is>
          <t>LI-beatricethackery-0885</t>
        </is>
      </c>
      <c r="I889" s="27" t="inlineStr">
        <is>
          <t>96,000</t>
        </is>
      </c>
      <c r="J889" s="27" t="inlineStr">
        <is>
          <t>2026-10-15</t>
        </is>
      </c>
      <c r="K889" s="27" t="inlineStr">
        <is>
          <t>https://beatricethackery.com/posts/136</t>
        </is>
      </c>
      <c r="L889" s="27" t="n">
        <v>13</v>
      </c>
      <c r="M889" s="27" t="n">
        <v>19</v>
      </c>
      <c r="N889" s="27" t="inlineStr">
        <is>
          <t>Product</t>
        </is>
      </c>
      <c r="O889" s="27" t="inlineStr">
        <is>
          <t>https://beatricethackery.com/shop</t>
        </is>
      </c>
      <c r="P889" s="27" t="inlineStr">
        <is>
          <t>Editing Backlog &amp; Team Workflow Overhead</t>
        </is>
      </c>
      <c r="Q889" s="27" t="inlineStr">
        <is>
          <t>https://beatricethackery.com/highlights</t>
        </is>
      </c>
      <c r="R889" s="27" t="inlineStr">
        <is>
          <t>LinkedIn</t>
        </is>
      </c>
      <c r="S889" s="27" t="inlineStr">
        <is>
          <t>https://linkedin.com/in/beatricethackery</t>
        </is>
      </c>
      <c r="T889" s="27" t="inlineStr">
        <is>
          <t>https://beatricethackery.com/about</t>
        </is>
      </c>
      <c r="U889" s="27" t="inlineStr">
        <is>
          <t>Email</t>
        </is>
      </c>
      <c r="V889" s="27" t="inlineStr">
        <is>
          <t>b2b marketing &amp; sales frameworks, specifically regarding episode 36 on B2B Marketing &amp; Sales workflow optimization</t>
        </is>
      </c>
      <c r="W889" s="27" t="inlineStr">
        <is>
          <t>Hi Beatrice,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89" s="27" t="inlineStr">
        <is>
          <t>2026-10-18</t>
        </is>
      </c>
      <c r="Y889" s="27" t="inlineStr">
        <is>
          <t>C</t>
        </is>
      </c>
      <c r="Z889" s="27" t="n">
        <v>78.90000000000001</v>
      </c>
      <c r="AA889" s="27" t="inlineStr">
        <is>
          <t>Qualified</t>
        </is>
      </c>
      <c r="AB889" s="27" t="inlineStr"/>
      <c r="AC889" s="28">
        <f>IF(A889="","",IF(COUNTIF($H$5:$H$1004,H889)&gt;1,"DUPLICATE","UNIQUE"))</f>
        <v/>
      </c>
      <c r="AD889" s="28">
        <f>IF(A889="","",IF(AA889="Rejected",IF(AB889&lt;&gt;"","REJECTED","ADD REASON"),IF(AND(B889&lt;&gt;"",C889&lt;&gt;"",D889&lt;&gt;"",E889&lt;&gt;"",F889&lt;&gt;"",G889&lt;&gt;"",H889&lt;&gt;"",J889&lt;&gt;"",K889&lt;&gt;"",N889&lt;&gt;"",O889&lt;&gt;"",P889&lt;&gt;"",Q889&lt;&gt;"",R889&lt;&gt;"",S889&lt;&gt;"",T889&lt;&gt;"",V889&lt;&gt;"",W889&lt;&gt;"",X889&lt;&gt;"",Y889&lt;&gt;""),"COMPLETE","MISSING FIELDS")))</f>
        <v/>
      </c>
    </row>
    <row r="890" ht="15" customHeight="1" s="15">
      <c r="A890" s="27" t="inlineStr">
        <is>
          <t>LEAD-0886</t>
        </is>
      </c>
      <c r="B890" s="27" t="inlineStr">
        <is>
          <t>Beatrice Underwood</t>
        </is>
      </c>
      <c r="C890" s="27" t="inlineStr">
        <is>
          <t>YouTuber</t>
        </is>
      </c>
      <c r="D890" s="27" t="inlineStr">
        <is>
          <t>AU</t>
        </is>
      </c>
      <c r="E890" s="27" t="inlineStr">
        <is>
          <t>English</t>
        </is>
      </c>
      <c r="F890" s="27" t="inlineStr">
        <is>
          <t>YouTube</t>
        </is>
      </c>
      <c r="G890" s="27" t="inlineStr">
        <is>
          <t>https://www.youtube.com/@beatriceunderwood</t>
        </is>
      </c>
      <c r="H890" s="27" t="inlineStr">
        <is>
          <t>UCAU00886615681</t>
        </is>
      </c>
      <c r="I890" s="27" t="inlineStr">
        <is>
          <t>240,000</t>
        </is>
      </c>
      <c r="J890" s="27" t="inlineStr">
        <is>
          <t>2026-10-16</t>
        </is>
      </c>
      <c r="K890" s="27" t="inlineStr">
        <is>
          <t>https://www.youtube.com/watch?v=au00886</t>
        </is>
      </c>
      <c r="L890" s="27" t="n">
        <v>14</v>
      </c>
      <c r="M890" s="27" t="n">
        <v>20</v>
      </c>
      <c r="N890" s="27" t="inlineStr">
        <is>
          <t>Consulting</t>
        </is>
      </c>
      <c r="O890" s="27" t="inlineStr">
        <is>
          <t>https://beatriceunderwood.com/advisory</t>
        </is>
      </c>
      <c r="P890" s="27" t="inlineStr">
        <is>
          <t>Multilingual Audio Dubbing</t>
        </is>
      </c>
      <c r="Q890" s="27" t="inlineStr">
        <is>
          <t>https://beatriceunderwood.com/highlights</t>
        </is>
      </c>
      <c r="R890" s="27" t="inlineStr">
        <is>
          <t>X (Twitter)</t>
        </is>
      </c>
      <c r="S890" s="27" t="inlineStr">
        <is>
          <t>https://x.com/beatriceunderwood</t>
        </is>
      </c>
      <c r="T890" s="27" t="inlineStr">
        <is>
          <t>https://beatriceunderwood.com/links</t>
        </is>
      </c>
      <c r="U890" s="27" t="inlineStr">
        <is>
          <t>LinkedIn</t>
        </is>
      </c>
      <c r="V890" s="27" t="inlineStr">
        <is>
          <t>finance &amp; wealth engineering frameworks, specifically regarding episode 37 on Finance &amp; Wealth Engineering workflow optimization</t>
        </is>
      </c>
      <c r="W890" s="27" t="inlineStr">
        <is>
          <t>Hi Beatrice,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90" s="27" t="inlineStr">
        <is>
          <t>2026-10-18</t>
        </is>
      </c>
      <c r="Y890" s="27" t="inlineStr">
        <is>
          <t>C</t>
        </is>
      </c>
      <c r="Z890" s="27" t="n">
        <v>78.8</v>
      </c>
      <c r="AA890" s="27" t="inlineStr">
        <is>
          <t>Qualified</t>
        </is>
      </c>
      <c r="AB890" s="27" t="inlineStr"/>
      <c r="AC890" s="28">
        <f>IF(A890="","",IF(COUNTIF($H$5:$H$1004,H890)&gt;1,"DUPLICATE","UNIQUE"))</f>
        <v/>
      </c>
      <c r="AD890" s="28">
        <f>IF(A890="","",IF(AA890="Rejected",IF(AB890&lt;&gt;"","REJECTED","ADD REASON"),IF(AND(B890&lt;&gt;"",C890&lt;&gt;"",D890&lt;&gt;"",E890&lt;&gt;"",F890&lt;&gt;"",G890&lt;&gt;"",H890&lt;&gt;"",J890&lt;&gt;"",K890&lt;&gt;"",N890&lt;&gt;"",O890&lt;&gt;"",P890&lt;&gt;"",Q890&lt;&gt;"",R890&lt;&gt;"",S890&lt;&gt;"",T890&lt;&gt;"",V890&lt;&gt;"",W890&lt;&gt;"",X890&lt;&gt;"",Y890&lt;&gt;""),"COMPLETE","MISSING FIELDS")))</f>
        <v/>
      </c>
    </row>
    <row r="891" ht="15" customHeight="1" s="15">
      <c r="A891" s="27" t="inlineStr">
        <is>
          <t>LEAD-0887</t>
        </is>
      </c>
      <c r="B891" s="27" t="inlineStr">
        <is>
          <t>Beatrice Vanguard</t>
        </is>
      </c>
      <c r="C891" s="27" t="inlineStr">
        <is>
          <t>Podcaster</t>
        </is>
      </c>
      <c r="D891" s="27" t="inlineStr">
        <is>
          <t>SG</t>
        </is>
      </c>
      <c r="E891" s="27" t="inlineStr">
        <is>
          <t>English</t>
        </is>
      </c>
      <c r="F891" s="27" t="inlineStr">
        <is>
          <t>Apple Podcasts</t>
        </is>
      </c>
      <c r="G891" s="27" t="inlineStr">
        <is>
          <t>https://podcasts.apple.com/sg/podcast/beatricevanguard/id1000887</t>
        </is>
      </c>
      <c r="H891" s="27" t="inlineStr">
        <is>
          <t>AP-SG-1000887</t>
        </is>
      </c>
      <c r="I891" s="27" t="inlineStr">
        <is>
          <t>156,000</t>
        </is>
      </c>
      <c r="J891" s="27" t="inlineStr">
        <is>
          <t>2026-10-17</t>
        </is>
      </c>
      <c r="K891" s="27" t="inlineStr">
        <is>
          <t>https://beatricevanguard.com/episodes/88</t>
        </is>
      </c>
      <c r="L891" s="27" t="n">
        <v>15</v>
      </c>
      <c r="M891" s="27" t="n">
        <v>21</v>
      </c>
      <c r="N891" s="27" t="inlineStr">
        <is>
          <t>Newsletter Subscription</t>
        </is>
      </c>
      <c r="O891" s="27" t="inlineStr">
        <is>
          <t>https://beatricevanguard.com/subscribe</t>
        </is>
      </c>
      <c r="P891" s="27" t="inlineStr">
        <is>
          <t>Multilingual Audio Dubbing</t>
        </is>
      </c>
      <c r="Q891" s="27" t="inlineStr">
        <is>
          <t>https://beatricevanguard.com/highlights</t>
        </is>
      </c>
      <c r="R891" s="27" t="inlineStr">
        <is>
          <t>Email</t>
        </is>
      </c>
      <c r="S891" s="27" t="inlineStr">
        <is>
          <t>hello@beatricevanguard.com</t>
        </is>
      </c>
      <c r="T891" s="27" t="inlineStr">
        <is>
          <t>https://beatricevanguard.com/work-with-me</t>
        </is>
      </c>
      <c r="U891" s="27" t="inlineStr">
        <is>
          <t>LinkedIn</t>
        </is>
      </c>
      <c r="V891" s="27" t="inlineStr">
        <is>
          <t>health &amp; longevity science frameworks, specifically regarding episode 38 on Health &amp; Longevity Science workflow optimization</t>
        </is>
      </c>
      <c r="W891" s="27" t="inlineStr">
        <is>
          <t>Hi Beatrice,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91" s="27" t="inlineStr">
        <is>
          <t>2026-10-18</t>
        </is>
      </c>
      <c r="Y891" s="27" t="inlineStr">
        <is>
          <t>C</t>
        </is>
      </c>
      <c r="Z891" s="27" t="n">
        <v>78.8</v>
      </c>
      <c r="AA891" s="27" t="inlineStr">
        <is>
          <t>Qualified</t>
        </is>
      </c>
      <c r="AB891" s="27" t="inlineStr"/>
      <c r="AC891" s="28">
        <f>IF(A891="","",IF(COUNTIF($H$5:$H$1004,H891)&gt;1,"DUPLICATE","UNIQUE"))</f>
        <v/>
      </c>
      <c r="AD891" s="28">
        <f>IF(A891="","",IF(AA891="Rejected",IF(AB891&lt;&gt;"","REJECTED","ADD REASON"),IF(AND(B891&lt;&gt;"",C891&lt;&gt;"",D891&lt;&gt;"",E891&lt;&gt;"",F891&lt;&gt;"",G891&lt;&gt;"",H891&lt;&gt;"",J891&lt;&gt;"",K891&lt;&gt;"",N891&lt;&gt;"",O891&lt;&gt;"",P891&lt;&gt;"",Q891&lt;&gt;"",R891&lt;&gt;"",S891&lt;&gt;"",T891&lt;&gt;"",V891&lt;&gt;"",W891&lt;&gt;"",X891&lt;&gt;"",Y891&lt;&gt;""),"COMPLETE","MISSING FIELDS")))</f>
        <v/>
      </c>
    </row>
    <row r="892" ht="15" customHeight="1" s="15">
      <c r="A892" s="27" t="inlineStr">
        <is>
          <t>LEAD-0888</t>
        </is>
      </c>
      <c r="B892" s="27" t="inlineStr">
        <is>
          <t>Beatrice Waverly</t>
        </is>
      </c>
      <c r="C892" s="27" t="inlineStr">
        <is>
          <t>YouTuber</t>
        </is>
      </c>
      <c r="D892" s="27" t="inlineStr">
        <is>
          <t>SG</t>
        </is>
      </c>
      <c r="E892" s="27" t="inlineStr">
        <is>
          <t>English</t>
        </is>
      </c>
      <c r="F892" s="27" t="inlineStr">
        <is>
          <t>YouTube</t>
        </is>
      </c>
      <c r="G892" s="27" t="inlineStr">
        <is>
          <t>https://www.youtube.com/@beatricewaverly</t>
        </is>
      </c>
      <c r="H892" s="27" t="inlineStr">
        <is>
          <t>UCSG00888622986</t>
        </is>
      </c>
      <c r="I892" s="27" t="inlineStr">
        <is>
          <t>280,000</t>
        </is>
      </c>
      <c r="J892" s="27" t="inlineStr">
        <is>
          <t>2026-10-10</t>
        </is>
      </c>
      <c r="K892" s="27" t="inlineStr">
        <is>
          <t>https://www.youtube.com/watch?v=sg00888</t>
        </is>
      </c>
      <c r="L892" s="27" t="n">
        <v>16</v>
      </c>
      <c r="M892" s="27" t="n">
        <v>22</v>
      </c>
      <c r="N892" s="27" t="inlineStr">
        <is>
          <t>Affiliate</t>
        </is>
      </c>
      <c r="O892" s="27" t="inlineStr">
        <is>
          <t>https://beatricewaverly.com/resources</t>
        </is>
      </c>
      <c r="P892" s="27" t="inlineStr">
        <is>
          <t>Missing Video Captions &amp; Retention Clips</t>
        </is>
      </c>
      <c r="Q892" s="27" t="inlineStr">
        <is>
          <t>https://beatricewaverly.com/highlights</t>
        </is>
      </c>
      <c r="R892" s="27" t="inlineStr">
        <is>
          <t>Email</t>
        </is>
      </c>
      <c r="S892" s="27" t="inlineStr">
        <is>
          <t>contact@beatricewaverly.com</t>
        </is>
      </c>
      <c r="T892" s="27" t="inlineStr">
        <is>
          <t>https://beatricewaverly.com/contact</t>
        </is>
      </c>
      <c r="U892" s="27" t="inlineStr">
        <is>
          <t>LinkedIn</t>
        </is>
      </c>
      <c r="V892" s="27" t="inlineStr">
        <is>
          <t>education &amp; applied coding frameworks, specifically regarding episode 39 on Education &amp; Applied Coding workflow optimization</t>
        </is>
      </c>
      <c r="W892" s="27" t="inlineStr">
        <is>
          <t>Hi Beatrice,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92" s="27" t="inlineStr">
        <is>
          <t>2026-10-18</t>
        </is>
      </c>
      <c r="Y892" s="27" t="inlineStr">
        <is>
          <t>C</t>
        </is>
      </c>
      <c r="Z892" s="27" t="n">
        <v>78.7</v>
      </c>
      <c r="AA892" s="27" t="inlineStr">
        <is>
          <t>Qualified</t>
        </is>
      </c>
      <c r="AB892" s="27" t="inlineStr"/>
      <c r="AC892" s="28">
        <f>IF(A892="","",IF(COUNTIF($H$5:$H$1004,H892)&gt;1,"DUPLICATE","UNIQUE"))</f>
        <v/>
      </c>
      <c r="AD892" s="28">
        <f>IF(A892="","",IF(AA892="Rejected",IF(AB892&lt;&gt;"","REJECTED","ADD REASON"),IF(AND(B892&lt;&gt;"",C892&lt;&gt;"",D892&lt;&gt;"",E892&lt;&gt;"",F892&lt;&gt;"",G892&lt;&gt;"",H892&lt;&gt;"",J892&lt;&gt;"",K892&lt;&gt;"",N892&lt;&gt;"",O892&lt;&gt;"",P892&lt;&gt;"",Q892&lt;&gt;"",R892&lt;&gt;"",S892&lt;&gt;"",T892&lt;&gt;"",V892&lt;&gt;"",W892&lt;&gt;"",X892&lt;&gt;"",Y892&lt;&gt;""),"COMPLETE","MISSING FIELDS")))</f>
        <v/>
      </c>
    </row>
    <row r="893" ht="15" customHeight="1" s="15">
      <c r="A893" s="27" t="inlineStr">
        <is>
          <t>LEAD-0889</t>
        </is>
      </c>
      <c r="B893" s="27" t="inlineStr">
        <is>
          <t>Beatrice Yardley</t>
        </is>
      </c>
      <c r="C893" s="27" t="inlineStr">
        <is>
          <t>Podcaster</t>
        </is>
      </c>
      <c r="D893" s="27" t="inlineStr">
        <is>
          <t>SG</t>
        </is>
      </c>
      <c r="E893" s="27" t="inlineStr">
        <is>
          <t>English</t>
        </is>
      </c>
      <c r="F893" s="27" t="inlineStr">
        <is>
          <t>Apple Podcasts</t>
        </is>
      </c>
      <c r="G893" s="27" t="inlineStr">
        <is>
          <t>https://podcasts.apple.com/sg/podcast/beatriceyardley/id1000889</t>
        </is>
      </c>
      <c r="H893" s="27" t="inlineStr">
        <is>
          <t>AP-SG-1000889</t>
        </is>
      </c>
      <c r="I893" s="27" t="inlineStr">
        <is>
          <t>180,000</t>
        </is>
      </c>
      <c r="J893" s="27" t="inlineStr">
        <is>
          <t>2026-10-11</t>
        </is>
      </c>
      <c r="K893" s="27" t="inlineStr">
        <is>
          <t>https://beatriceyardley.com/episodes/90</t>
        </is>
      </c>
      <c r="L893" s="27" t="n">
        <v>17</v>
      </c>
      <c r="M893" s="27" t="n">
        <v>23</v>
      </c>
      <c r="N893" s="27" t="inlineStr">
        <is>
          <t>Course</t>
        </is>
      </c>
      <c r="O893" s="27" t="inlineStr">
        <is>
          <t>https://beatriceyardley.com/academy</t>
        </is>
      </c>
      <c r="P893" s="27" t="inlineStr">
        <is>
          <t>Shorts Repurposing Bottleneck</t>
        </is>
      </c>
      <c r="Q893" s="27" t="inlineStr">
        <is>
          <t>https://beatriceyardley.com/highlights</t>
        </is>
      </c>
      <c r="R893" s="27" t="inlineStr">
        <is>
          <t>LinkedIn</t>
        </is>
      </c>
      <c r="S893" s="27" t="inlineStr">
        <is>
          <t>https://linkedin.com/in/beatriceyardley</t>
        </is>
      </c>
      <c r="T893" s="27" t="inlineStr">
        <is>
          <t>https://beatriceyardley.com/about</t>
        </is>
      </c>
      <c r="U893" s="27" t="inlineStr">
        <is>
          <t>Email</t>
        </is>
      </c>
      <c r="V893" s="27" t="inlineStr">
        <is>
          <t>e-commerce &amp; digital brands frameworks, specifically regarding episode 40 on E-Commerce &amp; Digital Brands workflow optimization</t>
        </is>
      </c>
      <c r="W893" s="27" t="inlineStr">
        <is>
          <t>Hi Beatrice,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93" s="27" t="inlineStr">
        <is>
          <t>2026-10-18</t>
        </is>
      </c>
      <c r="Y893" s="27" t="inlineStr">
        <is>
          <t>C</t>
        </is>
      </c>
      <c r="Z893" s="27" t="n">
        <v>78.7</v>
      </c>
      <c r="AA893" s="27" t="inlineStr">
        <is>
          <t>Qualified</t>
        </is>
      </c>
      <c r="AB893" s="27" t="inlineStr"/>
      <c r="AC893" s="28">
        <f>IF(A893="","",IF(COUNTIF($H$5:$H$1004,H893)&gt;1,"DUPLICATE","UNIQUE"))</f>
        <v/>
      </c>
      <c r="AD893" s="28">
        <f>IF(A893="","",IF(AA893="Rejected",IF(AB893&lt;&gt;"","REJECTED","ADD REASON"),IF(AND(B893&lt;&gt;"",C893&lt;&gt;"",D893&lt;&gt;"",E893&lt;&gt;"",F893&lt;&gt;"",G893&lt;&gt;"",H893&lt;&gt;"",J893&lt;&gt;"",K893&lt;&gt;"",N893&lt;&gt;"",O893&lt;&gt;"",P893&lt;&gt;"",Q893&lt;&gt;"",R893&lt;&gt;"",S893&lt;&gt;"",T893&lt;&gt;"",V893&lt;&gt;"",W893&lt;&gt;"",X893&lt;&gt;"",Y893&lt;&gt;""),"COMPLETE","MISSING FIELDS")))</f>
        <v/>
      </c>
    </row>
    <row r="894" ht="15" customHeight="1" s="15">
      <c r="A894" s="27" t="inlineStr">
        <is>
          <t>LEAD-0890</t>
        </is>
      </c>
      <c r="B894" s="27" t="inlineStr">
        <is>
          <t>Beatrice Zimmerman</t>
        </is>
      </c>
      <c r="C894" s="27" t="inlineStr">
        <is>
          <t>YouTuber</t>
        </is>
      </c>
      <c r="D894" s="27" t="inlineStr">
        <is>
          <t>SG</t>
        </is>
      </c>
      <c r="E894" s="27" t="inlineStr">
        <is>
          <t>English</t>
        </is>
      </c>
      <c r="F894" s="27" t="inlineStr">
        <is>
          <t>YouTube</t>
        </is>
      </c>
      <c r="G894" s="27" t="inlineStr">
        <is>
          <t>https://www.youtube.com/@beatricezimmerman</t>
        </is>
      </c>
      <c r="H894" s="27" t="inlineStr">
        <is>
          <t>UCSG00890081180</t>
        </is>
      </c>
      <c r="I894" s="27" t="inlineStr">
        <is>
          <t>320,000</t>
        </is>
      </c>
      <c r="J894" s="27" t="inlineStr">
        <is>
          <t>2026-10-12</t>
        </is>
      </c>
      <c r="K894" s="27" t="inlineStr">
        <is>
          <t>https://www.youtube.com/watch?v=sg00890</t>
        </is>
      </c>
      <c r="L894" s="27" t="n">
        <v>8</v>
      </c>
      <c r="M894" s="27" t="n">
        <v>24</v>
      </c>
      <c r="N894" s="27" t="inlineStr">
        <is>
          <t>Sponsor</t>
        </is>
      </c>
      <c r="O894" s="27" t="inlineStr">
        <is>
          <t>https://beatricezimmerman.com/partners</t>
        </is>
      </c>
      <c r="P894" s="27" t="inlineStr">
        <is>
          <t>Shorts Repurposing Bottleneck</t>
        </is>
      </c>
      <c r="Q894" s="27" t="inlineStr">
        <is>
          <t>https://beatricezimmerman.com/highlights</t>
        </is>
      </c>
      <c r="R894" s="27" t="inlineStr">
        <is>
          <t>X (Twitter)</t>
        </is>
      </c>
      <c r="S894" s="27" t="inlineStr">
        <is>
          <t>https://x.com/beatricezimmerman</t>
        </is>
      </c>
      <c r="T894" s="27" t="inlineStr">
        <is>
          <t>https://beatricezimmerman.com/links</t>
        </is>
      </c>
      <c r="U894" s="27" t="inlineStr">
        <is>
          <t>LinkedIn</t>
        </is>
      </c>
      <c r="V894" s="27" t="inlineStr">
        <is>
          <t>tech &amp; ai frameworks, specifically regarding episode 41 on Tech &amp; AI workflow optimization</t>
        </is>
      </c>
      <c r="W894" s="27" t="inlineStr">
        <is>
          <t>Hi Beatrice,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94" s="27" t="inlineStr">
        <is>
          <t>2026-10-18</t>
        </is>
      </c>
      <c r="Y894" s="27" t="inlineStr">
        <is>
          <t>C</t>
        </is>
      </c>
      <c r="Z894" s="27" t="n">
        <v>78.59999999999999</v>
      </c>
      <c r="AA894" s="27" t="inlineStr">
        <is>
          <t>Qualified</t>
        </is>
      </c>
      <c r="AB894" s="27" t="inlineStr"/>
      <c r="AC894" s="28">
        <f>IF(A894="","",IF(COUNTIF($H$5:$H$1004,H894)&gt;1,"DUPLICATE","UNIQUE"))</f>
        <v/>
      </c>
      <c r="AD894" s="28">
        <f>IF(A894="","",IF(AA894="Rejected",IF(AB894&lt;&gt;"","REJECTED","ADD REASON"),IF(AND(B894&lt;&gt;"",C894&lt;&gt;"",D894&lt;&gt;"",E894&lt;&gt;"",F894&lt;&gt;"",G894&lt;&gt;"",H894&lt;&gt;"",J894&lt;&gt;"",K894&lt;&gt;"",N894&lt;&gt;"",O894&lt;&gt;"",P894&lt;&gt;"",Q894&lt;&gt;"",R894&lt;&gt;"",S894&lt;&gt;"",T894&lt;&gt;"",V894&lt;&gt;"",W894&lt;&gt;"",X894&lt;&gt;"",Y894&lt;&gt;""),"COMPLETE","MISSING FIELDS")))</f>
        <v/>
      </c>
    </row>
    <row r="895" ht="15" customHeight="1" s="15">
      <c r="A895" s="27" t="inlineStr">
        <is>
          <t>LEAD-0891</t>
        </is>
      </c>
      <c r="B895" s="27" t="inlineStr">
        <is>
          <t>Beatrice Sterling</t>
        </is>
      </c>
      <c r="C895" s="27" t="inlineStr">
        <is>
          <t>Podcaster</t>
        </is>
      </c>
      <c r="D895" s="27" t="inlineStr">
        <is>
          <t>SG</t>
        </is>
      </c>
      <c r="E895" s="27" t="inlineStr">
        <is>
          <t>English</t>
        </is>
      </c>
      <c r="F895" s="27" t="inlineStr">
        <is>
          <t>Apple Podcasts</t>
        </is>
      </c>
      <c r="G895" s="27" t="inlineStr">
        <is>
          <t>https://podcasts.apple.com/sg/podcast/beatricesterling/id1000891</t>
        </is>
      </c>
      <c r="H895" s="27" t="inlineStr">
        <is>
          <t>AP-SG-1000891</t>
        </is>
      </c>
      <c r="I895" s="27" t="inlineStr">
        <is>
          <t>204,000</t>
        </is>
      </c>
      <c r="J895" s="27" t="inlineStr">
        <is>
          <t>2026-10-13</t>
        </is>
      </c>
      <c r="K895" s="27" t="inlineStr">
        <is>
          <t>https://beatricesterling.com/episodes/92</t>
        </is>
      </c>
      <c r="L895" s="27" t="n">
        <v>9</v>
      </c>
      <c r="M895" s="27" t="n">
        <v>25</v>
      </c>
      <c r="N895" s="27" t="inlineStr">
        <is>
          <t>Membership</t>
        </is>
      </c>
      <c r="O895" s="27" t="inlineStr">
        <is>
          <t>https://beatricesterling.com/community</t>
        </is>
      </c>
      <c r="P895" s="27" t="inlineStr">
        <is>
          <t>Missing Video Captions &amp; Retention Clips</t>
        </is>
      </c>
      <c r="Q895" s="27" t="inlineStr">
        <is>
          <t>https://beatricesterling.com/highlights</t>
        </is>
      </c>
      <c r="R895" s="27" t="inlineStr">
        <is>
          <t>Email</t>
        </is>
      </c>
      <c r="S895" s="27" t="inlineStr">
        <is>
          <t>hello@beatricesterling.com</t>
        </is>
      </c>
      <c r="T895" s="27" t="inlineStr">
        <is>
          <t>https://beatricesterling.com/work-with-me</t>
        </is>
      </c>
      <c r="U895" s="27" t="inlineStr">
        <is>
          <t>LinkedIn</t>
        </is>
      </c>
      <c r="V895" s="27" t="inlineStr">
        <is>
          <t>saas &amp; product growth frameworks, specifically regarding episode 42 on SaaS &amp; Product Growth workflow optimization</t>
        </is>
      </c>
      <c r="W895" s="27" t="inlineStr">
        <is>
          <t>Hi Beatrice,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95" s="27" t="inlineStr">
        <is>
          <t>2026-10-18</t>
        </is>
      </c>
      <c r="Y895" s="27" t="inlineStr">
        <is>
          <t>C</t>
        </is>
      </c>
      <c r="Z895" s="27" t="n">
        <v>78.5</v>
      </c>
      <c r="AA895" s="27" t="inlineStr">
        <is>
          <t>Qualified</t>
        </is>
      </c>
      <c r="AB895" s="27" t="inlineStr"/>
      <c r="AC895" s="28">
        <f>IF(A895="","",IF(COUNTIF($H$5:$H$1004,H895)&gt;1,"DUPLICATE","UNIQUE"))</f>
        <v/>
      </c>
      <c r="AD895" s="28">
        <f>IF(A895="","",IF(AA895="Rejected",IF(AB895&lt;&gt;"","REJECTED","ADD REASON"),IF(AND(B895&lt;&gt;"",C895&lt;&gt;"",D895&lt;&gt;"",E895&lt;&gt;"",F895&lt;&gt;"",G895&lt;&gt;"",H895&lt;&gt;"",J895&lt;&gt;"",K895&lt;&gt;"",N895&lt;&gt;"",O895&lt;&gt;"",P895&lt;&gt;"",Q895&lt;&gt;"",R895&lt;&gt;"",S895&lt;&gt;"",T895&lt;&gt;"",V895&lt;&gt;"",W895&lt;&gt;"",X895&lt;&gt;"",Y895&lt;&gt;""),"COMPLETE","MISSING FIELDS")))</f>
        <v/>
      </c>
    </row>
    <row r="896" ht="15" customHeight="1" s="15">
      <c r="A896" s="27" t="inlineStr">
        <is>
          <t>LEAD-0892</t>
        </is>
      </c>
      <c r="B896" s="27" t="inlineStr">
        <is>
          <t>Beatrice Cross</t>
        </is>
      </c>
      <c r="C896" s="27" t="inlineStr">
        <is>
          <t>Expert-Led Creator</t>
        </is>
      </c>
      <c r="D896" s="27" t="inlineStr">
        <is>
          <t>SG</t>
        </is>
      </c>
      <c r="E896" s="27" t="inlineStr">
        <is>
          <t>English</t>
        </is>
      </c>
      <c r="F896" s="27" t="inlineStr">
        <is>
          <t>YouTube</t>
        </is>
      </c>
      <c r="G896" s="27" t="inlineStr">
        <is>
          <t>https://www.youtube.com/@beatricecross</t>
        </is>
      </c>
      <c r="H896" s="27" t="inlineStr">
        <is>
          <t>UCSG00892198140</t>
        </is>
      </c>
      <c r="I896" s="27" t="inlineStr">
        <is>
          <t>360,000</t>
        </is>
      </c>
      <c r="J896" s="27" t="inlineStr">
        <is>
          <t>2026-10-14</t>
        </is>
      </c>
      <c r="K896" s="27" t="inlineStr">
        <is>
          <t>https://www.youtube.com/watch?v=sg00892</t>
        </is>
      </c>
      <c r="L896" s="27" t="n">
        <v>10</v>
      </c>
      <c r="M896" s="27" t="n">
        <v>26</v>
      </c>
      <c r="N896" s="27" t="inlineStr">
        <is>
          <t>Product</t>
        </is>
      </c>
      <c r="O896" s="27" t="inlineStr">
        <is>
          <t>https://beatricecross.com/shop</t>
        </is>
      </c>
      <c r="P896" s="27" t="inlineStr">
        <is>
          <t>Editing Backlog &amp; Team Workflow Overhead</t>
        </is>
      </c>
      <c r="Q896" s="27" t="inlineStr">
        <is>
          <t>https://beatricecross.com/highlights</t>
        </is>
      </c>
      <c r="R896" s="27" t="inlineStr">
        <is>
          <t>Email</t>
        </is>
      </c>
      <c r="S896" s="27" t="inlineStr">
        <is>
          <t>contact@beatricecross.com</t>
        </is>
      </c>
      <c r="T896" s="27" t="inlineStr">
        <is>
          <t>https://beatricecross.com/contact</t>
        </is>
      </c>
      <c r="U896" s="27" t="inlineStr">
        <is>
          <t>LinkedIn</t>
        </is>
      </c>
      <c r="V896" s="27" t="inlineStr">
        <is>
          <t>creator business &amp; monetization frameworks, specifically regarding episode 43 on Creator Business &amp; Monetization workflow optimization</t>
        </is>
      </c>
      <c r="W896" s="27" t="inlineStr">
        <is>
          <t>Hi Beatrice,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96" s="27" t="inlineStr">
        <is>
          <t>2026-10-18</t>
        </is>
      </c>
      <c r="Y896" s="27" t="inlineStr">
        <is>
          <t>C</t>
        </is>
      </c>
      <c r="Z896" s="27" t="n">
        <v>78.5</v>
      </c>
      <c r="AA896" s="27" t="inlineStr">
        <is>
          <t>Qualified</t>
        </is>
      </c>
      <c r="AB896" s="27" t="inlineStr"/>
      <c r="AC896" s="28">
        <f>IF(A896="","",IF(COUNTIF($H$5:$H$1004,H896)&gt;1,"DUPLICATE","UNIQUE"))</f>
        <v/>
      </c>
      <c r="AD896" s="28">
        <f>IF(A896="","",IF(AA896="Rejected",IF(AB896&lt;&gt;"","REJECTED","ADD REASON"),IF(AND(B896&lt;&gt;"",C896&lt;&gt;"",D896&lt;&gt;"",E896&lt;&gt;"",F896&lt;&gt;"",G896&lt;&gt;"",H896&lt;&gt;"",J896&lt;&gt;"",K896&lt;&gt;"",N896&lt;&gt;"",O896&lt;&gt;"",P896&lt;&gt;"",Q896&lt;&gt;"",R896&lt;&gt;"",S896&lt;&gt;"",T896&lt;&gt;"",V896&lt;&gt;"",W896&lt;&gt;"",X896&lt;&gt;"",Y896&lt;&gt;""),"COMPLETE","MISSING FIELDS")))</f>
        <v/>
      </c>
    </row>
    <row r="897" ht="15" customHeight="1" s="15">
      <c r="A897" s="27" t="inlineStr">
        <is>
          <t>LEAD-0893</t>
        </is>
      </c>
      <c r="B897" s="27" t="inlineStr">
        <is>
          <t>Beatrice Vance</t>
        </is>
      </c>
      <c r="C897" s="27" t="inlineStr">
        <is>
          <t>YouTuber</t>
        </is>
      </c>
      <c r="D897" s="27" t="inlineStr">
        <is>
          <t>SG</t>
        </is>
      </c>
      <c r="E897" s="27" t="inlineStr">
        <is>
          <t>English</t>
        </is>
      </c>
      <c r="F897" s="27" t="inlineStr">
        <is>
          <t>YouTube</t>
        </is>
      </c>
      <c r="G897" s="27" t="inlineStr">
        <is>
          <t>https://www.youtube.com/@beatricevance</t>
        </is>
      </c>
      <c r="H897" s="27" t="inlineStr">
        <is>
          <t>UCSG00893959605</t>
        </is>
      </c>
      <c r="I897" s="27" t="inlineStr">
        <is>
          <t>380,000</t>
        </is>
      </c>
      <c r="J897" s="27" t="inlineStr">
        <is>
          <t>2026-10-15</t>
        </is>
      </c>
      <c r="K897" s="27" t="inlineStr">
        <is>
          <t>https://www.youtube.com/watch?v=sg00893</t>
        </is>
      </c>
      <c r="L897" s="27" t="n">
        <v>11</v>
      </c>
      <c r="M897" s="27" t="n">
        <v>27</v>
      </c>
      <c r="N897" s="27" t="inlineStr">
        <is>
          <t>Consulting</t>
        </is>
      </c>
      <c r="O897" s="27" t="inlineStr">
        <is>
          <t>https://beatricevance.com/advisory</t>
        </is>
      </c>
      <c r="P897" s="27" t="inlineStr">
        <is>
          <t>Shorts Repurposing Bottleneck</t>
        </is>
      </c>
      <c r="Q897" s="27" t="inlineStr">
        <is>
          <t>https://beatricevance.com/highlights</t>
        </is>
      </c>
      <c r="R897" s="27" t="inlineStr">
        <is>
          <t>LinkedIn</t>
        </is>
      </c>
      <c r="S897" s="27" t="inlineStr">
        <is>
          <t>https://linkedin.com/in/beatricevance</t>
        </is>
      </c>
      <c r="T897" s="27" t="inlineStr">
        <is>
          <t>https://beatricevance.com/about</t>
        </is>
      </c>
      <c r="U897" s="27" t="inlineStr">
        <is>
          <t>Email</t>
        </is>
      </c>
      <c r="V897" s="27" t="inlineStr">
        <is>
          <t>productivity &amp; personal systems frameworks, specifically regarding episode 44 on Productivity &amp; Personal Systems workflow optimization</t>
        </is>
      </c>
      <c r="W897" s="27" t="inlineStr">
        <is>
          <t>Hi Beatrice,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97" s="27" t="inlineStr">
        <is>
          <t>2026-10-18</t>
        </is>
      </c>
      <c r="Y897" s="27" t="inlineStr">
        <is>
          <t>C</t>
        </is>
      </c>
      <c r="Z897" s="27" t="n">
        <v>78.40000000000001</v>
      </c>
      <c r="AA897" s="27" t="inlineStr">
        <is>
          <t>Qualified</t>
        </is>
      </c>
      <c r="AB897" s="27" t="inlineStr"/>
      <c r="AC897" s="28">
        <f>IF(A897="","",IF(COUNTIF($H$5:$H$1004,H897)&gt;1,"DUPLICATE","UNIQUE"))</f>
        <v/>
      </c>
      <c r="AD897" s="28">
        <f>IF(A897="","",IF(AA897="Rejected",IF(AB897&lt;&gt;"","REJECTED","ADD REASON"),IF(AND(B897&lt;&gt;"",C897&lt;&gt;"",D897&lt;&gt;"",E897&lt;&gt;"",F897&lt;&gt;"",G897&lt;&gt;"",H897&lt;&gt;"",J897&lt;&gt;"",K897&lt;&gt;"",N897&lt;&gt;"",O897&lt;&gt;"",P897&lt;&gt;"",Q897&lt;&gt;"",R897&lt;&gt;"",S897&lt;&gt;"",T897&lt;&gt;"",V897&lt;&gt;"",W897&lt;&gt;"",X897&lt;&gt;"",Y897&lt;&gt;""),"COMPLETE","MISSING FIELDS")))</f>
        <v/>
      </c>
    </row>
    <row r="898" ht="15" customHeight="1" s="15">
      <c r="A898" s="27" t="inlineStr">
        <is>
          <t>LEAD-0894</t>
        </is>
      </c>
      <c r="B898" s="27" t="inlineStr">
        <is>
          <t>Beatrice Mercer</t>
        </is>
      </c>
      <c r="C898" s="27" t="inlineStr">
        <is>
          <t>Podcaster</t>
        </is>
      </c>
      <c r="D898" s="27" t="inlineStr">
        <is>
          <t>SG</t>
        </is>
      </c>
      <c r="E898" s="27" t="inlineStr">
        <is>
          <t>English</t>
        </is>
      </c>
      <c r="F898" s="27" t="inlineStr">
        <is>
          <t>Apple Podcasts</t>
        </is>
      </c>
      <c r="G898" s="27" t="inlineStr">
        <is>
          <t>https://podcasts.apple.com/sg/podcast/beatricemercer/id1000894</t>
        </is>
      </c>
      <c r="H898" s="27" t="inlineStr">
        <is>
          <t>AP-SG-1000894</t>
        </is>
      </c>
      <c r="I898" s="27" t="inlineStr">
        <is>
          <t>240,000</t>
        </is>
      </c>
      <c r="J898" s="27" t="inlineStr">
        <is>
          <t>2026-10-16</t>
        </is>
      </c>
      <c r="K898" s="27" t="inlineStr">
        <is>
          <t>https://beatricemercer.com/episodes/95</t>
        </is>
      </c>
      <c r="L898" s="27" t="n">
        <v>12</v>
      </c>
      <c r="M898" s="27" t="n">
        <v>28</v>
      </c>
      <c r="N898" s="27" t="inlineStr">
        <is>
          <t>Newsletter Subscription</t>
        </is>
      </c>
      <c r="O898" s="27" t="inlineStr">
        <is>
          <t>https://beatricemercer.com/subscribe</t>
        </is>
      </c>
      <c r="P898" s="27" t="inlineStr">
        <is>
          <t>Inconsistent Cross-Platform Publishing</t>
        </is>
      </c>
      <c r="Q898" s="27" t="inlineStr">
        <is>
          <t>https://beatricemercer.com/highlights</t>
        </is>
      </c>
      <c r="R898" s="27" t="inlineStr">
        <is>
          <t>X (Twitter)</t>
        </is>
      </c>
      <c r="S898" s="27" t="inlineStr">
        <is>
          <t>https://x.com/beatricemercer</t>
        </is>
      </c>
      <c r="T898" s="27" t="inlineStr">
        <is>
          <t>https://beatricemercer.com/links</t>
        </is>
      </c>
      <c r="U898" s="27" t="inlineStr">
        <is>
          <t>LinkedIn</t>
        </is>
      </c>
      <c r="V898" s="27" t="inlineStr">
        <is>
          <t>leadership &amp; team ops frameworks, specifically regarding episode 45 on Leadership &amp; Team Ops workflow optimization</t>
        </is>
      </c>
      <c r="W898" s="27" t="inlineStr">
        <is>
          <t>Hi Beatrice,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98" s="27" t="inlineStr">
        <is>
          <t>2026-10-18</t>
        </is>
      </c>
      <c r="Y898" s="27" t="inlineStr">
        <is>
          <t>C</t>
        </is>
      </c>
      <c r="Z898" s="27" t="n">
        <v>78.40000000000001</v>
      </c>
      <c r="AA898" s="27" t="inlineStr">
        <is>
          <t>Qualified</t>
        </is>
      </c>
      <c r="AB898" s="27" t="inlineStr"/>
      <c r="AC898" s="28">
        <f>IF(A898="","",IF(COUNTIF($H$5:$H$1004,H898)&gt;1,"DUPLICATE","UNIQUE"))</f>
        <v/>
      </c>
      <c r="AD898" s="28">
        <f>IF(A898="","",IF(AA898="Rejected",IF(AB898&lt;&gt;"","REJECTED","ADD REASON"),IF(AND(B898&lt;&gt;"",C898&lt;&gt;"",D898&lt;&gt;"",E898&lt;&gt;"",F898&lt;&gt;"",G898&lt;&gt;"",H898&lt;&gt;"",J898&lt;&gt;"",K898&lt;&gt;"",N898&lt;&gt;"",O898&lt;&gt;"",P898&lt;&gt;"",Q898&lt;&gt;"",R898&lt;&gt;"",S898&lt;&gt;"",T898&lt;&gt;"",V898&lt;&gt;"",W898&lt;&gt;"",X898&lt;&gt;"",Y898&lt;&gt;""),"COMPLETE","MISSING FIELDS")))</f>
        <v/>
      </c>
    </row>
    <row r="899" ht="15" customHeight="1" s="15">
      <c r="A899" s="27" t="inlineStr">
        <is>
          <t>LEAD-0895</t>
        </is>
      </c>
      <c r="B899" s="27" t="inlineStr">
        <is>
          <t>Beatrice Sinclair</t>
        </is>
      </c>
      <c r="C899" s="27" t="inlineStr">
        <is>
          <t>Expert-Led Creator</t>
        </is>
      </c>
      <c r="D899" s="27" t="inlineStr">
        <is>
          <t>SG</t>
        </is>
      </c>
      <c r="E899" s="27" t="inlineStr">
        <is>
          <t>English</t>
        </is>
      </c>
      <c r="F899" s="27" t="inlineStr">
        <is>
          <t>LinkedIn</t>
        </is>
      </c>
      <c r="G899" s="27" t="inlineStr">
        <is>
          <t>https://www.linkedin.com/in/beatricesinclair</t>
        </is>
      </c>
      <c r="H899" s="27" t="inlineStr">
        <is>
          <t>LI-beatricesinclair-0895</t>
        </is>
      </c>
      <c r="I899" s="27" t="inlineStr">
        <is>
          <t>156,000</t>
        </is>
      </c>
      <c r="J899" s="27" t="inlineStr">
        <is>
          <t>2026-10-17</t>
        </is>
      </c>
      <c r="K899" s="27" t="inlineStr">
        <is>
          <t>https://beatricesinclair.com/posts/146</t>
        </is>
      </c>
      <c r="L899" s="27" t="n">
        <v>13</v>
      </c>
      <c r="M899" s="27" t="n">
        <v>29</v>
      </c>
      <c r="N899" s="27" t="inlineStr">
        <is>
          <t>Affiliate</t>
        </is>
      </c>
      <c r="O899" s="27" t="inlineStr">
        <is>
          <t>https://beatricesinclair.com/resources</t>
        </is>
      </c>
      <c r="P899" s="27" t="inlineStr">
        <is>
          <t>Editing Backlog &amp; Team Workflow Overhead</t>
        </is>
      </c>
      <c r="Q899" s="27" t="inlineStr">
        <is>
          <t>https://beatricesinclair.com/highlights</t>
        </is>
      </c>
      <c r="R899" s="27" t="inlineStr">
        <is>
          <t>Email</t>
        </is>
      </c>
      <c r="S899" s="27" t="inlineStr">
        <is>
          <t>hello@beatricesinclair.com</t>
        </is>
      </c>
      <c r="T899" s="27" t="inlineStr">
        <is>
          <t>https://beatricesinclair.com/work-with-me</t>
        </is>
      </c>
      <c r="U899" s="27" t="inlineStr">
        <is>
          <t>LinkedIn</t>
        </is>
      </c>
      <c r="V899" s="27" t="inlineStr">
        <is>
          <t>b2b marketing &amp; sales frameworks, specifically regarding episode 46 on B2B Marketing &amp; Sales workflow optimization</t>
        </is>
      </c>
      <c r="W899" s="27" t="inlineStr">
        <is>
          <t>Hi Beatrice,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899" s="27" t="inlineStr">
        <is>
          <t>2026-10-18</t>
        </is>
      </c>
      <c r="Y899" s="27" t="inlineStr">
        <is>
          <t>C</t>
        </is>
      </c>
      <c r="Z899" s="27" t="n">
        <v>78.3</v>
      </c>
      <c r="AA899" s="27" t="inlineStr">
        <is>
          <t>Qualified</t>
        </is>
      </c>
      <c r="AB899" s="27" t="inlineStr"/>
      <c r="AC899" s="28">
        <f>IF(A899="","",IF(COUNTIF($H$5:$H$1004,H899)&gt;1,"DUPLICATE","UNIQUE"))</f>
        <v/>
      </c>
      <c r="AD899" s="28">
        <f>IF(A899="","",IF(AA899="Rejected",IF(AB899&lt;&gt;"","REJECTED","ADD REASON"),IF(AND(B899&lt;&gt;"",C899&lt;&gt;"",D899&lt;&gt;"",E899&lt;&gt;"",F899&lt;&gt;"",G899&lt;&gt;"",H899&lt;&gt;"",J899&lt;&gt;"",K899&lt;&gt;"",N899&lt;&gt;"",O899&lt;&gt;"",P899&lt;&gt;"",Q899&lt;&gt;"",R899&lt;&gt;"",S899&lt;&gt;"",T899&lt;&gt;"",V899&lt;&gt;"",W899&lt;&gt;"",X899&lt;&gt;"",Y899&lt;&gt;""),"COMPLETE","MISSING FIELDS")))</f>
        <v/>
      </c>
    </row>
    <row r="900" ht="15" customHeight="1" s="15">
      <c r="A900" s="27" t="inlineStr">
        <is>
          <t>LEAD-0896</t>
        </is>
      </c>
      <c r="B900" s="27" t="inlineStr">
        <is>
          <t>Beatrice Carrington</t>
        </is>
      </c>
      <c r="C900" s="27" t="inlineStr">
        <is>
          <t>YouTuber</t>
        </is>
      </c>
      <c r="D900" s="27" t="inlineStr">
        <is>
          <t>SG</t>
        </is>
      </c>
      <c r="E900" s="27" t="inlineStr">
        <is>
          <t>English</t>
        </is>
      </c>
      <c r="F900" s="27" t="inlineStr">
        <is>
          <t>YouTube</t>
        </is>
      </c>
      <c r="G900" s="27" t="inlineStr">
        <is>
          <t>https://www.youtube.com/@beatricecarrington</t>
        </is>
      </c>
      <c r="H900" s="27" t="inlineStr">
        <is>
          <t>UCSG00896049376</t>
        </is>
      </c>
      <c r="I900" s="27" t="inlineStr">
        <is>
          <t>440,000</t>
        </is>
      </c>
      <c r="J900" s="27" t="inlineStr">
        <is>
          <t>2026-10-10</t>
        </is>
      </c>
      <c r="K900" s="27" t="inlineStr">
        <is>
          <t>https://www.youtube.com/watch?v=sg00896</t>
        </is>
      </c>
      <c r="L900" s="27" t="n">
        <v>14</v>
      </c>
      <c r="M900" s="27" t="n">
        <v>30</v>
      </c>
      <c r="N900" s="27" t="inlineStr">
        <is>
          <t>Course</t>
        </is>
      </c>
      <c r="O900" s="27" t="inlineStr">
        <is>
          <t>https://beatricecarrington.com/academy</t>
        </is>
      </c>
      <c r="P900" s="27" t="inlineStr">
        <is>
          <t>Multilingual Audio Dubbing</t>
        </is>
      </c>
      <c r="Q900" s="27" t="inlineStr">
        <is>
          <t>https://beatricecarrington.com/highlights</t>
        </is>
      </c>
      <c r="R900" s="27" t="inlineStr">
        <is>
          <t>Email</t>
        </is>
      </c>
      <c r="S900" s="27" t="inlineStr">
        <is>
          <t>contact@beatricecarrington.com</t>
        </is>
      </c>
      <c r="T900" s="27" t="inlineStr">
        <is>
          <t>https://beatricecarrington.com/contact</t>
        </is>
      </c>
      <c r="U900" s="27" t="inlineStr">
        <is>
          <t>LinkedIn</t>
        </is>
      </c>
      <c r="V900" s="27" t="inlineStr">
        <is>
          <t>finance &amp; wealth engineering frameworks, specifically regarding episode 47 on Finance &amp; Wealth Engineering workflow optimization</t>
        </is>
      </c>
      <c r="W900" s="27" t="inlineStr">
        <is>
          <t>Hi Beatrice,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00" s="27" t="inlineStr">
        <is>
          <t>2026-10-18</t>
        </is>
      </c>
      <c r="Y900" s="27" t="inlineStr">
        <is>
          <t>C</t>
        </is>
      </c>
      <c r="Z900" s="27" t="n">
        <v>78.2</v>
      </c>
      <c r="AA900" s="27" t="inlineStr">
        <is>
          <t>Qualified</t>
        </is>
      </c>
      <c r="AB900" s="27" t="inlineStr"/>
      <c r="AC900" s="28">
        <f>IF(A900="","",IF(COUNTIF($H$5:$H$1004,H900)&gt;1,"DUPLICATE","UNIQUE"))</f>
        <v/>
      </c>
      <c r="AD900" s="28">
        <f>IF(A900="","",IF(AA900="Rejected",IF(AB900&lt;&gt;"","REJECTED","ADD REASON"),IF(AND(B900&lt;&gt;"",C900&lt;&gt;"",D900&lt;&gt;"",E900&lt;&gt;"",F900&lt;&gt;"",G900&lt;&gt;"",H900&lt;&gt;"",J900&lt;&gt;"",K900&lt;&gt;"",N900&lt;&gt;"",O900&lt;&gt;"",P900&lt;&gt;"",Q900&lt;&gt;"",R900&lt;&gt;"",S900&lt;&gt;"",T900&lt;&gt;"",V900&lt;&gt;"",W900&lt;&gt;"",X900&lt;&gt;"",Y900&lt;&gt;""),"COMPLETE","MISSING FIELDS")))</f>
        <v/>
      </c>
    </row>
    <row r="901" ht="15" customHeight="1" s="15">
      <c r="A901" s="27" t="inlineStr">
        <is>
          <t>LEAD-0897</t>
        </is>
      </c>
      <c r="B901" s="27" t="inlineStr">
        <is>
          <t>Beatrice Prescott</t>
        </is>
      </c>
      <c r="C901" s="27" t="inlineStr">
        <is>
          <t>Podcaster</t>
        </is>
      </c>
      <c r="D901" s="27" t="inlineStr">
        <is>
          <t>SG</t>
        </is>
      </c>
      <c r="E901" s="27" t="inlineStr">
        <is>
          <t>English</t>
        </is>
      </c>
      <c r="F901" s="27" t="inlineStr">
        <is>
          <t>Apple Podcasts</t>
        </is>
      </c>
      <c r="G901" s="27" t="inlineStr">
        <is>
          <t>https://podcasts.apple.com/sg/podcast/beatriceprescott/id1000897</t>
        </is>
      </c>
      <c r="H901" s="27" t="inlineStr">
        <is>
          <t>AP-SG-1000897</t>
        </is>
      </c>
      <c r="I901" s="27" t="inlineStr">
        <is>
          <t>276,000</t>
        </is>
      </c>
      <c r="J901" s="27" t="inlineStr">
        <is>
          <t>2026-10-11</t>
        </is>
      </c>
      <c r="K901" s="27" t="inlineStr">
        <is>
          <t>https://beatriceprescott.com/episodes/98</t>
        </is>
      </c>
      <c r="L901" s="27" t="n">
        <v>15</v>
      </c>
      <c r="M901" s="27" t="n">
        <v>31</v>
      </c>
      <c r="N901" s="27" t="inlineStr">
        <is>
          <t>Sponsor</t>
        </is>
      </c>
      <c r="O901" s="27" t="inlineStr">
        <is>
          <t>https://beatriceprescott.com/partners</t>
        </is>
      </c>
      <c r="P901" s="27" t="inlineStr">
        <is>
          <t>Multilingual Audio Dubbing</t>
        </is>
      </c>
      <c r="Q901" s="27" t="inlineStr">
        <is>
          <t>https://beatriceprescott.com/highlights</t>
        </is>
      </c>
      <c r="R901" s="27" t="inlineStr">
        <is>
          <t>LinkedIn</t>
        </is>
      </c>
      <c r="S901" s="27" t="inlineStr">
        <is>
          <t>https://linkedin.com/in/beatriceprescott</t>
        </is>
      </c>
      <c r="T901" s="27" t="inlineStr">
        <is>
          <t>https://beatriceprescott.com/about</t>
        </is>
      </c>
      <c r="U901" s="27" t="inlineStr">
        <is>
          <t>Email</t>
        </is>
      </c>
      <c r="V901" s="27" t="inlineStr">
        <is>
          <t>health &amp; longevity science frameworks, specifically regarding episode 48 on Health &amp; Longevity Science workflow optimization</t>
        </is>
      </c>
      <c r="W901" s="27" t="inlineStr">
        <is>
          <t>Hi Beatrice,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01" s="27" t="inlineStr">
        <is>
          <t>2026-10-18</t>
        </is>
      </c>
      <c r="Y901" s="27" t="inlineStr">
        <is>
          <t>C</t>
        </is>
      </c>
      <c r="Z901" s="27" t="n">
        <v>78.2</v>
      </c>
      <c r="AA901" s="27" t="inlineStr">
        <is>
          <t>Qualified</t>
        </is>
      </c>
      <c r="AB901" s="27" t="inlineStr"/>
      <c r="AC901" s="28">
        <f>IF(A901="","",IF(COUNTIF($H$5:$H$1004,H901)&gt;1,"DUPLICATE","UNIQUE"))</f>
        <v/>
      </c>
      <c r="AD901" s="28">
        <f>IF(A901="","",IF(AA901="Rejected",IF(AB901&lt;&gt;"","REJECTED","ADD REASON"),IF(AND(B901&lt;&gt;"",C901&lt;&gt;"",D901&lt;&gt;"",E901&lt;&gt;"",F901&lt;&gt;"",G901&lt;&gt;"",H901&lt;&gt;"",J901&lt;&gt;"",K901&lt;&gt;"",N901&lt;&gt;"",O901&lt;&gt;"",P901&lt;&gt;"",Q901&lt;&gt;"",R901&lt;&gt;"",S901&lt;&gt;"",T901&lt;&gt;"",V901&lt;&gt;"",W901&lt;&gt;"",X901&lt;&gt;"",Y901&lt;&gt;""),"COMPLETE","MISSING FIELDS")))</f>
        <v/>
      </c>
    </row>
    <row r="902" ht="15" customHeight="1" s="15">
      <c r="A902" s="27" t="inlineStr">
        <is>
          <t>LEAD-0898</t>
        </is>
      </c>
      <c r="B902" s="27" t="inlineStr">
        <is>
          <t>Beatrice Winslow</t>
        </is>
      </c>
      <c r="C902" s="27" t="inlineStr">
        <is>
          <t>YouTuber</t>
        </is>
      </c>
      <c r="D902" s="27" t="inlineStr">
        <is>
          <t>SG</t>
        </is>
      </c>
      <c r="E902" s="27" t="inlineStr">
        <is>
          <t>English</t>
        </is>
      </c>
      <c r="F902" s="27" t="inlineStr">
        <is>
          <t>YouTube</t>
        </is>
      </c>
      <c r="G902" s="27" t="inlineStr">
        <is>
          <t>https://www.youtube.com/@beatricewinslow</t>
        </is>
      </c>
      <c r="H902" s="27" t="inlineStr">
        <is>
          <t>UCSG00898472129</t>
        </is>
      </c>
      <c r="I902" s="27" t="inlineStr">
        <is>
          <t>480,000</t>
        </is>
      </c>
      <c r="J902" s="27" t="inlineStr">
        <is>
          <t>2026-10-12</t>
        </is>
      </c>
      <c r="K902" s="27" t="inlineStr">
        <is>
          <t>https://www.youtube.com/watch?v=sg00898</t>
        </is>
      </c>
      <c r="L902" s="27" t="n">
        <v>16</v>
      </c>
      <c r="M902" s="27" t="n">
        <v>32</v>
      </c>
      <c r="N902" s="27" t="inlineStr">
        <is>
          <t>Membership</t>
        </is>
      </c>
      <c r="O902" s="27" t="inlineStr">
        <is>
          <t>https://beatricewinslow.com/community</t>
        </is>
      </c>
      <c r="P902" s="27" t="inlineStr">
        <is>
          <t>Missing Video Captions &amp; Retention Clips</t>
        </is>
      </c>
      <c r="Q902" s="27" t="inlineStr">
        <is>
          <t>https://beatricewinslow.com/highlights</t>
        </is>
      </c>
      <c r="R902" s="27" t="inlineStr">
        <is>
          <t>X (Twitter)</t>
        </is>
      </c>
      <c r="S902" s="27" t="inlineStr">
        <is>
          <t>https://x.com/beatricewinslow</t>
        </is>
      </c>
      <c r="T902" s="27" t="inlineStr">
        <is>
          <t>https://beatricewinslow.com/links</t>
        </is>
      </c>
      <c r="U902" s="27" t="inlineStr">
        <is>
          <t>LinkedIn</t>
        </is>
      </c>
      <c r="V902" s="27" t="inlineStr">
        <is>
          <t>education &amp; applied coding frameworks, specifically regarding episode 49 on Education &amp; Applied Coding workflow optimization</t>
        </is>
      </c>
      <c r="W902" s="27" t="inlineStr">
        <is>
          <t>Hi Beatrice,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02" s="27" t="inlineStr">
        <is>
          <t>2026-10-18</t>
        </is>
      </c>
      <c r="Y902" s="27" t="inlineStr">
        <is>
          <t>C</t>
        </is>
      </c>
      <c r="Z902" s="27" t="n">
        <v>78.09999999999999</v>
      </c>
      <c r="AA902" s="27" t="inlineStr">
        <is>
          <t>Qualified</t>
        </is>
      </c>
      <c r="AB902" s="27" t="inlineStr"/>
      <c r="AC902" s="28">
        <f>IF(A902="","",IF(COUNTIF($H$5:$H$1004,H902)&gt;1,"DUPLICATE","UNIQUE"))</f>
        <v/>
      </c>
      <c r="AD902" s="28">
        <f>IF(A902="","",IF(AA902="Rejected",IF(AB902&lt;&gt;"","REJECTED","ADD REASON"),IF(AND(B902&lt;&gt;"",C902&lt;&gt;"",D902&lt;&gt;"",E902&lt;&gt;"",F902&lt;&gt;"",G902&lt;&gt;"",H902&lt;&gt;"",J902&lt;&gt;"",K902&lt;&gt;"",N902&lt;&gt;"",O902&lt;&gt;"",P902&lt;&gt;"",Q902&lt;&gt;"",R902&lt;&gt;"",S902&lt;&gt;"",T902&lt;&gt;"",V902&lt;&gt;"",W902&lt;&gt;"",X902&lt;&gt;"",Y902&lt;&gt;""),"COMPLETE","MISSING FIELDS")))</f>
        <v/>
      </c>
    </row>
    <row r="903" ht="15" customHeight="1" s="15">
      <c r="A903" s="27" t="inlineStr">
        <is>
          <t>LEAD-0899</t>
        </is>
      </c>
      <c r="B903" s="27" t="inlineStr">
        <is>
          <t>Beatrice Bradford</t>
        </is>
      </c>
      <c r="C903" s="27" t="inlineStr">
        <is>
          <t>Podcaster</t>
        </is>
      </c>
      <c r="D903" s="27" t="inlineStr">
        <is>
          <t>SG</t>
        </is>
      </c>
      <c r="E903" s="27" t="inlineStr">
        <is>
          <t>English</t>
        </is>
      </c>
      <c r="F903" s="27" t="inlineStr">
        <is>
          <t>Apple Podcasts</t>
        </is>
      </c>
      <c r="G903" s="27" t="inlineStr">
        <is>
          <t>https://podcasts.apple.com/sg/podcast/beatricebradford/id1000899</t>
        </is>
      </c>
      <c r="H903" s="27" t="inlineStr">
        <is>
          <t>AP-SG-1000899</t>
        </is>
      </c>
      <c r="I903" s="27" t="inlineStr">
        <is>
          <t>300,000</t>
        </is>
      </c>
      <c r="J903" s="27" t="inlineStr">
        <is>
          <t>2026-10-13</t>
        </is>
      </c>
      <c r="K903" s="27" t="inlineStr">
        <is>
          <t>https://beatricebradford.com/episodes/100</t>
        </is>
      </c>
      <c r="L903" s="27" t="n">
        <v>17</v>
      </c>
      <c r="M903" s="27" t="n">
        <v>33</v>
      </c>
      <c r="N903" s="27" t="inlineStr">
        <is>
          <t>Product</t>
        </is>
      </c>
      <c r="O903" s="27" t="inlineStr">
        <is>
          <t>https://beatricebradford.com/shop</t>
        </is>
      </c>
      <c r="P903" s="27" t="inlineStr">
        <is>
          <t>Shorts Repurposing Bottleneck</t>
        </is>
      </c>
      <c r="Q903" s="27" t="inlineStr">
        <is>
          <t>https://beatricebradford.com/highlights</t>
        </is>
      </c>
      <c r="R903" s="27" t="inlineStr">
        <is>
          <t>Email</t>
        </is>
      </c>
      <c r="S903" s="27" t="inlineStr">
        <is>
          <t>hello@beatricebradford.com</t>
        </is>
      </c>
      <c r="T903" s="27" t="inlineStr">
        <is>
          <t>https://beatricebradford.com/work-with-me</t>
        </is>
      </c>
      <c r="U903" s="27" t="inlineStr">
        <is>
          <t>LinkedIn</t>
        </is>
      </c>
      <c r="V903" s="27" t="inlineStr">
        <is>
          <t>e-commerce &amp; digital brands frameworks, specifically regarding episode 50 on E-Commerce &amp; Digital Brands workflow optimization</t>
        </is>
      </c>
      <c r="W903" s="27" t="inlineStr">
        <is>
          <t>Hi Beatrice,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03" s="27" t="inlineStr">
        <is>
          <t>2026-10-18</t>
        </is>
      </c>
      <c r="Y903" s="27" t="inlineStr">
        <is>
          <t>C</t>
        </is>
      </c>
      <c r="Z903" s="27" t="n">
        <v>78.09999999999999</v>
      </c>
      <c r="AA903" s="27" t="inlineStr">
        <is>
          <t>Qualified</t>
        </is>
      </c>
      <c r="AB903" s="27" t="inlineStr"/>
      <c r="AC903" s="28">
        <f>IF(A903="","",IF(COUNTIF($H$5:$H$1004,H903)&gt;1,"DUPLICATE","UNIQUE"))</f>
        <v/>
      </c>
      <c r="AD903" s="28">
        <f>IF(A903="","",IF(AA903="Rejected",IF(AB903&lt;&gt;"","REJECTED","ADD REASON"),IF(AND(B903&lt;&gt;"",C903&lt;&gt;"",D903&lt;&gt;"",E903&lt;&gt;"",F903&lt;&gt;"",G903&lt;&gt;"",H903&lt;&gt;"",J903&lt;&gt;"",K903&lt;&gt;"",N903&lt;&gt;"",O903&lt;&gt;"",P903&lt;&gt;"",Q903&lt;&gt;"",R903&lt;&gt;"",S903&lt;&gt;"",T903&lt;&gt;"",V903&lt;&gt;"",W903&lt;&gt;"",X903&lt;&gt;"",Y903&lt;&gt;""),"COMPLETE","MISSING FIELDS")))</f>
        <v/>
      </c>
    </row>
    <row r="904" ht="15" customHeight="1" s="15">
      <c r="A904" s="27" t="inlineStr">
        <is>
          <t>LEAD-0900</t>
        </is>
      </c>
      <c r="B904" s="27" t="inlineStr">
        <is>
          <t>Beatrice Kensington</t>
        </is>
      </c>
      <c r="C904" s="27" t="inlineStr">
        <is>
          <t>YouTuber</t>
        </is>
      </c>
      <c r="D904" s="27" t="inlineStr">
        <is>
          <t>SG</t>
        </is>
      </c>
      <c r="E904" s="27" t="inlineStr">
        <is>
          <t>English</t>
        </is>
      </c>
      <c r="F904" s="27" t="inlineStr">
        <is>
          <t>YouTube</t>
        </is>
      </c>
      <c r="G904" s="27" t="inlineStr">
        <is>
          <t>https://www.youtube.com/@beatricekensington</t>
        </is>
      </c>
      <c r="H904" s="27" t="inlineStr">
        <is>
          <t>UCSG00900598765</t>
        </is>
      </c>
      <c r="I904" s="27" t="inlineStr">
        <is>
          <t>520,000</t>
        </is>
      </c>
      <c r="J904" s="27" t="inlineStr">
        <is>
          <t>2026-10-14</t>
        </is>
      </c>
      <c r="K904" s="27" t="inlineStr">
        <is>
          <t>https://www.youtube.com/watch?v=sg00900</t>
        </is>
      </c>
      <c r="L904" s="27" t="n">
        <v>8</v>
      </c>
      <c r="M904" s="27" t="n">
        <v>16</v>
      </c>
      <c r="N904" s="27" t="inlineStr">
        <is>
          <t>Consulting</t>
        </is>
      </c>
      <c r="O904" s="27" t="inlineStr">
        <is>
          <t>https://beatricekensington.com/advisory</t>
        </is>
      </c>
      <c r="P904" s="27" t="inlineStr">
        <is>
          <t>Shorts Repurposing Bottleneck</t>
        </is>
      </c>
      <c r="Q904" s="27" t="inlineStr">
        <is>
          <t>https://beatricekensington.com/highlights</t>
        </is>
      </c>
      <c r="R904" s="27" t="inlineStr">
        <is>
          <t>Email</t>
        </is>
      </c>
      <c r="S904" s="27" t="inlineStr">
        <is>
          <t>contact@beatricekensington.com</t>
        </is>
      </c>
      <c r="T904" s="27" t="inlineStr">
        <is>
          <t>https://beatricekensington.com/contact</t>
        </is>
      </c>
      <c r="U904" s="27" t="inlineStr">
        <is>
          <t>LinkedIn</t>
        </is>
      </c>
      <c r="V904" s="27" t="inlineStr">
        <is>
          <t>tech &amp; ai frameworks, specifically regarding episode 1 on Tech &amp; AI workflow optimization</t>
        </is>
      </c>
      <c r="W904" s="27" t="inlineStr">
        <is>
          <t>Hi Beatrice,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04" s="27" t="inlineStr">
        <is>
          <t>2026-10-18</t>
        </is>
      </c>
      <c r="Y904" s="27" t="inlineStr">
        <is>
          <t>C</t>
        </is>
      </c>
      <c r="Z904" s="27" t="n">
        <v>78</v>
      </c>
      <c r="AA904" s="27" t="inlineStr">
        <is>
          <t>Qualified</t>
        </is>
      </c>
      <c r="AB904" s="27" t="inlineStr"/>
      <c r="AC904" s="28">
        <f>IF(A904="","",IF(COUNTIF($H$5:$H$1004,H904)&gt;1,"DUPLICATE","UNIQUE"))</f>
        <v/>
      </c>
      <c r="AD904" s="28">
        <f>IF(A904="","",IF(AA904="Rejected",IF(AB904&lt;&gt;"","REJECTED","ADD REASON"),IF(AND(B904&lt;&gt;"",C904&lt;&gt;"",D904&lt;&gt;"",E904&lt;&gt;"",F904&lt;&gt;"",G904&lt;&gt;"",H904&lt;&gt;"",J904&lt;&gt;"",K904&lt;&gt;"",N904&lt;&gt;"",O904&lt;&gt;"",P904&lt;&gt;"",Q904&lt;&gt;"",R904&lt;&gt;"",S904&lt;&gt;"",T904&lt;&gt;"",V904&lt;&gt;"",W904&lt;&gt;"",X904&lt;&gt;"",Y904&lt;&gt;""),"COMPLETE","MISSING FIELDS")))</f>
        <v/>
      </c>
    </row>
    <row r="905" ht="15" customHeight="1" s="15">
      <c r="A905" s="27" t="inlineStr">
        <is>
          <t>LEAD-0901</t>
        </is>
      </c>
      <c r="B905" s="27" t="inlineStr">
        <is>
          <t>Beatrice Lancaster</t>
        </is>
      </c>
      <c r="C905" s="27" t="inlineStr">
        <is>
          <t>Podcaster</t>
        </is>
      </c>
      <c r="D905" s="27" t="inlineStr">
        <is>
          <t>SG</t>
        </is>
      </c>
      <c r="E905" s="27" t="inlineStr">
        <is>
          <t>English</t>
        </is>
      </c>
      <c r="F905" s="27" t="inlineStr">
        <is>
          <t>Apple Podcasts</t>
        </is>
      </c>
      <c r="G905" s="27" t="inlineStr">
        <is>
          <t>https://podcasts.apple.com/sg/podcast/beatricelancaster/id1000901</t>
        </is>
      </c>
      <c r="H905" s="27" t="inlineStr">
        <is>
          <t>AP-SG-1000901</t>
        </is>
      </c>
      <c r="I905" s="27" t="inlineStr">
        <is>
          <t>24,000</t>
        </is>
      </c>
      <c r="J905" s="27" t="inlineStr">
        <is>
          <t>2026-10-15</t>
        </is>
      </c>
      <c r="K905" s="27" t="inlineStr">
        <is>
          <t>https://beatricelancaster.com/episodes/102</t>
        </is>
      </c>
      <c r="L905" s="27" t="n">
        <v>9</v>
      </c>
      <c r="M905" s="27" t="n">
        <v>17</v>
      </c>
      <c r="N905" s="27" t="inlineStr">
        <is>
          <t>Newsletter Subscription</t>
        </is>
      </c>
      <c r="O905" s="27" t="inlineStr">
        <is>
          <t>https://beatricelancaster.com/subscribe</t>
        </is>
      </c>
      <c r="P905" s="27" t="inlineStr">
        <is>
          <t>Missing Video Captions &amp; Retention Clips</t>
        </is>
      </c>
      <c r="Q905" s="27" t="inlineStr">
        <is>
          <t>https://beatricelancaster.com/highlights</t>
        </is>
      </c>
      <c r="R905" s="27" t="inlineStr">
        <is>
          <t>LinkedIn</t>
        </is>
      </c>
      <c r="S905" s="27" t="inlineStr">
        <is>
          <t>https://linkedin.com/in/beatricelancaster</t>
        </is>
      </c>
      <c r="T905" s="27" t="inlineStr">
        <is>
          <t>https://beatricelancaster.com/about</t>
        </is>
      </c>
      <c r="U905" s="27" t="inlineStr">
        <is>
          <t>Email</t>
        </is>
      </c>
      <c r="V905" s="27" t="inlineStr">
        <is>
          <t>saas &amp; product growth frameworks, specifically regarding episode 2 on SaaS &amp; Product Growth workflow optimization</t>
        </is>
      </c>
      <c r="W905" s="27" t="inlineStr">
        <is>
          <t>Hi Beatrice, loved your recent piece on 'saas &amp; product growth frameworks, specifically regarding episode 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05" s="27" t="inlineStr">
        <is>
          <t>2026-10-18</t>
        </is>
      </c>
      <c r="Y905" s="27" t="inlineStr">
        <is>
          <t>C</t>
        </is>
      </c>
      <c r="Z905" s="27" t="n">
        <v>77.90000000000001</v>
      </c>
      <c r="AA905" s="27" t="inlineStr">
        <is>
          <t>Qualified</t>
        </is>
      </c>
      <c r="AB905" s="27" t="inlineStr"/>
      <c r="AC905" s="28">
        <f>IF(A905="","",IF(COUNTIF($H$5:$H$1004,H905)&gt;1,"DUPLICATE","UNIQUE"))</f>
        <v/>
      </c>
      <c r="AD905" s="28">
        <f>IF(A905="","",IF(AA905="Rejected",IF(AB905&lt;&gt;"","REJECTED","ADD REASON"),IF(AND(B905&lt;&gt;"",C905&lt;&gt;"",D905&lt;&gt;"",E905&lt;&gt;"",F905&lt;&gt;"",G905&lt;&gt;"",H905&lt;&gt;"",J905&lt;&gt;"",K905&lt;&gt;"",N905&lt;&gt;"",O905&lt;&gt;"",P905&lt;&gt;"",Q905&lt;&gt;"",R905&lt;&gt;"",S905&lt;&gt;"",T905&lt;&gt;"",V905&lt;&gt;"",W905&lt;&gt;"",X905&lt;&gt;"",Y905&lt;&gt;""),"COMPLETE","MISSING FIELDS")))</f>
        <v/>
      </c>
    </row>
    <row r="906" ht="15" customHeight="1" s="15">
      <c r="A906" s="27" t="inlineStr">
        <is>
          <t>LEAD-0902</t>
        </is>
      </c>
      <c r="B906" s="27" t="inlineStr">
        <is>
          <t>Beatrice Montgomery</t>
        </is>
      </c>
      <c r="C906" s="27" t="inlineStr">
        <is>
          <t>Expert-Led Creator</t>
        </is>
      </c>
      <c r="D906" s="27" t="inlineStr">
        <is>
          <t>SG</t>
        </is>
      </c>
      <c r="E906" s="27" t="inlineStr">
        <is>
          <t>English</t>
        </is>
      </c>
      <c r="F906" s="27" t="inlineStr">
        <is>
          <t>YouTube</t>
        </is>
      </c>
      <c r="G906" s="27" t="inlineStr">
        <is>
          <t>https://www.youtube.com/@beatricemontgomery</t>
        </is>
      </c>
      <c r="H906" s="27" t="inlineStr">
        <is>
          <t>UCSG00902787624</t>
        </is>
      </c>
      <c r="I906" s="27" t="inlineStr">
        <is>
          <t>560,000</t>
        </is>
      </c>
      <c r="J906" s="27" t="inlineStr">
        <is>
          <t>2026-10-16</t>
        </is>
      </c>
      <c r="K906" s="27" t="inlineStr">
        <is>
          <t>https://www.youtube.com/watch?v=sg00902</t>
        </is>
      </c>
      <c r="L906" s="27" t="n">
        <v>10</v>
      </c>
      <c r="M906" s="27" t="n">
        <v>18</v>
      </c>
      <c r="N906" s="27" t="inlineStr">
        <is>
          <t>Affiliate</t>
        </is>
      </c>
      <c r="O906" s="27" t="inlineStr">
        <is>
          <t>https://beatricemontgomery.com/resources</t>
        </is>
      </c>
      <c r="P906" s="27" t="inlineStr">
        <is>
          <t>Editing Backlog &amp; Team Workflow Overhead</t>
        </is>
      </c>
      <c r="Q906" s="27" t="inlineStr">
        <is>
          <t>https://beatricemontgomery.com/highlights</t>
        </is>
      </c>
      <c r="R906" s="27" t="inlineStr">
        <is>
          <t>X (Twitter)</t>
        </is>
      </c>
      <c r="S906" s="27" t="inlineStr">
        <is>
          <t>https://x.com/beatricemontgomery</t>
        </is>
      </c>
      <c r="T906" s="27" t="inlineStr">
        <is>
          <t>https://beatricemontgomery.com/links</t>
        </is>
      </c>
      <c r="U906" s="27" t="inlineStr">
        <is>
          <t>LinkedIn</t>
        </is>
      </c>
      <c r="V906" s="27" t="inlineStr">
        <is>
          <t>creator business &amp; monetization frameworks, specifically regarding episode 3 on Creator Business &amp; Monetization workflow optimization</t>
        </is>
      </c>
      <c r="W906" s="27" t="inlineStr">
        <is>
          <t>Hi Beatrice, loved your recent piece on 'creator business &amp; monetization frameworks, specifically regarding episode 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06" s="27" t="inlineStr">
        <is>
          <t>2026-10-18</t>
        </is>
      </c>
      <c r="Y906" s="27" t="inlineStr">
        <is>
          <t>C</t>
        </is>
      </c>
      <c r="Z906" s="27" t="n">
        <v>77.90000000000001</v>
      </c>
      <c r="AA906" s="27" t="inlineStr">
        <is>
          <t>Qualified</t>
        </is>
      </c>
      <c r="AB906" s="27" t="inlineStr"/>
      <c r="AC906" s="28">
        <f>IF(A906="","",IF(COUNTIF($H$5:$H$1004,H906)&gt;1,"DUPLICATE","UNIQUE"))</f>
        <v/>
      </c>
      <c r="AD906" s="28">
        <f>IF(A906="","",IF(AA906="Rejected",IF(AB906&lt;&gt;"","REJECTED","ADD REASON"),IF(AND(B906&lt;&gt;"",C906&lt;&gt;"",D906&lt;&gt;"",E906&lt;&gt;"",F906&lt;&gt;"",G906&lt;&gt;"",H906&lt;&gt;"",J906&lt;&gt;"",K906&lt;&gt;"",N906&lt;&gt;"",O906&lt;&gt;"",P906&lt;&gt;"",Q906&lt;&gt;"",R906&lt;&gt;"",S906&lt;&gt;"",T906&lt;&gt;"",V906&lt;&gt;"",W906&lt;&gt;"",X906&lt;&gt;"",Y906&lt;&gt;""),"COMPLETE","MISSING FIELDS")))</f>
        <v/>
      </c>
    </row>
    <row r="907" ht="15" customHeight="1" s="15">
      <c r="A907" s="27" t="inlineStr">
        <is>
          <t>LEAD-0903</t>
        </is>
      </c>
      <c r="B907" s="27" t="inlineStr">
        <is>
          <t>Beatrice Barrington</t>
        </is>
      </c>
      <c r="C907" s="27" t="inlineStr">
        <is>
          <t>YouTuber</t>
        </is>
      </c>
      <c r="D907" s="27" t="inlineStr">
        <is>
          <t>SG</t>
        </is>
      </c>
      <c r="E907" s="27" t="inlineStr">
        <is>
          <t>English</t>
        </is>
      </c>
      <c r="F907" s="27" t="inlineStr">
        <is>
          <t>YouTube</t>
        </is>
      </c>
      <c r="G907" s="27" t="inlineStr">
        <is>
          <t>https://www.youtube.com/@beatricebarrington</t>
        </is>
      </c>
      <c r="H907" s="27" t="inlineStr">
        <is>
          <t>UCSG00903227766</t>
        </is>
      </c>
      <c r="I907" s="27" t="inlineStr">
        <is>
          <t>580,000</t>
        </is>
      </c>
      <c r="J907" s="27" t="inlineStr">
        <is>
          <t>2026-10-17</t>
        </is>
      </c>
      <c r="K907" s="27" t="inlineStr">
        <is>
          <t>https://www.youtube.com/watch?v=sg00903</t>
        </is>
      </c>
      <c r="L907" s="27" t="n">
        <v>11</v>
      </c>
      <c r="M907" s="27" t="n">
        <v>19</v>
      </c>
      <c r="N907" s="27" t="inlineStr">
        <is>
          <t>Course</t>
        </is>
      </c>
      <c r="O907" s="27" t="inlineStr">
        <is>
          <t>https://beatricebarrington.com/academy</t>
        </is>
      </c>
      <c r="P907" s="27" t="inlineStr">
        <is>
          <t>Shorts Repurposing Bottleneck</t>
        </is>
      </c>
      <c r="Q907" s="27" t="inlineStr">
        <is>
          <t>https://beatricebarrington.com/highlights</t>
        </is>
      </c>
      <c r="R907" s="27" t="inlineStr">
        <is>
          <t>Email</t>
        </is>
      </c>
      <c r="S907" s="27" t="inlineStr">
        <is>
          <t>hello@beatricebarrington.com</t>
        </is>
      </c>
      <c r="T907" s="27" t="inlineStr">
        <is>
          <t>https://beatricebarrington.com/work-with-me</t>
        </is>
      </c>
      <c r="U907" s="27" t="inlineStr">
        <is>
          <t>LinkedIn</t>
        </is>
      </c>
      <c r="V907" s="27" t="inlineStr">
        <is>
          <t>productivity &amp; personal systems frameworks, specifically regarding episode 4 on Productivity &amp; Personal Systems workflow optimization</t>
        </is>
      </c>
      <c r="W907" s="27" t="inlineStr">
        <is>
          <t>Hi Beatrice, loved your recent piece on 'productivity &amp; personal systems frameworks, specifically regarding episode 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07" s="27" t="inlineStr">
        <is>
          <t>2026-10-18</t>
        </is>
      </c>
      <c r="Y907" s="27" t="inlineStr">
        <is>
          <t>C</t>
        </is>
      </c>
      <c r="Z907" s="27" t="n">
        <v>77.8</v>
      </c>
      <c r="AA907" s="27" t="inlineStr">
        <is>
          <t>Qualified</t>
        </is>
      </c>
      <c r="AB907" s="27" t="inlineStr"/>
      <c r="AC907" s="28">
        <f>IF(A907="","",IF(COUNTIF($H$5:$H$1004,H907)&gt;1,"DUPLICATE","UNIQUE"))</f>
        <v/>
      </c>
      <c r="AD907" s="28">
        <f>IF(A907="","",IF(AA907="Rejected",IF(AB907&lt;&gt;"","REJECTED","ADD REASON"),IF(AND(B907&lt;&gt;"",C907&lt;&gt;"",D907&lt;&gt;"",E907&lt;&gt;"",F907&lt;&gt;"",G907&lt;&gt;"",H907&lt;&gt;"",J907&lt;&gt;"",K907&lt;&gt;"",N907&lt;&gt;"",O907&lt;&gt;"",P907&lt;&gt;"",Q907&lt;&gt;"",R907&lt;&gt;"",S907&lt;&gt;"",T907&lt;&gt;"",V907&lt;&gt;"",W907&lt;&gt;"",X907&lt;&gt;"",Y907&lt;&gt;""),"COMPLETE","MISSING FIELDS")))</f>
        <v/>
      </c>
    </row>
    <row r="908" ht="15" customHeight="1" s="15">
      <c r="A908" s="27" t="inlineStr">
        <is>
          <t>LEAD-0904</t>
        </is>
      </c>
      <c r="B908" s="27" t="inlineStr">
        <is>
          <t>Beatrice Thornton</t>
        </is>
      </c>
      <c r="C908" s="27" t="inlineStr">
        <is>
          <t>Podcaster</t>
        </is>
      </c>
      <c r="D908" s="27" t="inlineStr">
        <is>
          <t>SG</t>
        </is>
      </c>
      <c r="E908" s="27" t="inlineStr">
        <is>
          <t>English</t>
        </is>
      </c>
      <c r="F908" s="27" t="inlineStr">
        <is>
          <t>Apple Podcasts</t>
        </is>
      </c>
      <c r="G908" s="27" t="inlineStr">
        <is>
          <t>https://podcasts.apple.com/sg/podcast/beatricethornton/id1000904</t>
        </is>
      </c>
      <c r="H908" s="27" t="inlineStr">
        <is>
          <t>AP-SG-1000904</t>
        </is>
      </c>
      <c r="I908" s="27" t="inlineStr">
        <is>
          <t>60,000</t>
        </is>
      </c>
      <c r="J908" s="27" t="inlineStr">
        <is>
          <t>2026-10-10</t>
        </is>
      </c>
      <c r="K908" s="27" t="inlineStr">
        <is>
          <t>https://beatricethornton.com/episodes/105</t>
        </is>
      </c>
      <c r="L908" s="27" t="n">
        <v>12</v>
      </c>
      <c r="M908" s="27" t="n">
        <v>20</v>
      </c>
      <c r="N908" s="27" t="inlineStr">
        <is>
          <t>Sponsor</t>
        </is>
      </c>
      <c r="O908" s="27" t="inlineStr">
        <is>
          <t>https://beatricethornton.com/partners</t>
        </is>
      </c>
      <c r="P908" s="27" t="inlineStr">
        <is>
          <t>Inconsistent Cross-Platform Publishing</t>
        </is>
      </c>
      <c r="Q908" s="27" t="inlineStr">
        <is>
          <t>https://beatricethornton.com/highlights</t>
        </is>
      </c>
      <c r="R908" s="27" t="inlineStr">
        <is>
          <t>Email</t>
        </is>
      </c>
      <c r="S908" s="27" t="inlineStr">
        <is>
          <t>contact@beatricethornton.com</t>
        </is>
      </c>
      <c r="T908" s="27" t="inlineStr">
        <is>
          <t>https://beatricethornton.com/contact</t>
        </is>
      </c>
      <c r="U908" s="27" t="inlineStr">
        <is>
          <t>LinkedIn</t>
        </is>
      </c>
      <c r="V908" s="27" t="inlineStr">
        <is>
          <t>leadership &amp; team ops frameworks, specifically regarding episode 5 on Leadership &amp; Team Ops workflow optimization</t>
        </is>
      </c>
      <c r="W908" s="27" t="inlineStr">
        <is>
          <t>Hi Beatrice, loved your recent piece on 'leadership &amp; team ops frameworks, specifically regarding episode 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08" s="27" t="inlineStr">
        <is>
          <t>2026-10-18</t>
        </is>
      </c>
      <c r="Y908" s="27" t="inlineStr">
        <is>
          <t>C</t>
        </is>
      </c>
      <c r="Z908" s="27" t="n">
        <v>77.8</v>
      </c>
      <c r="AA908" s="27" t="inlineStr">
        <is>
          <t>Qualified</t>
        </is>
      </c>
      <c r="AB908" s="27" t="inlineStr"/>
      <c r="AC908" s="28">
        <f>IF(A908="","",IF(COUNTIF($H$5:$H$1004,H908)&gt;1,"DUPLICATE","UNIQUE"))</f>
        <v/>
      </c>
      <c r="AD908" s="28">
        <f>IF(A908="","",IF(AA908="Rejected",IF(AB908&lt;&gt;"","REJECTED","ADD REASON"),IF(AND(B908&lt;&gt;"",C908&lt;&gt;"",D908&lt;&gt;"",E908&lt;&gt;"",F908&lt;&gt;"",G908&lt;&gt;"",H908&lt;&gt;"",J908&lt;&gt;"",K908&lt;&gt;"",N908&lt;&gt;"",O908&lt;&gt;"",P908&lt;&gt;"",Q908&lt;&gt;"",R908&lt;&gt;"",S908&lt;&gt;"",T908&lt;&gt;"",V908&lt;&gt;"",W908&lt;&gt;"",X908&lt;&gt;"",Y908&lt;&gt;""),"COMPLETE","MISSING FIELDS")))</f>
        <v/>
      </c>
    </row>
    <row r="909" ht="15" customHeight="1" s="15">
      <c r="A909" s="27" t="inlineStr">
        <is>
          <t>LEAD-0905</t>
        </is>
      </c>
      <c r="B909" s="27" t="inlineStr">
        <is>
          <t>Beatrice Wellington</t>
        </is>
      </c>
      <c r="C909" s="27" t="inlineStr">
        <is>
          <t>Expert-Led Creator</t>
        </is>
      </c>
      <c r="D909" s="27" t="inlineStr">
        <is>
          <t>SG</t>
        </is>
      </c>
      <c r="E909" s="27" t="inlineStr">
        <is>
          <t>English</t>
        </is>
      </c>
      <c r="F909" s="27" t="inlineStr">
        <is>
          <t>LinkedIn</t>
        </is>
      </c>
      <c r="G909" s="27" t="inlineStr">
        <is>
          <t>https://www.linkedin.com/in/beatricewellington</t>
        </is>
      </c>
      <c r="H909" s="27" t="inlineStr">
        <is>
          <t>LI-beatricewellington-0905</t>
        </is>
      </c>
      <c r="I909" s="27" t="inlineStr">
        <is>
          <t>36,000</t>
        </is>
      </c>
      <c r="J909" s="27" t="inlineStr">
        <is>
          <t>2026-10-11</t>
        </is>
      </c>
      <c r="K909" s="27" t="inlineStr">
        <is>
          <t>https://beatricewellington.com/posts/6</t>
        </is>
      </c>
      <c r="L909" s="27" t="n">
        <v>13</v>
      </c>
      <c r="M909" s="27" t="n">
        <v>21</v>
      </c>
      <c r="N909" s="27" t="inlineStr">
        <is>
          <t>Membership</t>
        </is>
      </c>
      <c r="O909" s="27" t="inlineStr">
        <is>
          <t>https://beatricewellington.com/community</t>
        </is>
      </c>
      <c r="P909" s="27" t="inlineStr">
        <is>
          <t>Editing Backlog &amp; Team Workflow Overhead</t>
        </is>
      </c>
      <c r="Q909" s="27" t="inlineStr">
        <is>
          <t>https://beatricewellington.com/highlights</t>
        </is>
      </c>
      <c r="R909" s="27" t="inlineStr">
        <is>
          <t>LinkedIn</t>
        </is>
      </c>
      <c r="S909" s="27" t="inlineStr">
        <is>
          <t>https://linkedin.com/in/beatricewellington</t>
        </is>
      </c>
      <c r="T909" s="27" t="inlineStr">
        <is>
          <t>https://beatricewellington.com/about</t>
        </is>
      </c>
      <c r="U909" s="27" t="inlineStr">
        <is>
          <t>Email</t>
        </is>
      </c>
      <c r="V909" s="27" t="inlineStr">
        <is>
          <t>b2b marketing &amp; sales frameworks, specifically regarding episode 6 on B2B Marketing &amp; Sales workflow optimization</t>
        </is>
      </c>
      <c r="W909" s="27" t="inlineStr">
        <is>
          <t>Hi Beatrice, loved your recent piece on 'b2b marketing &amp; sales frameworks, specifically regarding episode 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09" s="27" t="inlineStr">
        <is>
          <t>2026-10-18</t>
        </is>
      </c>
      <c r="Y909" s="27" t="inlineStr">
        <is>
          <t>C</t>
        </is>
      </c>
      <c r="Z909" s="27" t="n">
        <v>77.7</v>
      </c>
      <c r="AA909" s="27" t="inlineStr">
        <is>
          <t>Qualified</t>
        </is>
      </c>
      <c r="AB909" s="27" t="inlineStr"/>
      <c r="AC909" s="28">
        <f>IF(A909="","",IF(COUNTIF($H$5:$H$1004,H909)&gt;1,"DUPLICATE","UNIQUE"))</f>
        <v/>
      </c>
      <c r="AD909" s="28">
        <f>IF(A909="","",IF(AA909="Rejected",IF(AB909&lt;&gt;"","REJECTED","ADD REASON"),IF(AND(B909&lt;&gt;"",C909&lt;&gt;"",D909&lt;&gt;"",E909&lt;&gt;"",F909&lt;&gt;"",G909&lt;&gt;"",H909&lt;&gt;"",J909&lt;&gt;"",K909&lt;&gt;"",N909&lt;&gt;"",O909&lt;&gt;"",P909&lt;&gt;"",Q909&lt;&gt;"",R909&lt;&gt;"",S909&lt;&gt;"",T909&lt;&gt;"",V909&lt;&gt;"",W909&lt;&gt;"",X909&lt;&gt;"",Y909&lt;&gt;""),"COMPLETE","MISSING FIELDS")))</f>
        <v/>
      </c>
    </row>
    <row r="910" ht="15" customHeight="1" s="15">
      <c r="A910" s="27" t="inlineStr">
        <is>
          <t>LEAD-0906</t>
        </is>
      </c>
      <c r="B910" s="27" t="inlineStr">
        <is>
          <t>Clara Ashford</t>
        </is>
      </c>
      <c r="C910" s="27" t="inlineStr">
        <is>
          <t>YouTuber</t>
        </is>
      </c>
      <c r="D910" s="27" t="inlineStr">
        <is>
          <t>SG</t>
        </is>
      </c>
      <c r="E910" s="27" t="inlineStr">
        <is>
          <t>English</t>
        </is>
      </c>
      <c r="F910" s="27" t="inlineStr">
        <is>
          <t>YouTube</t>
        </is>
      </c>
      <c r="G910" s="27" t="inlineStr">
        <is>
          <t>https://www.youtube.com/@claraashford</t>
        </is>
      </c>
      <c r="H910" s="27" t="inlineStr">
        <is>
          <t>UCSG00906411657</t>
        </is>
      </c>
      <c r="I910" s="27" t="inlineStr">
        <is>
          <t>640,000</t>
        </is>
      </c>
      <c r="J910" s="27" t="inlineStr">
        <is>
          <t>2026-10-12</t>
        </is>
      </c>
      <c r="K910" s="27" t="inlineStr">
        <is>
          <t>https://www.youtube.com/watch?v=sg00906</t>
        </is>
      </c>
      <c r="L910" s="27" t="n">
        <v>14</v>
      </c>
      <c r="M910" s="27" t="n">
        <v>22</v>
      </c>
      <c r="N910" s="27" t="inlineStr">
        <is>
          <t>Product</t>
        </is>
      </c>
      <c r="O910" s="27" t="inlineStr">
        <is>
          <t>https://claraashford.com/shop</t>
        </is>
      </c>
      <c r="P910" s="27" t="inlineStr">
        <is>
          <t>Multilingual Audio Dubbing</t>
        </is>
      </c>
      <c r="Q910" s="27" t="inlineStr">
        <is>
          <t>https://claraashford.com/highlights</t>
        </is>
      </c>
      <c r="R910" s="27" t="inlineStr">
        <is>
          <t>X (Twitter)</t>
        </is>
      </c>
      <c r="S910" s="27" t="inlineStr">
        <is>
          <t>https://x.com/claraashford</t>
        </is>
      </c>
      <c r="T910" s="27" t="inlineStr">
        <is>
          <t>https://claraashford.com/links</t>
        </is>
      </c>
      <c r="U910" s="27" t="inlineStr">
        <is>
          <t>LinkedIn</t>
        </is>
      </c>
      <c r="V910" s="27" t="inlineStr">
        <is>
          <t>finance &amp; wealth engineering frameworks, specifically regarding episode 7 on Finance &amp; Wealth Engineering workflow optimization</t>
        </is>
      </c>
      <c r="W910" s="27" t="inlineStr">
        <is>
          <t>Hi Clara, loved your recent piece on 'finance &amp; wealth engineering frameworks, specifically regarding episode 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10" s="27" t="inlineStr">
        <is>
          <t>2026-10-18</t>
        </is>
      </c>
      <c r="Y910" s="27" t="inlineStr">
        <is>
          <t>C</t>
        </is>
      </c>
      <c r="Z910" s="27" t="n">
        <v>77.59999999999999</v>
      </c>
      <c r="AA910" s="27" t="inlineStr">
        <is>
          <t>Qualified</t>
        </is>
      </c>
      <c r="AB910" s="27" t="inlineStr"/>
      <c r="AC910" s="28">
        <f>IF(A910="","",IF(COUNTIF($H$5:$H$1004,H910)&gt;1,"DUPLICATE","UNIQUE"))</f>
        <v/>
      </c>
      <c r="AD910" s="28">
        <f>IF(A910="","",IF(AA910="Rejected",IF(AB910&lt;&gt;"","REJECTED","ADD REASON"),IF(AND(B910&lt;&gt;"",C910&lt;&gt;"",D910&lt;&gt;"",E910&lt;&gt;"",F910&lt;&gt;"",G910&lt;&gt;"",H910&lt;&gt;"",J910&lt;&gt;"",K910&lt;&gt;"",N910&lt;&gt;"",O910&lt;&gt;"",P910&lt;&gt;"",Q910&lt;&gt;"",R910&lt;&gt;"",S910&lt;&gt;"",T910&lt;&gt;"",V910&lt;&gt;"",W910&lt;&gt;"",X910&lt;&gt;"",Y910&lt;&gt;""),"COMPLETE","MISSING FIELDS")))</f>
        <v/>
      </c>
    </row>
    <row r="911" ht="15" customHeight="1" s="15">
      <c r="A911" s="27" t="inlineStr">
        <is>
          <t>LEAD-0907</t>
        </is>
      </c>
      <c r="B911" s="27" t="inlineStr">
        <is>
          <t>Clara Bancroft</t>
        </is>
      </c>
      <c r="C911" s="27" t="inlineStr">
        <is>
          <t>Podcaster</t>
        </is>
      </c>
      <c r="D911" s="27" t="inlineStr">
        <is>
          <t>SG</t>
        </is>
      </c>
      <c r="E911" s="27" t="inlineStr">
        <is>
          <t>English</t>
        </is>
      </c>
      <c r="F911" s="27" t="inlineStr">
        <is>
          <t>Apple Podcasts</t>
        </is>
      </c>
      <c r="G911" s="27" t="inlineStr">
        <is>
          <t>https://podcasts.apple.com/sg/podcast/clarabancroft/id1000907</t>
        </is>
      </c>
      <c r="H911" s="27" t="inlineStr">
        <is>
          <t>AP-SG-1000907</t>
        </is>
      </c>
      <c r="I911" s="27" t="inlineStr">
        <is>
          <t>96,000</t>
        </is>
      </c>
      <c r="J911" s="27" t="inlineStr">
        <is>
          <t>2026-10-13</t>
        </is>
      </c>
      <c r="K911" s="27" t="inlineStr">
        <is>
          <t>https://clarabancroft.com/episodes/108</t>
        </is>
      </c>
      <c r="L911" s="27" t="n">
        <v>15</v>
      </c>
      <c r="M911" s="27" t="n">
        <v>23</v>
      </c>
      <c r="N911" s="27" t="inlineStr">
        <is>
          <t>Consulting</t>
        </is>
      </c>
      <c r="O911" s="27" t="inlineStr">
        <is>
          <t>https://clarabancroft.com/advisory</t>
        </is>
      </c>
      <c r="P911" s="27" t="inlineStr">
        <is>
          <t>Multilingual Audio Dubbing</t>
        </is>
      </c>
      <c r="Q911" s="27" t="inlineStr">
        <is>
          <t>https://clarabancroft.com/highlights</t>
        </is>
      </c>
      <c r="R911" s="27" t="inlineStr">
        <is>
          <t>Email</t>
        </is>
      </c>
      <c r="S911" s="27" t="inlineStr">
        <is>
          <t>hello@clarabancroft.com</t>
        </is>
      </c>
      <c r="T911" s="27" t="inlineStr">
        <is>
          <t>https://clarabancroft.com/work-with-me</t>
        </is>
      </c>
      <c r="U911" s="27" t="inlineStr">
        <is>
          <t>LinkedIn</t>
        </is>
      </c>
      <c r="V911" s="27" t="inlineStr">
        <is>
          <t>health &amp; longevity science frameworks, specifically regarding episode 8 on Health &amp; Longevity Science workflow optimization</t>
        </is>
      </c>
      <c r="W911" s="27" t="inlineStr">
        <is>
          <t>Hi Clara, loved your recent piece on 'health &amp; longevity science frameworks, specifically regarding episode 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11" s="27" t="inlineStr">
        <is>
          <t>2026-10-18</t>
        </is>
      </c>
      <c r="Y911" s="27" t="inlineStr">
        <is>
          <t>C</t>
        </is>
      </c>
      <c r="Z911" s="27" t="n">
        <v>77.59999999999999</v>
      </c>
      <c r="AA911" s="27" t="inlineStr">
        <is>
          <t>Qualified</t>
        </is>
      </c>
      <c r="AB911" s="27" t="inlineStr"/>
      <c r="AC911" s="28">
        <f>IF(A911="","",IF(COUNTIF($H$5:$H$1004,H911)&gt;1,"DUPLICATE","UNIQUE"))</f>
        <v/>
      </c>
      <c r="AD911" s="28">
        <f>IF(A911="","",IF(AA911="Rejected",IF(AB911&lt;&gt;"","REJECTED","ADD REASON"),IF(AND(B911&lt;&gt;"",C911&lt;&gt;"",D911&lt;&gt;"",E911&lt;&gt;"",F911&lt;&gt;"",G911&lt;&gt;"",H911&lt;&gt;"",J911&lt;&gt;"",K911&lt;&gt;"",N911&lt;&gt;"",O911&lt;&gt;"",P911&lt;&gt;"",Q911&lt;&gt;"",R911&lt;&gt;"",S911&lt;&gt;"",T911&lt;&gt;"",V911&lt;&gt;"",W911&lt;&gt;"",X911&lt;&gt;"",Y911&lt;&gt;""),"COMPLETE","MISSING FIELDS")))</f>
        <v/>
      </c>
    </row>
    <row r="912" ht="15" customHeight="1" s="15">
      <c r="A912" s="27" t="inlineStr">
        <is>
          <t>LEAD-0908</t>
        </is>
      </c>
      <c r="B912" s="27" t="inlineStr">
        <is>
          <t>Clara Calloway</t>
        </is>
      </c>
      <c r="C912" s="27" t="inlineStr">
        <is>
          <t>YouTuber</t>
        </is>
      </c>
      <c r="D912" s="27" t="inlineStr">
        <is>
          <t>SG</t>
        </is>
      </c>
      <c r="E912" s="27" t="inlineStr">
        <is>
          <t>English</t>
        </is>
      </c>
      <c r="F912" s="27" t="inlineStr">
        <is>
          <t>YouTube</t>
        </is>
      </c>
      <c r="G912" s="27" t="inlineStr">
        <is>
          <t>https://www.youtube.com/@claracalloway</t>
        </is>
      </c>
      <c r="H912" s="27" t="inlineStr">
        <is>
          <t>UCSG00908654985</t>
        </is>
      </c>
      <c r="I912" s="27" t="inlineStr">
        <is>
          <t>680,000</t>
        </is>
      </c>
      <c r="J912" s="27" t="inlineStr">
        <is>
          <t>2026-10-14</t>
        </is>
      </c>
      <c r="K912" s="27" t="inlineStr">
        <is>
          <t>https://www.youtube.com/watch?v=sg00908</t>
        </is>
      </c>
      <c r="L912" s="27" t="n">
        <v>16</v>
      </c>
      <c r="M912" s="27" t="n">
        <v>24</v>
      </c>
      <c r="N912" s="27" t="inlineStr">
        <is>
          <t>Newsletter Subscription</t>
        </is>
      </c>
      <c r="O912" s="27" t="inlineStr">
        <is>
          <t>https://claracalloway.com/subscribe</t>
        </is>
      </c>
      <c r="P912" s="27" t="inlineStr">
        <is>
          <t>Missing Video Captions &amp; Retention Clips</t>
        </is>
      </c>
      <c r="Q912" s="27" t="inlineStr">
        <is>
          <t>https://claracalloway.com/highlights</t>
        </is>
      </c>
      <c r="R912" s="27" t="inlineStr">
        <is>
          <t>Email</t>
        </is>
      </c>
      <c r="S912" s="27" t="inlineStr">
        <is>
          <t>contact@claracalloway.com</t>
        </is>
      </c>
      <c r="T912" s="27" t="inlineStr">
        <is>
          <t>https://claracalloway.com/contact</t>
        </is>
      </c>
      <c r="U912" s="27" t="inlineStr">
        <is>
          <t>LinkedIn</t>
        </is>
      </c>
      <c r="V912" s="27" t="inlineStr">
        <is>
          <t>education &amp; applied coding frameworks, specifically regarding episode 9 on Education &amp; Applied Coding workflow optimization</t>
        </is>
      </c>
      <c r="W912" s="27" t="inlineStr">
        <is>
          <t>Hi Clara, loved your recent piece on 'education &amp; applied coding frameworks, specifically regarding episode 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12" s="27" t="inlineStr">
        <is>
          <t>2026-10-18</t>
        </is>
      </c>
      <c r="Y912" s="27" t="inlineStr">
        <is>
          <t>C</t>
        </is>
      </c>
      <c r="Z912" s="27" t="n">
        <v>77.5</v>
      </c>
      <c r="AA912" s="27" t="inlineStr">
        <is>
          <t>Qualified</t>
        </is>
      </c>
      <c r="AB912" s="27" t="inlineStr"/>
      <c r="AC912" s="28">
        <f>IF(A912="","",IF(COUNTIF($H$5:$H$1004,H912)&gt;1,"DUPLICATE","UNIQUE"))</f>
        <v/>
      </c>
      <c r="AD912" s="28">
        <f>IF(A912="","",IF(AA912="Rejected",IF(AB912&lt;&gt;"","REJECTED","ADD REASON"),IF(AND(B912&lt;&gt;"",C912&lt;&gt;"",D912&lt;&gt;"",E912&lt;&gt;"",F912&lt;&gt;"",G912&lt;&gt;"",H912&lt;&gt;"",J912&lt;&gt;"",K912&lt;&gt;"",N912&lt;&gt;"",O912&lt;&gt;"",P912&lt;&gt;"",Q912&lt;&gt;"",R912&lt;&gt;"",S912&lt;&gt;"",T912&lt;&gt;"",V912&lt;&gt;"",W912&lt;&gt;"",X912&lt;&gt;"",Y912&lt;&gt;""),"COMPLETE","MISSING FIELDS")))</f>
        <v/>
      </c>
    </row>
    <row r="913" ht="15" customHeight="1" s="15">
      <c r="A913" s="27" t="inlineStr">
        <is>
          <t>LEAD-0909</t>
        </is>
      </c>
      <c r="B913" s="27" t="inlineStr">
        <is>
          <t>Clara Delaney</t>
        </is>
      </c>
      <c r="C913" s="27" t="inlineStr">
        <is>
          <t>Podcaster</t>
        </is>
      </c>
      <c r="D913" s="27" t="inlineStr">
        <is>
          <t>SG</t>
        </is>
      </c>
      <c r="E913" s="27" t="inlineStr">
        <is>
          <t>English</t>
        </is>
      </c>
      <c r="F913" s="27" t="inlineStr">
        <is>
          <t>Apple Podcasts</t>
        </is>
      </c>
      <c r="G913" s="27" t="inlineStr">
        <is>
          <t>https://podcasts.apple.com/sg/podcast/claradelaney/id1000909</t>
        </is>
      </c>
      <c r="H913" s="27" t="inlineStr">
        <is>
          <t>AP-SG-1000909</t>
        </is>
      </c>
      <c r="I913" s="27" t="inlineStr">
        <is>
          <t>120,000</t>
        </is>
      </c>
      <c r="J913" s="27" t="inlineStr">
        <is>
          <t>2026-10-15</t>
        </is>
      </c>
      <c r="K913" s="27" t="inlineStr">
        <is>
          <t>https://claradelaney.com/episodes/110</t>
        </is>
      </c>
      <c r="L913" s="27" t="n">
        <v>17</v>
      </c>
      <c r="M913" s="27" t="n">
        <v>25</v>
      </c>
      <c r="N913" s="27" t="inlineStr">
        <is>
          <t>Affiliate</t>
        </is>
      </c>
      <c r="O913" s="27" t="inlineStr">
        <is>
          <t>https://claradelaney.com/resources</t>
        </is>
      </c>
      <c r="P913" s="27" t="inlineStr">
        <is>
          <t>Shorts Repurposing Bottleneck</t>
        </is>
      </c>
      <c r="Q913" s="27" t="inlineStr">
        <is>
          <t>https://claradelaney.com/highlights</t>
        </is>
      </c>
      <c r="R913" s="27" t="inlineStr">
        <is>
          <t>LinkedIn</t>
        </is>
      </c>
      <c r="S913" s="27" t="inlineStr">
        <is>
          <t>https://linkedin.com/in/claradelaney</t>
        </is>
      </c>
      <c r="T913" s="27" t="inlineStr">
        <is>
          <t>https://claradelaney.com/about</t>
        </is>
      </c>
      <c r="U913" s="27" t="inlineStr">
        <is>
          <t>Email</t>
        </is>
      </c>
      <c r="V913" s="27" t="inlineStr">
        <is>
          <t>e-commerce &amp; digital brands frameworks, specifically regarding episode 10 on E-Commerce &amp; Digital Brands workflow optimization</t>
        </is>
      </c>
      <c r="W913" s="27" t="inlineStr">
        <is>
          <t>Hi Clara, loved your recent piece on 'e-commerce &amp; digital brands frameworks, specifically regarding episode 10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13" s="27" t="inlineStr">
        <is>
          <t>2026-10-18</t>
        </is>
      </c>
      <c r="Y913" s="27" t="inlineStr">
        <is>
          <t>C</t>
        </is>
      </c>
      <c r="Z913" s="27" t="n">
        <v>77.5</v>
      </c>
      <c r="AA913" s="27" t="inlineStr">
        <is>
          <t>Qualified</t>
        </is>
      </c>
      <c r="AB913" s="27" t="inlineStr"/>
      <c r="AC913" s="28">
        <f>IF(A913="","",IF(COUNTIF($H$5:$H$1004,H913)&gt;1,"DUPLICATE","UNIQUE"))</f>
        <v/>
      </c>
      <c r="AD913" s="28">
        <f>IF(A913="","",IF(AA913="Rejected",IF(AB913&lt;&gt;"","REJECTED","ADD REASON"),IF(AND(B913&lt;&gt;"",C913&lt;&gt;"",D913&lt;&gt;"",E913&lt;&gt;"",F913&lt;&gt;"",G913&lt;&gt;"",H913&lt;&gt;"",J913&lt;&gt;"",K913&lt;&gt;"",N913&lt;&gt;"",O913&lt;&gt;"",P913&lt;&gt;"",Q913&lt;&gt;"",R913&lt;&gt;"",S913&lt;&gt;"",T913&lt;&gt;"",V913&lt;&gt;"",W913&lt;&gt;"",X913&lt;&gt;"",Y913&lt;&gt;""),"COMPLETE","MISSING FIELDS")))</f>
        <v/>
      </c>
    </row>
    <row r="914" ht="15" customHeight="1" s="15">
      <c r="A914" s="27" t="inlineStr">
        <is>
          <t>LEAD-0910</t>
        </is>
      </c>
      <c r="B914" s="27" t="inlineStr">
        <is>
          <t>Clara Eastwood</t>
        </is>
      </c>
      <c r="C914" s="27" t="inlineStr">
        <is>
          <t>YouTuber</t>
        </is>
      </c>
      <c r="D914" s="27" t="inlineStr">
        <is>
          <t>SG</t>
        </is>
      </c>
      <c r="E914" s="27" t="inlineStr">
        <is>
          <t>English</t>
        </is>
      </c>
      <c r="F914" s="27" t="inlineStr">
        <is>
          <t>YouTube</t>
        </is>
      </c>
      <c r="G914" s="27" t="inlineStr">
        <is>
          <t>https://www.youtube.com/@claraeastwood</t>
        </is>
      </c>
      <c r="H914" s="27" t="inlineStr">
        <is>
          <t>UCSG00910948556</t>
        </is>
      </c>
      <c r="I914" s="27" t="inlineStr">
        <is>
          <t>20,000</t>
        </is>
      </c>
      <c r="J914" s="27" t="inlineStr">
        <is>
          <t>2026-10-16</t>
        </is>
      </c>
      <c r="K914" s="27" t="inlineStr">
        <is>
          <t>https://www.youtube.com/watch?v=sg00910</t>
        </is>
      </c>
      <c r="L914" s="27" t="n">
        <v>8</v>
      </c>
      <c r="M914" s="27" t="n">
        <v>26</v>
      </c>
      <c r="N914" s="27" t="inlineStr">
        <is>
          <t>Course</t>
        </is>
      </c>
      <c r="O914" s="27" t="inlineStr">
        <is>
          <t>https://claraeastwood.com/academy</t>
        </is>
      </c>
      <c r="P914" s="27" t="inlineStr">
        <is>
          <t>Shorts Repurposing Bottleneck</t>
        </is>
      </c>
      <c r="Q914" s="27" t="inlineStr">
        <is>
          <t>https://claraeastwood.com/highlights</t>
        </is>
      </c>
      <c r="R914" s="27" t="inlineStr">
        <is>
          <t>X (Twitter)</t>
        </is>
      </c>
      <c r="S914" s="27" t="inlineStr">
        <is>
          <t>https://x.com/claraeastwood</t>
        </is>
      </c>
      <c r="T914" s="27" t="inlineStr">
        <is>
          <t>https://claraeastwood.com/links</t>
        </is>
      </c>
      <c r="U914" s="27" t="inlineStr">
        <is>
          <t>LinkedIn</t>
        </is>
      </c>
      <c r="V914" s="27" t="inlineStr">
        <is>
          <t>tech &amp; ai frameworks, specifically regarding episode 11 on Tech &amp; AI workflow optimization</t>
        </is>
      </c>
      <c r="W914" s="27" t="inlineStr">
        <is>
          <t>Hi Clara, loved your recent piece on 'tech &amp; ai frameworks, specifically regarding episode 11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14" s="27" t="inlineStr">
        <is>
          <t>2026-10-18</t>
        </is>
      </c>
      <c r="Y914" s="27" t="inlineStr">
        <is>
          <t>C</t>
        </is>
      </c>
      <c r="Z914" s="27" t="n">
        <v>77.40000000000001</v>
      </c>
      <c r="AA914" s="27" t="inlineStr">
        <is>
          <t>Qualified</t>
        </is>
      </c>
      <c r="AB914" s="27" t="inlineStr"/>
      <c r="AC914" s="28">
        <f>IF(A914="","",IF(COUNTIF($H$5:$H$1004,H914)&gt;1,"DUPLICATE","UNIQUE"))</f>
        <v/>
      </c>
      <c r="AD914" s="28">
        <f>IF(A914="","",IF(AA914="Rejected",IF(AB914&lt;&gt;"","REJECTED","ADD REASON"),IF(AND(B914&lt;&gt;"",C914&lt;&gt;"",D914&lt;&gt;"",E914&lt;&gt;"",F914&lt;&gt;"",G914&lt;&gt;"",H914&lt;&gt;"",J914&lt;&gt;"",K914&lt;&gt;"",N914&lt;&gt;"",O914&lt;&gt;"",P914&lt;&gt;"",Q914&lt;&gt;"",R914&lt;&gt;"",S914&lt;&gt;"",T914&lt;&gt;"",V914&lt;&gt;"",W914&lt;&gt;"",X914&lt;&gt;"",Y914&lt;&gt;""),"COMPLETE","MISSING FIELDS")))</f>
        <v/>
      </c>
    </row>
    <row r="915" ht="15" customHeight="1" s="15">
      <c r="A915" s="27" t="inlineStr">
        <is>
          <t>LEAD-0911</t>
        </is>
      </c>
      <c r="B915" s="27" t="inlineStr">
        <is>
          <t>Clara Fairchild</t>
        </is>
      </c>
      <c r="C915" s="27" t="inlineStr">
        <is>
          <t>Podcaster</t>
        </is>
      </c>
      <c r="D915" s="27" t="inlineStr">
        <is>
          <t>SG</t>
        </is>
      </c>
      <c r="E915" s="27" t="inlineStr">
        <is>
          <t>English</t>
        </is>
      </c>
      <c r="F915" s="27" t="inlineStr">
        <is>
          <t>Apple Podcasts</t>
        </is>
      </c>
      <c r="G915" s="27" t="inlineStr">
        <is>
          <t>https://podcasts.apple.com/sg/podcast/clarafairchild/id1000911</t>
        </is>
      </c>
      <c r="H915" s="27" t="inlineStr">
        <is>
          <t>AP-SG-1000911</t>
        </is>
      </c>
      <c r="I915" s="27" t="inlineStr">
        <is>
          <t>144,000</t>
        </is>
      </c>
      <c r="J915" s="27" t="inlineStr">
        <is>
          <t>2026-10-17</t>
        </is>
      </c>
      <c r="K915" s="27" t="inlineStr">
        <is>
          <t>https://clarafairchild.com/episodes/112</t>
        </is>
      </c>
      <c r="L915" s="27" t="n">
        <v>9</v>
      </c>
      <c r="M915" s="27" t="n">
        <v>27</v>
      </c>
      <c r="N915" s="27" t="inlineStr">
        <is>
          <t>Sponsor</t>
        </is>
      </c>
      <c r="O915" s="27" t="inlineStr">
        <is>
          <t>https://clarafairchild.com/partners</t>
        </is>
      </c>
      <c r="P915" s="27" t="inlineStr">
        <is>
          <t>Missing Video Captions &amp; Retention Clips</t>
        </is>
      </c>
      <c r="Q915" s="27" t="inlineStr">
        <is>
          <t>https://clarafairchild.com/highlights</t>
        </is>
      </c>
      <c r="R915" s="27" t="inlineStr">
        <is>
          <t>Email</t>
        </is>
      </c>
      <c r="S915" s="27" t="inlineStr">
        <is>
          <t>hello@clarafairchild.com</t>
        </is>
      </c>
      <c r="T915" s="27" t="inlineStr">
        <is>
          <t>https://clarafairchild.com/work-with-me</t>
        </is>
      </c>
      <c r="U915" s="27" t="inlineStr">
        <is>
          <t>LinkedIn</t>
        </is>
      </c>
      <c r="V915" s="27" t="inlineStr">
        <is>
          <t>saas &amp; product growth frameworks, specifically regarding episode 12 on SaaS &amp; Product Growth workflow optimization</t>
        </is>
      </c>
      <c r="W915" s="27" t="inlineStr">
        <is>
          <t>Hi Clara, loved your recent piece on 'saas &amp; product growth frameworks, specifically regarding episode 12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15" s="27" t="inlineStr">
        <is>
          <t>2026-10-18</t>
        </is>
      </c>
      <c r="Y915" s="27" t="inlineStr">
        <is>
          <t>C</t>
        </is>
      </c>
      <c r="Z915" s="27" t="n">
        <v>77.3</v>
      </c>
      <c r="AA915" s="27" t="inlineStr">
        <is>
          <t>Qualified</t>
        </is>
      </c>
      <c r="AB915" s="27" t="inlineStr"/>
      <c r="AC915" s="28">
        <f>IF(A915="","",IF(COUNTIF($H$5:$H$1004,H915)&gt;1,"DUPLICATE","UNIQUE"))</f>
        <v/>
      </c>
      <c r="AD915" s="28">
        <f>IF(A915="","",IF(AA915="Rejected",IF(AB915&lt;&gt;"","REJECTED","ADD REASON"),IF(AND(B915&lt;&gt;"",C915&lt;&gt;"",D915&lt;&gt;"",E915&lt;&gt;"",F915&lt;&gt;"",G915&lt;&gt;"",H915&lt;&gt;"",J915&lt;&gt;"",K915&lt;&gt;"",N915&lt;&gt;"",O915&lt;&gt;"",P915&lt;&gt;"",Q915&lt;&gt;"",R915&lt;&gt;"",S915&lt;&gt;"",T915&lt;&gt;"",V915&lt;&gt;"",W915&lt;&gt;"",X915&lt;&gt;"",Y915&lt;&gt;""),"COMPLETE","MISSING FIELDS")))</f>
        <v/>
      </c>
    </row>
    <row r="916" ht="15" customHeight="1" s="15">
      <c r="A916" s="27" t="inlineStr">
        <is>
          <t>LEAD-0912</t>
        </is>
      </c>
      <c r="B916" s="27" t="inlineStr">
        <is>
          <t>Clara Gallagher</t>
        </is>
      </c>
      <c r="C916" s="27" t="inlineStr">
        <is>
          <t>Expert-Led Creator</t>
        </is>
      </c>
      <c r="D916" s="27" t="inlineStr">
        <is>
          <t>SG</t>
        </is>
      </c>
      <c r="E916" s="27" t="inlineStr">
        <is>
          <t>English</t>
        </is>
      </c>
      <c r="F916" s="27" t="inlineStr">
        <is>
          <t>YouTube</t>
        </is>
      </c>
      <c r="G916" s="27" t="inlineStr">
        <is>
          <t>https://www.youtube.com/@claragallagher</t>
        </is>
      </c>
      <c r="H916" s="27" t="inlineStr">
        <is>
          <t>UCSG00912962687</t>
        </is>
      </c>
      <c r="I916" s="27" t="inlineStr">
        <is>
          <t>60,000</t>
        </is>
      </c>
      <c r="J916" s="27" t="inlineStr">
        <is>
          <t>2026-10-10</t>
        </is>
      </c>
      <c r="K916" s="27" t="inlineStr">
        <is>
          <t>https://www.youtube.com/watch?v=sg00912</t>
        </is>
      </c>
      <c r="L916" s="27" t="n">
        <v>10</v>
      </c>
      <c r="M916" s="27" t="n">
        <v>28</v>
      </c>
      <c r="N916" s="27" t="inlineStr">
        <is>
          <t>Membership</t>
        </is>
      </c>
      <c r="O916" s="27" t="inlineStr">
        <is>
          <t>https://claragallagher.com/community</t>
        </is>
      </c>
      <c r="P916" s="27" t="inlineStr">
        <is>
          <t>Editing Backlog &amp; Team Workflow Overhead</t>
        </is>
      </c>
      <c r="Q916" s="27" t="inlineStr">
        <is>
          <t>https://claragallagher.com/highlights</t>
        </is>
      </c>
      <c r="R916" s="27" t="inlineStr">
        <is>
          <t>Email</t>
        </is>
      </c>
      <c r="S916" s="27" t="inlineStr">
        <is>
          <t>contact@claragallagher.com</t>
        </is>
      </c>
      <c r="T916" s="27" t="inlineStr">
        <is>
          <t>https://claragallagher.com/contact</t>
        </is>
      </c>
      <c r="U916" s="27" t="inlineStr">
        <is>
          <t>LinkedIn</t>
        </is>
      </c>
      <c r="V916" s="27" t="inlineStr">
        <is>
          <t>creator business &amp; monetization frameworks, specifically regarding episode 13 on Creator Business &amp; Monetization workflow optimization</t>
        </is>
      </c>
      <c r="W916" s="27" t="inlineStr">
        <is>
          <t>Hi Clara, loved your recent piece on 'creator business &amp; monetization frameworks, specifically regarding episode 13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16" s="27" t="inlineStr">
        <is>
          <t>2026-10-18</t>
        </is>
      </c>
      <c r="Y916" s="27" t="inlineStr">
        <is>
          <t>C</t>
        </is>
      </c>
      <c r="Z916" s="27" t="n">
        <v>77.3</v>
      </c>
      <c r="AA916" s="27" t="inlineStr">
        <is>
          <t>Qualified</t>
        </is>
      </c>
      <c r="AB916" s="27" t="inlineStr"/>
      <c r="AC916" s="28">
        <f>IF(A916="","",IF(COUNTIF($H$5:$H$1004,H916)&gt;1,"DUPLICATE","UNIQUE"))</f>
        <v/>
      </c>
      <c r="AD916" s="28">
        <f>IF(A916="","",IF(AA916="Rejected",IF(AB916&lt;&gt;"","REJECTED","ADD REASON"),IF(AND(B916&lt;&gt;"",C916&lt;&gt;"",D916&lt;&gt;"",E916&lt;&gt;"",F916&lt;&gt;"",G916&lt;&gt;"",H916&lt;&gt;"",J916&lt;&gt;"",K916&lt;&gt;"",N916&lt;&gt;"",O916&lt;&gt;"",P916&lt;&gt;"",Q916&lt;&gt;"",R916&lt;&gt;"",S916&lt;&gt;"",T916&lt;&gt;"",V916&lt;&gt;"",W916&lt;&gt;"",X916&lt;&gt;"",Y916&lt;&gt;""),"COMPLETE","MISSING FIELDS")))</f>
        <v/>
      </c>
    </row>
    <row r="917" ht="15" customHeight="1" s="15">
      <c r="A917" s="27" t="inlineStr">
        <is>
          <t>LEAD-0913</t>
        </is>
      </c>
      <c r="B917" s="27" t="inlineStr">
        <is>
          <t>Clara Hawthorne</t>
        </is>
      </c>
      <c r="C917" s="27" t="inlineStr">
        <is>
          <t>YouTuber</t>
        </is>
      </c>
      <c r="D917" s="27" t="inlineStr">
        <is>
          <t>SG</t>
        </is>
      </c>
      <c r="E917" s="27" t="inlineStr">
        <is>
          <t>English</t>
        </is>
      </c>
      <c r="F917" s="27" t="inlineStr">
        <is>
          <t>YouTube</t>
        </is>
      </c>
      <c r="G917" s="27" t="inlineStr">
        <is>
          <t>https://www.youtube.com/@clarahawthorne</t>
        </is>
      </c>
      <c r="H917" s="27" t="inlineStr">
        <is>
          <t>UCSG00913261764</t>
        </is>
      </c>
      <c r="I917" s="27" t="inlineStr">
        <is>
          <t>80,000</t>
        </is>
      </c>
      <c r="J917" s="27" t="inlineStr">
        <is>
          <t>2026-10-11</t>
        </is>
      </c>
      <c r="K917" s="27" t="inlineStr">
        <is>
          <t>https://www.youtube.com/watch?v=sg00913</t>
        </is>
      </c>
      <c r="L917" s="27" t="n">
        <v>11</v>
      </c>
      <c r="M917" s="27" t="n">
        <v>29</v>
      </c>
      <c r="N917" s="27" t="inlineStr">
        <is>
          <t>Product</t>
        </is>
      </c>
      <c r="O917" s="27" t="inlineStr">
        <is>
          <t>https://clarahawthorne.com/shop</t>
        </is>
      </c>
      <c r="P917" s="27" t="inlineStr">
        <is>
          <t>Shorts Repurposing Bottleneck</t>
        </is>
      </c>
      <c r="Q917" s="27" t="inlineStr">
        <is>
          <t>https://clarahawthorne.com/highlights</t>
        </is>
      </c>
      <c r="R917" s="27" t="inlineStr">
        <is>
          <t>LinkedIn</t>
        </is>
      </c>
      <c r="S917" s="27" t="inlineStr">
        <is>
          <t>https://linkedin.com/in/clarahawthorne</t>
        </is>
      </c>
      <c r="T917" s="27" t="inlineStr">
        <is>
          <t>https://clarahawthorne.com/about</t>
        </is>
      </c>
      <c r="U917" s="27" t="inlineStr">
        <is>
          <t>Email</t>
        </is>
      </c>
      <c r="V917" s="27" t="inlineStr">
        <is>
          <t>productivity &amp; personal systems frameworks, specifically regarding episode 14 on Productivity &amp; Personal Systems workflow optimization</t>
        </is>
      </c>
      <c r="W917" s="27" t="inlineStr">
        <is>
          <t>Hi Clara, loved your recent piece on 'productivity &amp; personal systems frameworks, specifically regarding episode 14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17" s="27" t="inlineStr">
        <is>
          <t>2026-10-18</t>
        </is>
      </c>
      <c r="Y917" s="27" t="inlineStr">
        <is>
          <t>C</t>
        </is>
      </c>
      <c r="Z917" s="27" t="n">
        <v>77.2</v>
      </c>
      <c r="AA917" s="27" t="inlineStr">
        <is>
          <t>Qualified</t>
        </is>
      </c>
      <c r="AB917" s="27" t="inlineStr"/>
      <c r="AC917" s="28">
        <f>IF(A917="","",IF(COUNTIF($H$5:$H$1004,H917)&gt;1,"DUPLICATE","UNIQUE"))</f>
        <v/>
      </c>
      <c r="AD917" s="28">
        <f>IF(A917="","",IF(AA917="Rejected",IF(AB917&lt;&gt;"","REJECTED","ADD REASON"),IF(AND(B917&lt;&gt;"",C917&lt;&gt;"",D917&lt;&gt;"",E917&lt;&gt;"",F917&lt;&gt;"",G917&lt;&gt;"",H917&lt;&gt;"",J917&lt;&gt;"",K917&lt;&gt;"",N917&lt;&gt;"",O917&lt;&gt;"",P917&lt;&gt;"",Q917&lt;&gt;"",R917&lt;&gt;"",S917&lt;&gt;"",T917&lt;&gt;"",V917&lt;&gt;"",W917&lt;&gt;"",X917&lt;&gt;"",Y917&lt;&gt;""),"COMPLETE","MISSING FIELDS")))</f>
        <v/>
      </c>
    </row>
    <row r="918" ht="15" customHeight="1" s="15">
      <c r="A918" s="27" t="inlineStr">
        <is>
          <t>LEAD-0914</t>
        </is>
      </c>
      <c r="B918" s="27" t="inlineStr">
        <is>
          <t>Clara Ingram</t>
        </is>
      </c>
      <c r="C918" s="27" t="inlineStr">
        <is>
          <t>Podcaster</t>
        </is>
      </c>
      <c r="D918" s="27" t="inlineStr">
        <is>
          <t>SG</t>
        </is>
      </c>
      <c r="E918" s="27" t="inlineStr">
        <is>
          <t>English</t>
        </is>
      </c>
      <c r="F918" s="27" t="inlineStr">
        <is>
          <t>Apple Podcasts</t>
        </is>
      </c>
      <c r="G918" s="27" t="inlineStr">
        <is>
          <t>https://podcasts.apple.com/sg/podcast/claraingram/id1000914</t>
        </is>
      </c>
      <c r="H918" s="27" t="inlineStr">
        <is>
          <t>AP-SG-1000914</t>
        </is>
      </c>
      <c r="I918" s="27" t="inlineStr">
        <is>
          <t>180,000</t>
        </is>
      </c>
      <c r="J918" s="27" t="inlineStr">
        <is>
          <t>2026-10-12</t>
        </is>
      </c>
      <c r="K918" s="27" t="inlineStr">
        <is>
          <t>https://claraingram.com/episodes/115</t>
        </is>
      </c>
      <c r="L918" s="27" t="n">
        <v>12</v>
      </c>
      <c r="M918" s="27" t="n">
        <v>30</v>
      </c>
      <c r="N918" s="27" t="inlineStr">
        <is>
          <t>Consulting</t>
        </is>
      </c>
      <c r="O918" s="27" t="inlineStr">
        <is>
          <t>https://claraingram.com/advisory</t>
        </is>
      </c>
      <c r="P918" s="27" t="inlineStr">
        <is>
          <t>Inconsistent Cross-Platform Publishing</t>
        </is>
      </c>
      <c r="Q918" s="27" t="inlineStr">
        <is>
          <t>https://claraingram.com/highlights</t>
        </is>
      </c>
      <c r="R918" s="27" t="inlineStr">
        <is>
          <t>X (Twitter)</t>
        </is>
      </c>
      <c r="S918" s="27" t="inlineStr">
        <is>
          <t>https://x.com/claraingram</t>
        </is>
      </c>
      <c r="T918" s="27" t="inlineStr">
        <is>
          <t>https://claraingram.com/links</t>
        </is>
      </c>
      <c r="U918" s="27" t="inlineStr">
        <is>
          <t>LinkedIn</t>
        </is>
      </c>
      <c r="V918" s="27" t="inlineStr">
        <is>
          <t>leadership &amp; team ops frameworks, specifically regarding episode 15 on Leadership &amp; Team Ops workflow optimization</t>
        </is>
      </c>
      <c r="W918" s="27" t="inlineStr">
        <is>
          <t>Hi Clara, loved your recent piece on 'leadership &amp; team ops frameworks, specifically regarding episode 15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18" s="27" t="inlineStr">
        <is>
          <t>2026-10-18</t>
        </is>
      </c>
      <c r="Y918" s="27" t="inlineStr">
        <is>
          <t>C</t>
        </is>
      </c>
      <c r="Z918" s="27" t="n">
        <v>77.2</v>
      </c>
      <c r="AA918" s="27" t="inlineStr">
        <is>
          <t>Qualified</t>
        </is>
      </c>
      <c r="AB918" s="27" t="inlineStr"/>
      <c r="AC918" s="28">
        <f>IF(A918="","",IF(COUNTIF($H$5:$H$1004,H918)&gt;1,"DUPLICATE","UNIQUE"))</f>
        <v/>
      </c>
      <c r="AD918" s="28">
        <f>IF(A918="","",IF(AA918="Rejected",IF(AB918&lt;&gt;"","REJECTED","ADD REASON"),IF(AND(B918&lt;&gt;"",C918&lt;&gt;"",D918&lt;&gt;"",E918&lt;&gt;"",F918&lt;&gt;"",G918&lt;&gt;"",H918&lt;&gt;"",J918&lt;&gt;"",K918&lt;&gt;"",N918&lt;&gt;"",O918&lt;&gt;"",P918&lt;&gt;"",Q918&lt;&gt;"",R918&lt;&gt;"",S918&lt;&gt;"",T918&lt;&gt;"",V918&lt;&gt;"",W918&lt;&gt;"",X918&lt;&gt;"",Y918&lt;&gt;""),"COMPLETE","MISSING FIELDS")))</f>
        <v/>
      </c>
    </row>
    <row r="919" ht="15" customHeight="1" s="15">
      <c r="A919" s="27" t="inlineStr">
        <is>
          <t>LEAD-0915</t>
        </is>
      </c>
      <c r="B919" s="27" t="inlineStr">
        <is>
          <t>Clara Jennings</t>
        </is>
      </c>
      <c r="C919" s="27" t="inlineStr">
        <is>
          <t>Expert-Led Creator</t>
        </is>
      </c>
      <c r="D919" s="27" t="inlineStr">
        <is>
          <t>SG</t>
        </is>
      </c>
      <c r="E919" s="27" t="inlineStr">
        <is>
          <t>English</t>
        </is>
      </c>
      <c r="F919" s="27" t="inlineStr">
        <is>
          <t>LinkedIn</t>
        </is>
      </c>
      <c r="G919" s="27" t="inlineStr">
        <is>
          <t>https://www.linkedin.com/in/clarajennings</t>
        </is>
      </c>
      <c r="H919" s="27" t="inlineStr">
        <is>
          <t>LI-clarajennings-0915</t>
        </is>
      </c>
      <c r="I919" s="27" t="inlineStr">
        <is>
          <t>96,000</t>
        </is>
      </c>
      <c r="J919" s="27" t="inlineStr">
        <is>
          <t>2026-10-13</t>
        </is>
      </c>
      <c r="K919" s="27" t="inlineStr">
        <is>
          <t>https://clarajennings.com/posts/16</t>
        </is>
      </c>
      <c r="L919" s="27" t="n">
        <v>13</v>
      </c>
      <c r="M919" s="27" t="n">
        <v>31</v>
      </c>
      <c r="N919" s="27" t="inlineStr">
        <is>
          <t>Newsletter Subscription</t>
        </is>
      </c>
      <c r="O919" s="27" t="inlineStr">
        <is>
          <t>https://clarajennings.com/subscribe</t>
        </is>
      </c>
      <c r="P919" s="27" t="inlineStr">
        <is>
          <t>Editing Backlog &amp; Team Workflow Overhead</t>
        </is>
      </c>
      <c r="Q919" s="27" t="inlineStr">
        <is>
          <t>https://clarajennings.com/highlights</t>
        </is>
      </c>
      <c r="R919" s="27" t="inlineStr">
        <is>
          <t>Email</t>
        </is>
      </c>
      <c r="S919" s="27" t="inlineStr">
        <is>
          <t>hello@clarajennings.com</t>
        </is>
      </c>
      <c r="T919" s="27" t="inlineStr">
        <is>
          <t>https://clarajennings.com/work-with-me</t>
        </is>
      </c>
      <c r="U919" s="27" t="inlineStr">
        <is>
          <t>LinkedIn</t>
        </is>
      </c>
      <c r="V919" s="27" t="inlineStr">
        <is>
          <t>b2b marketing &amp; sales frameworks, specifically regarding episode 16 on B2B Marketing &amp; Sales workflow optimization</t>
        </is>
      </c>
      <c r="W919" s="27" t="inlineStr">
        <is>
          <t>Hi Clara, loved your recent piece on 'b2b marketing &amp; sales frameworks, specifically regarding episode 16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19" s="27" t="inlineStr">
        <is>
          <t>2026-10-18</t>
        </is>
      </c>
      <c r="Y919" s="27" t="inlineStr">
        <is>
          <t>C</t>
        </is>
      </c>
      <c r="Z919" s="27" t="n">
        <v>77.09999999999999</v>
      </c>
      <c r="AA919" s="27" t="inlineStr">
        <is>
          <t>Qualified</t>
        </is>
      </c>
      <c r="AB919" s="27" t="inlineStr"/>
      <c r="AC919" s="28">
        <f>IF(A919="","",IF(COUNTIF($H$5:$H$1004,H919)&gt;1,"DUPLICATE","UNIQUE"))</f>
        <v/>
      </c>
      <c r="AD919" s="28">
        <f>IF(A919="","",IF(AA919="Rejected",IF(AB919&lt;&gt;"","REJECTED","ADD REASON"),IF(AND(B919&lt;&gt;"",C919&lt;&gt;"",D919&lt;&gt;"",E919&lt;&gt;"",F919&lt;&gt;"",G919&lt;&gt;"",H919&lt;&gt;"",J919&lt;&gt;"",K919&lt;&gt;"",N919&lt;&gt;"",O919&lt;&gt;"",P919&lt;&gt;"",Q919&lt;&gt;"",R919&lt;&gt;"",S919&lt;&gt;"",T919&lt;&gt;"",V919&lt;&gt;"",W919&lt;&gt;"",X919&lt;&gt;"",Y919&lt;&gt;""),"COMPLETE","MISSING FIELDS")))</f>
        <v/>
      </c>
    </row>
    <row r="920" ht="15" customHeight="1" s="15">
      <c r="A920" s="27" t="inlineStr">
        <is>
          <t>LEAD-0916</t>
        </is>
      </c>
      <c r="B920" s="27" t="inlineStr">
        <is>
          <t>Clara Kingsley</t>
        </is>
      </c>
      <c r="C920" s="27" t="inlineStr">
        <is>
          <t>YouTuber</t>
        </is>
      </c>
      <c r="D920" s="27" t="inlineStr">
        <is>
          <t>IE</t>
        </is>
      </c>
      <c r="E920" s="27" t="inlineStr">
        <is>
          <t>English</t>
        </is>
      </c>
      <c r="F920" s="27" t="inlineStr">
        <is>
          <t>YouTube</t>
        </is>
      </c>
      <c r="G920" s="27" t="inlineStr">
        <is>
          <t>https://www.youtube.com/@clarakingsley</t>
        </is>
      </c>
      <c r="H920" s="27" t="inlineStr">
        <is>
          <t>UCIE00916484527</t>
        </is>
      </c>
      <c r="I920" s="27" t="inlineStr">
        <is>
          <t>140,000</t>
        </is>
      </c>
      <c r="J920" s="27" t="inlineStr">
        <is>
          <t>2026-10-14</t>
        </is>
      </c>
      <c r="K920" s="27" t="inlineStr">
        <is>
          <t>https://www.youtube.com/watch?v=ie00916</t>
        </is>
      </c>
      <c r="L920" s="27" t="n">
        <v>14</v>
      </c>
      <c r="M920" s="27" t="n">
        <v>32</v>
      </c>
      <c r="N920" s="27" t="inlineStr">
        <is>
          <t>Affiliate</t>
        </is>
      </c>
      <c r="O920" s="27" t="inlineStr">
        <is>
          <t>https://clarakingsley.com/resources</t>
        </is>
      </c>
      <c r="P920" s="27" t="inlineStr">
        <is>
          <t>Multilingual Audio Dubbing</t>
        </is>
      </c>
      <c r="Q920" s="27" t="inlineStr">
        <is>
          <t>https://clarakingsley.com/highlights</t>
        </is>
      </c>
      <c r="R920" s="27" t="inlineStr">
        <is>
          <t>Email</t>
        </is>
      </c>
      <c r="S920" s="27" t="inlineStr">
        <is>
          <t>contact@clarakingsley.com</t>
        </is>
      </c>
      <c r="T920" s="27" t="inlineStr">
        <is>
          <t>https://clarakingsley.com/contact</t>
        </is>
      </c>
      <c r="U920" s="27" t="inlineStr">
        <is>
          <t>LinkedIn</t>
        </is>
      </c>
      <c r="V920" s="27" t="inlineStr">
        <is>
          <t>finance &amp; wealth engineering frameworks, specifically regarding episode 17 on Finance &amp; Wealth Engineering workflow optimization</t>
        </is>
      </c>
      <c r="W920" s="27" t="inlineStr">
        <is>
          <t>Hi Clara, loved your recent piece on 'finance &amp; wealth engineering frameworks, specifically regarding episode 17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20" s="27" t="inlineStr">
        <is>
          <t>2026-10-18</t>
        </is>
      </c>
      <c r="Y920" s="27" t="inlineStr">
        <is>
          <t>C</t>
        </is>
      </c>
      <c r="Z920" s="27" t="n">
        <v>77</v>
      </c>
      <c r="AA920" s="27" t="inlineStr">
        <is>
          <t>Qualified</t>
        </is>
      </c>
      <c r="AB920" s="27" t="inlineStr"/>
      <c r="AC920" s="28">
        <f>IF(A920="","",IF(COUNTIF($H$5:$H$1004,H920)&gt;1,"DUPLICATE","UNIQUE"))</f>
        <v/>
      </c>
      <c r="AD920" s="28">
        <f>IF(A920="","",IF(AA920="Rejected",IF(AB920&lt;&gt;"","REJECTED","ADD REASON"),IF(AND(B920&lt;&gt;"",C920&lt;&gt;"",D920&lt;&gt;"",E920&lt;&gt;"",F920&lt;&gt;"",G920&lt;&gt;"",H920&lt;&gt;"",J920&lt;&gt;"",K920&lt;&gt;"",N920&lt;&gt;"",O920&lt;&gt;"",P920&lt;&gt;"",Q920&lt;&gt;"",R920&lt;&gt;"",S920&lt;&gt;"",T920&lt;&gt;"",V920&lt;&gt;"",W920&lt;&gt;"",X920&lt;&gt;"",Y920&lt;&gt;""),"COMPLETE","MISSING FIELDS")))</f>
        <v/>
      </c>
    </row>
    <row r="921" ht="15" customHeight="1" s="15">
      <c r="A921" s="27" t="inlineStr">
        <is>
          <t>LEAD-0917</t>
        </is>
      </c>
      <c r="B921" s="27" t="inlineStr">
        <is>
          <t>Clara Lockwood</t>
        </is>
      </c>
      <c r="C921" s="27" t="inlineStr">
        <is>
          <t>Podcaster</t>
        </is>
      </c>
      <c r="D921" s="27" t="inlineStr">
        <is>
          <t>IE</t>
        </is>
      </c>
      <c r="E921" s="27" t="inlineStr">
        <is>
          <t>English</t>
        </is>
      </c>
      <c r="F921" s="27" t="inlineStr">
        <is>
          <t>Apple Podcasts</t>
        </is>
      </c>
      <c r="G921" s="27" t="inlineStr">
        <is>
          <t>https://podcasts.apple.com/ie/podcast/claralockwood/id1000917</t>
        </is>
      </c>
      <c r="H921" s="27" t="inlineStr">
        <is>
          <t>AP-IE-1000917</t>
        </is>
      </c>
      <c r="I921" s="27" t="inlineStr">
        <is>
          <t>216,000</t>
        </is>
      </c>
      <c r="J921" s="27" t="inlineStr">
        <is>
          <t>2026-10-15</t>
        </is>
      </c>
      <c r="K921" s="27" t="inlineStr">
        <is>
          <t>https://claralockwood.com/episodes/118</t>
        </is>
      </c>
      <c r="L921" s="27" t="n">
        <v>15</v>
      </c>
      <c r="M921" s="27" t="n">
        <v>33</v>
      </c>
      <c r="N921" s="27" t="inlineStr">
        <is>
          <t>Course</t>
        </is>
      </c>
      <c r="O921" s="27" t="inlineStr">
        <is>
          <t>https://claralockwood.com/academy</t>
        </is>
      </c>
      <c r="P921" s="27" t="inlineStr">
        <is>
          <t>Multilingual Audio Dubbing</t>
        </is>
      </c>
      <c r="Q921" s="27" t="inlineStr">
        <is>
          <t>https://claralockwood.com/highlights</t>
        </is>
      </c>
      <c r="R921" s="27" t="inlineStr">
        <is>
          <t>LinkedIn</t>
        </is>
      </c>
      <c r="S921" s="27" t="inlineStr">
        <is>
          <t>https://linkedin.com/in/claralockwood</t>
        </is>
      </c>
      <c r="T921" s="27" t="inlineStr">
        <is>
          <t>https://claralockwood.com/about</t>
        </is>
      </c>
      <c r="U921" s="27" t="inlineStr">
        <is>
          <t>Email</t>
        </is>
      </c>
      <c r="V921" s="27" t="inlineStr">
        <is>
          <t>health &amp; longevity science frameworks, specifically regarding episode 18 on Health &amp; Longevity Science workflow optimization</t>
        </is>
      </c>
      <c r="W921" s="27" t="inlineStr">
        <is>
          <t>Hi Clara, loved your recent piece on 'health &amp; longevity science frameworks, specifically regarding episode 18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21" s="27" t="inlineStr">
        <is>
          <t>2026-10-18</t>
        </is>
      </c>
      <c r="Y921" s="27" t="inlineStr">
        <is>
          <t>C</t>
        </is>
      </c>
      <c r="Z921" s="27" t="n">
        <v>77</v>
      </c>
      <c r="AA921" s="27" t="inlineStr">
        <is>
          <t>Qualified</t>
        </is>
      </c>
      <c r="AB921" s="27" t="inlineStr"/>
      <c r="AC921" s="28">
        <f>IF(A921="","",IF(COUNTIF($H$5:$H$1004,H921)&gt;1,"DUPLICATE","UNIQUE"))</f>
        <v/>
      </c>
      <c r="AD921" s="28">
        <f>IF(A921="","",IF(AA921="Rejected",IF(AB921&lt;&gt;"","REJECTED","ADD REASON"),IF(AND(B921&lt;&gt;"",C921&lt;&gt;"",D921&lt;&gt;"",E921&lt;&gt;"",F921&lt;&gt;"",G921&lt;&gt;"",H921&lt;&gt;"",J921&lt;&gt;"",K921&lt;&gt;"",N921&lt;&gt;"",O921&lt;&gt;"",P921&lt;&gt;"",Q921&lt;&gt;"",R921&lt;&gt;"",S921&lt;&gt;"",T921&lt;&gt;"",V921&lt;&gt;"",W921&lt;&gt;"",X921&lt;&gt;"",Y921&lt;&gt;""),"COMPLETE","MISSING FIELDS")))</f>
        <v/>
      </c>
    </row>
    <row r="922" ht="15" customHeight="1" s="15">
      <c r="A922" s="27" t="inlineStr">
        <is>
          <t>LEAD-0918</t>
        </is>
      </c>
      <c r="B922" s="27" t="inlineStr">
        <is>
          <t>Clara Montague</t>
        </is>
      </c>
      <c r="C922" s="27" t="inlineStr">
        <is>
          <t>YouTuber</t>
        </is>
      </c>
      <c r="D922" s="27" t="inlineStr">
        <is>
          <t>IE</t>
        </is>
      </c>
      <c r="E922" s="27" t="inlineStr">
        <is>
          <t>English</t>
        </is>
      </c>
      <c r="F922" s="27" t="inlineStr">
        <is>
          <t>YouTube</t>
        </is>
      </c>
      <c r="G922" s="27" t="inlineStr">
        <is>
          <t>https://www.youtube.com/@claramontague</t>
        </is>
      </c>
      <c r="H922" s="27" t="inlineStr">
        <is>
          <t>UCIE00918236456</t>
        </is>
      </c>
      <c r="I922" s="27" t="inlineStr">
        <is>
          <t>180,000</t>
        </is>
      </c>
      <c r="J922" s="27" t="inlineStr">
        <is>
          <t>2026-10-16</t>
        </is>
      </c>
      <c r="K922" s="27" t="inlineStr">
        <is>
          <t>https://www.youtube.com/watch?v=ie00918</t>
        </is>
      </c>
      <c r="L922" s="27" t="n">
        <v>16</v>
      </c>
      <c r="M922" s="27" t="n">
        <v>16</v>
      </c>
      <c r="N922" s="27" t="inlineStr">
        <is>
          <t>Sponsor</t>
        </is>
      </c>
      <c r="O922" s="27" t="inlineStr">
        <is>
          <t>https://claramontague.com/partners</t>
        </is>
      </c>
      <c r="P922" s="27" t="inlineStr">
        <is>
          <t>Missing Video Captions &amp; Retention Clips</t>
        </is>
      </c>
      <c r="Q922" s="27" t="inlineStr">
        <is>
          <t>https://claramontague.com/highlights</t>
        </is>
      </c>
      <c r="R922" s="27" t="inlineStr">
        <is>
          <t>X (Twitter)</t>
        </is>
      </c>
      <c r="S922" s="27" t="inlineStr">
        <is>
          <t>https://x.com/claramontague</t>
        </is>
      </c>
      <c r="T922" s="27" t="inlineStr">
        <is>
          <t>https://claramontague.com/links</t>
        </is>
      </c>
      <c r="U922" s="27" t="inlineStr">
        <is>
          <t>LinkedIn</t>
        </is>
      </c>
      <c r="V922" s="27" t="inlineStr">
        <is>
          <t>education &amp; applied coding frameworks, specifically regarding episode 19 on Education &amp; Applied Coding workflow optimization</t>
        </is>
      </c>
      <c r="W922" s="27" t="inlineStr">
        <is>
          <t>Hi Clara, loved your recent piece on 'education &amp; applied coding frameworks, specifically regarding episode 19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22" s="27" t="inlineStr">
        <is>
          <t>2026-10-18</t>
        </is>
      </c>
      <c r="Y922" s="27" t="inlineStr">
        <is>
          <t>C</t>
        </is>
      </c>
      <c r="Z922" s="27" t="n">
        <v>76.90000000000001</v>
      </c>
      <c r="AA922" s="27" t="inlineStr">
        <is>
          <t>Qualified</t>
        </is>
      </c>
      <c r="AB922" s="27" t="inlineStr"/>
      <c r="AC922" s="28">
        <f>IF(A922="","",IF(COUNTIF($H$5:$H$1004,H922)&gt;1,"DUPLICATE","UNIQUE"))</f>
        <v/>
      </c>
      <c r="AD922" s="28">
        <f>IF(A922="","",IF(AA922="Rejected",IF(AB922&lt;&gt;"","REJECTED","ADD REASON"),IF(AND(B922&lt;&gt;"",C922&lt;&gt;"",D922&lt;&gt;"",E922&lt;&gt;"",F922&lt;&gt;"",G922&lt;&gt;"",H922&lt;&gt;"",J922&lt;&gt;"",K922&lt;&gt;"",N922&lt;&gt;"",O922&lt;&gt;"",P922&lt;&gt;"",Q922&lt;&gt;"",R922&lt;&gt;"",S922&lt;&gt;"",T922&lt;&gt;"",V922&lt;&gt;"",W922&lt;&gt;"",X922&lt;&gt;"",Y922&lt;&gt;""),"COMPLETE","MISSING FIELDS")))</f>
        <v/>
      </c>
    </row>
    <row r="923" ht="15" customHeight="1" s="15">
      <c r="A923" s="27" t="inlineStr">
        <is>
          <t>LEAD-0919</t>
        </is>
      </c>
      <c r="B923" s="27" t="inlineStr">
        <is>
          <t>Clara Northwood</t>
        </is>
      </c>
      <c r="C923" s="27" t="inlineStr">
        <is>
          <t>Podcaster</t>
        </is>
      </c>
      <c r="D923" s="27" t="inlineStr">
        <is>
          <t>IE</t>
        </is>
      </c>
      <c r="E923" s="27" t="inlineStr">
        <is>
          <t>English</t>
        </is>
      </c>
      <c r="F923" s="27" t="inlineStr">
        <is>
          <t>Apple Podcasts</t>
        </is>
      </c>
      <c r="G923" s="27" t="inlineStr">
        <is>
          <t>https://podcasts.apple.com/ie/podcast/claranorthwood/id1000919</t>
        </is>
      </c>
      <c r="H923" s="27" t="inlineStr">
        <is>
          <t>AP-IE-1000919</t>
        </is>
      </c>
      <c r="I923" s="27" t="inlineStr">
        <is>
          <t>240,000</t>
        </is>
      </c>
      <c r="J923" s="27" t="inlineStr">
        <is>
          <t>2026-10-17</t>
        </is>
      </c>
      <c r="K923" s="27" t="inlineStr">
        <is>
          <t>https://claranorthwood.com/episodes/120</t>
        </is>
      </c>
      <c r="L923" s="27" t="n">
        <v>17</v>
      </c>
      <c r="M923" s="27" t="n">
        <v>17</v>
      </c>
      <c r="N923" s="27" t="inlineStr">
        <is>
          <t>Membership</t>
        </is>
      </c>
      <c r="O923" s="27" t="inlineStr">
        <is>
          <t>https://claranorthwood.com/community</t>
        </is>
      </c>
      <c r="P923" s="27" t="inlineStr">
        <is>
          <t>Shorts Repurposing Bottleneck</t>
        </is>
      </c>
      <c r="Q923" s="27" t="inlineStr">
        <is>
          <t>https://claranorthwood.com/highlights</t>
        </is>
      </c>
      <c r="R923" s="27" t="inlineStr">
        <is>
          <t>Email</t>
        </is>
      </c>
      <c r="S923" s="27" t="inlineStr">
        <is>
          <t>hello@claranorthwood.com</t>
        </is>
      </c>
      <c r="T923" s="27" t="inlineStr">
        <is>
          <t>https://claranorthwood.com/work-with-me</t>
        </is>
      </c>
      <c r="U923" s="27" t="inlineStr">
        <is>
          <t>LinkedIn</t>
        </is>
      </c>
      <c r="V923" s="27" t="inlineStr">
        <is>
          <t>e-commerce &amp; digital brands frameworks, specifically regarding episode 20 on E-Commerce &amp; Digital Brands workflow optimization</t>
        </is>
      </c>
      <c r="W923" s="27" t="inlineStr">
        <is>
          <t>Hi Clara, loved your recent piece on 'e-commerce &amp; digital brands frameworks, specifically regarding episode 20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23" s="27" t="inlineStr">
        <is>
          <t>2026-10-18</t>
        </is>
      </c>
      <c r="Y923" s="27" t="inlineStr">
        <is>
          <t>C</t>
        </is>
      </c>
      <c r="Z923" s="27" t="n">
        <v>76.90000000000001</v>
      </c>
      <c r="AA923" s="27" t="inlineStr">
        <is>
          <t>Qualified</t>
        </is>
      </c>
      <c r="AB923" s="27" t="inlineStr"/>
      <c r="AC923" s="28">
        <f>IF(A923="","",IF(COUNTIF($H$5:$H$1004,H923)&gt;1,"DUPLICATE","UNIQUE"))</f>
        <v/>
      </c>
      <c r="AD923" s="28">
        <f>IF(A923="","",IF(AA923="Rejected",IF(AB923&lt;&gt;"","REJECTED","ADD REASON"),IF(AND(B923&lt;&gt;"",C923&lt;&gt;"",D923&lt;&gt;"",E923&lt;&gt;"",F923&lt;&gt;"",G923&lt;&gt;"",H923&lt;&gt;"",J923&lt;&gt;"",K923&lt;&gt;"",N923&lt;&gt;"",O923&lt;&gt;"",P923&lt;&gt;"",Q923&lt;&gt;"",R923&lt;&gt;"",S923&lt;&gt;"",T923&lt;&gt;"",V923&lt;&gt;"",W923&lt;&gt;"",X923&lt;&gt;"",Y923&lt;&gt;""),"COMPLETE","MISSING FIELDS")))</f>
        <v/>
      </c>
    </row>
    <row r="924" ht="15" customHeight="1" s="15">
      <c r="A924" s="27" t="inlineStr">
        <is>
          <t>LEAD-0920</t>
        </is>
      </c>
      <c r="B924" s="27" t="inlineStr">
        <is>
          <t>Clara Oakley</t>
        </is>
      </c>
      <c r="C924" s="27" t="inlineStr">
        <is>
          <t>YouTuber</t>
        </is>
      </c>
      <c r="D924" s="27" t="inlineStr">
        <is>
          <t>IE</t>
        </is>
      </c>
      <c r="E924" s="27" t="inlineStr">
        <is>
          <t>English</t>
        </is>
      </c>
      <c r="F924" s="27" t="inlineStr">
        <is>
          <t>YouTube</t>
        </is>
      </c>
      <c r="G924" s="27" t="inlineStr">
        <is>
          <t>https://www.youtube.com/@claraoakley</t>
        </is>
      </c>
      <c r="H924" s="27" t="inlineStr">
        <is>
          <t>UCIE00920945488</t>
        </is>
      </c>
      <c r="I924" s="27" t="inlineStr">
        <is>
          <t>220,000</t>
        </is>
      </c>
      <c r="J924" s="27" t="inlineStr">
        <is>
          <t>2026-10-10</t>
        </is>
      </c>
      <c r="K924" s="27" t="inlineStr">
        <is>
          <t>https://www.youtube.com/watch?v=ie00920</t>
        </is>
      </c>
      <c r="L924" s="27" t="n">
        <v>8</v>
      </c>
      <c r="M924" s="27" t="n">
        <v>18</v>
      </c>
      <c r="N924" s="27" t="inlineStr">
        <is>
          <t>Product</t>
        </is>
      </c>
      <c r="O924" s="27" t="inlineStr">
        <is>
          <t>https://claraoakley.com/shop</t>
        </is>
      </c>
      <c r="P924" s="27" t="inlineStr">
        <is>
          <t>Shorts Repurposing Bottleneck</t>
        </is>
      </c>
      <c r="Q924" s="27" t="inlineStr">
        <is>
          <t>https://claraoakley.com/highlights</t>
        </is>
      </c>
      <c r="R924" s="27" t="inlineStr">
        <is>
          <t>Email</t>
        </is>
      </c>
      <c r="S924" s="27" t="inlineStr">
        <is>
          <t>contact@claraoakley.com</t>
        </is>
      </c>
      <c r="T924" s="27" t="inlineStr">
        <is>
          <t>https://claraoakley.com/contact</t>
        </is>
      </c>
      <c r="U924" s="27" t="inlineStr">
        <is>
          <t>LinkedIn</t>
        </is>
      </c>
      <c r="V924" s="27" t="inlineStr">
        <is>
          <t>tech &amp; ai frameworks, specifically regarding episode 21 on Tech &amp; AI workflow optimization</t>
        </is>
      </c>
      <c r="W924" s="27" t="inlineStr">
        <is>
          <t>Hi Clara, loved your recent piece on 'tech &amp; ai frameworks, specifically regarding episode 21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24" s="27" t="inlineStr">
        <is>
          <t>2026-10-18</t>
        </is>
      </c>
      <c r="Y924" s="27" t="inlineStr">
        <is>
          <t>C</t>
        </is>
      </c>
      <c r="Z924" s="27" t="n">
        <v>76.8</v>
      </c>
      <c r="AA924" s="27" t="inlineStr">
        <is>
          <t>Qualified</t>
        </is>
      </c>
      <c r="AB924" s="27" t="inlineStr"/>
      <c r="AC924" s="28">
        <f>IF(A924="","",IF(COUNTIF($H$5:$H$1004,H924)&gt;1,"DUPLICATE","UNIQUE"))</f>
        <v/>
      </c>
      <c r="AD924" s="28">
        <f>IF(A924="","",IF(AA924="Rejected",IF(AB924&lt;&gt;"","REJECTED","ADD REASON"),IF(AND(B924&lt;&gt;"",C924&lt;&gt;"",D924&lt;&gt;"",E924&lt;&gt;"",F924&lt;&gt;"",G924&lt;&gt;"",H924&lt;&gt;"",J924&lt;&gt;"",K924&lt;&gt;"",N924&lt;&gt;"",O924&lt;&gt;"",P924&lt;&gt;"",Q924&lt;&gt;"",R924&lt;&gt;"",S924&lt;&gt;"",T924&lt;&gt;"",V924&lt;&gt;"",W924&lt;&gt;"",X924&lt;&gt;"",Y924&lt;&gt;""),"COMPLETE","MISSING FIELDS")))</f>
        <v/>
      </c>
    </row>
    <row r="925" ht="15" customHeight="1" s="15">
      <c r="A925" s="27" t="inlineStr">
        <is>
          <t>LEAD-0921</t>
        </is>
      </c>
      <c r="B925" s="27" t="inlineStr">
        <is>
          <t>Clara Pemberton</t>
        </is>
      </c>
      <c r="C925" s="27" t="inlineStr">
        <is>
          <t>Podcaster</t>
        </is>
      </c>
      <c r="D925" s="27" t="inlineStr">
        <is>
          <t>IE</t>
        </is>
      </c>
      <c r="E925" s="27" t="inlineStr">
        <is>
          <t>English</t>
        </is>
      </c>
      <c r="F925" s="27" t="inlineStr">
        <is>
          <t>Apple Podcasts</t>
        </is>
      </c>
      <c r="G925" s="27" t="inlineStr">
        <is>
          <t>https://podcasts.apple.com/ie/podcast/clarapemberton/id1000921</t>
        </is>
      </c>
      <c r="H925" s="27" t="inlineStr">
        <is>
          <t>AP-IE-1000921</t>
        </is>
      </c>
      <c r="I925" s="27" t="inlineStr">
        <is>
          <t>264,000</t>
        </is>
      </c>
      <c r="J925" s="27" t="inlineStr">
        <is>
          <t>2026-10-11</t>
        </is>
      </c>
      <c r="K925" s="27" t="inlineStr">
        <is>
          <t>https://clarapemberton.com/episodes/122</t>
        </is>
      </c>
      <c r="L925" s="27" t="n">
        <v>9</v>
      </c>
      <c r="M925" s="27" t="n">
        <v>19</v>
      </c>
      <c r="N925" s="27" t="inlineStr">
        <is>
          <t>Consulting</t>
        </is>
      </c>
      <c r="O925" s="27" t="inlineStr">
        <is>
          <t>https://clarapemberton.com/advisory</t>
        </is>
      </c>
      <c r="P925" s="27" t="inlineStr">
        <is>
          <t>Missing Video Captions &amp; Retention Clips</t>
        </is>
      </c>
      <c r="Q925" s="27" t="inlineStr">
        <is>
          <t>https://clarapemberton.com/highlights</t>
        </is>
      </c>
      <c r="R925" s="27" t="inlineStr">
        <is>
          <t>LinkedIn</t>
        </is>
      </c>
      <c r="S925" s="27" t="inlineStr">
        <is>
          <t>https://linkedin.com/in/clarapemberton</t>
        </is>
      </c>
      <c r="T925" s="27" t="inlineStr">
        <is>
          <t>https://clarapemberton.com/about</t>
        </is>
      </c>
      <c r="U925" s="27" t="inlineStr">
        <is>
          <t>Email</t>
        </is>
      </c>
      <c r="V925" s="27" t="inlineStr">
        <is>
          <t>saas &amp; product growth frameworks, specifically regarding episode 22 on SaaS &amp; Product Growth workflow optimization</t>
        </is>
      </c>
      <c r="W925" s="27" t="inlineStr">
        <is>
          <t>Hi Clara, loved your recent piece on 'saas &amp; product growth frameworks, specifically regarding episode 22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25" s="27" t="inlineStr">
        <is>
          <t>2026-10-18</t>
        </is>
      </c>
      <c r="Y925" s="27" t="inlineStr">
        <is>
          <t>C</t>
        </is>
      </c>
      <c r="Z925" s="27" t="n">
        <v>76.7</v>
      </c>
      <c r="AA925" s="27" t="inlineStr">
        <is>
          <t>Qualified</t>
        </is>
      </c>
      <c r="AB925" s="27" t="inlineStr"/>
      <c r="AC925" s="28">
        <f>IF(A925="","",IF(COUNTIF($H$5:$H$1004,H925)&gt;1,"DUPLICATE","UNIQUE"))</f>
        <v/>
      </c>
      <c r="AD925" s="28">
        <f>IF(A925="","",IF(AA925="Rejected",IF(AB925&lt;&gt;"","REJECTED","ADD REASON"),IF(AND(B925&lt;&gt;"",C925&lt;&gt;"",D925&lt;&gt;"",E925&lt;&gt;"",F925&lt;&gt;"",G925&lt;&gt;"",H925&lt;&gt;"",J925&lt;&gt;"",K925&lt;&gt;"",N925&lt;&gt;"",O925&lt;&gt;"",P925&lt;&gt;"",Q925&lt;&gt;"",R925&lt;&gt;"",S925&lt;&gt;"",T925&lt;&gt;"",V925&lt;&gt;"",W925&lt;&gt;"",X925&lt;&gt;"",Y925&lt;&gt;""),"COMPLETE","MISSING FIELDS")))</f>
        <v/>
      </c>
    </row>
    <row r="926" ht="15" customHeight="1" s="15">
      <c r="A926" s="27" t="inlineStr">
        <is>
          <t>LEAD-0922</t>
        </is>
      </c>
      <c r="B926" s="27" t="inlineStr">
        <is>
          <t>Clara Quatermain</t>
        </is>
      </c>
      <c r="C926" s="27" t="inlineStr">
        <is>
          <t>Expert-Led Creator</t>
        </is>
      </c>
      <c r="D926" s="27" t="inlineStr">
        <is>
          <t>IE</t>
        </is>
      </c>
      <c r="E926" s="27" t="inlineStr">
        <is>
          <t>English</t>
        </is>
      </c>
      <c r="F926" s="27" t="inlineStr">
        <is>
          <t>YouTube</t>
        </is>
      </c>
      <c r="G926" s="27" t="inlineStr">
        <is>
          <t>https://www.youtube.com/@claraquatermain</t>
        </is>
      </c>
      <c r="H926" s="27" t="inlineStr">
        <is>
          <t>UCIE00922352940</t>
        </is>
      </c>
      <c r="I926" s="27" t="inlineStr">
        <is>
          <t>260,000</t>
        </is>
      </c>
      <c r="J926" s="27" t="inlineStr">
        <is>
          <t>2026-10-12</t>
        </is>
      </c>
      <c r="K926" s="27" t="inlineStr">
        <is>
          <t>https://www.youtube.com/watch?v=ie00922</t>
        </is>
      </c>
      <c r="L926" s="27" t="n">
        <v>10</v>
      </c>
      <c r="M926" s="27" t="n">
        <v>20</v>
      </c>
      <c r="N926" s="27" t="inlineStr">
        <is>
          <t>Newsletter Subscription</t>
        </is>
      </c>
      <c r="O926" s="27" t="inlineStr">
        <is>
          <t>https://claraquatermain.com/subscribe</t>
        </is>
      </c>
      <c r="P926" s="27" t="inlineStr">
        <is>
          <t>Editing Backlog &amp; Team Workflow Overhead</t>
        </is>
      </c>
      <c r="Q926" s="27" t="inlineStr">
        <is>
          <t>https://claraquatermain.com/highlights</t>
        </is>
      </c>
      <c r="R926" s="27" t="inlineStr">
        <is>
          <t>X (Twitter)</t>
        </is>
      </c>
      <c r="S926" s="27" t="inlineStr">
        <is>
          <t>https://x.com/claraquatermain</t>
        </is>
      </c>
      <c r="T926" s="27" t="inlineStr">
        <is>
          <t>https://claraquatermain.com/links</t>
        </is>
      </c>
      <c r="U926" s="27" t="inlineStr">
        <is>
          <t>LinkedIn</t>
        </is>
      </c>
      <c r="V926" s="27" t="inlineStr">
        <is>
          <t>creator business &amp; monetization frameworks, specifically regarding episode 23 on Creator Business &amp; Monetization workflow optimization</t>
        </is>
      </c>
      <c r="W926" s="27" t="inlineStr">
        <is>
          <t>Hi Clara, loved your recent piece on 'creator business &amp; monetization frameworks, specifically regarding episode 23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26" s="27" t="inlineStr">
        <is>
          <t>2026-10-18</t>
        </is>
      </c>
      <c r="Y926" s="27" t="inlineStr">
        <is>
          <t>C</t>
        </is>
      </c>
      <c r="Z926" s="27" t="n">
        <v>76.7</v>
      </c>
      <c r="AA926" s="27" t="inlineStr">
        <is>
          <t>Qualified</t>
        </is>
      </c>
      <c r="AB926" s="27" t="inlineStr"/>
      <c r="AC926" s="28">
        <f>IF(A926="","",IF(COUNTIF($H$5:$H$1004,H926)&gt;1,"DUPLICATE","UNIQUE"))</f>
        <v/>
      </c>
      <c r="AD926" s="28">
        <f>IF(A926="","",IF(AA926="Rejected",IF(AB926&lt;&gt;"","REJECTED","ADD REASON"),IF(AND(B926&lt;&gt;"",C926&lt;&gt;"",D926&lt;&gt;"",E926&lt;&gt;"",F926&lt;&gt;"",G926&lt;&gt;"",H926&lt;&gt;"",J926&lt;&gt;"",K926&lt;&gt;"",N926&lt;&gt;"",O926&lt;&gt;"",P926&lt;&gt;"",Q926&lt;&gt;"",R926&lt;&gt;"",S926&lt;&gt;"",T926&lt;&gt;"",V926&lt;&gt;"",W926&lt;&gt;"",X926&lt;&gt;"",Y926&lt;&gt;""),"COMPLETE","MISSING FIELDS")))</f>
        <v/>
      </c>
    </row>
    <row r="927" ht="15" customHeight="1" s="15">
      <c r="A927" s="27" t="inlineStr">
        <is>
          <t>LEAD-0923</t>
        </is>
      </c>
      <c r="B927" s="27" t="inlineStr">
        <is>
          <t>Clara Radcliffe</t>
        </is>
      </c>
      <c r="C927" s="27" t="inlineStr">
        <is>
          <t>YouTuber</t>
        </is>
      </c>
      <c r="D927" s="27" t="inlineStr">
        <is>
          <t>IE</t>
        </is>
      </c>
      <c r="E927" s="27" t="inlineStr">
        <is>
          <t>English</t>
        </is>
      </c>
      <c r="F927" s="27" t="inlineStr">
        <is>
          <t>YouTube</t>
        </is>
      </c>
      <c r="G927" s="27" t="inlineStr">
        <is>
          <t>https://www.youtube.com/@clararadcliffe</t>
        </is>
      </c>
      <c r="H927" s="27" t="inlineStr">
        <is>
          <t>UCIE00923996083</t>
        </is>
      </c>
      <c r="I927" s="27" t="inlineStr">
        <is>
          <t>280,000</t>
        </is>
      </c>
      <c r="J927" s="27" t="inlineStr">
        <is>
          <t>2026-10-13</t>
        </is>
      </c>
      <c r="K927" s="27" t="inlineStr">
        <is>
          <t>https://www.youtube.com/watch?v=ie00923</t>
        </is>
      </c>
      <c r="L927" s="27" t="n">
        <v>11</v>
      </c>
      <c r="M927" s="27" t="n">
        <v>21</v>
      </c>
      <c r="N927" s="27" t="inlineStr">
        <is>
          <t>Affiliate</t>
        </is>
      </c>
      <c r="O927" s="27" t="inlineStr">
        <is>
          <t>https://clararadcliffe.com/resources</t>
        </is>
      </c>
      <c r="P927" s="27" t="inlineStr">
        <is>
          <t>Shorts Repurposing Bottleneck</t>
        </is>
      </c>
      <c r="Q927" s="27" t="inlineStr">
        <is>
          <t>https://clararadcliffe.com/highlights</t>
        </is>
      </c>
      <c r="R927" s="27" t="inlineStr">
        <is>
          <t>Email</t>
        </is>
      </c>
      <c r="S927" s="27" t="inlineStr">
        <is>
          <t>hello@clararadcliffe.com</t>
        </is>
      </c>
      <c r="T927" s="27" t="inlineStr">
        <is>
          <t>https://clararadcliffe.com/work-with-me</t>
        </is>
      </c>
      <c r="U927" s="27" t="inlineStr">
        <is>
          <t>LinkedIn</t>
        </is>
      </c>
      <c r="V927" s="27" t="inlineStr">
        <is>
          <t>productivity &amp; personal systems frameworks, specifically regarding episode 24 on Productivity &amp; Personal Systems workflow optimization</t>
        </is>
      </c>
      <c r="W927" s="27" t="inlineStr">
        <is>
          <t>Hi Clara, loved your recent piece on 'productivity &amp; personal systems frameworks, specifically regarding episode 24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27" s="27" t="inlineStr">
        <is>
          <t>2026-10-18</t>
        </is>
      </c>
      <c r="Y927" s="27" t="inlineStr">
        <is>
          <t>C</t>
        </is>
      </c>
      <c r="Z927" s="27" t="n">
        <v>76.59999999999999</v>
      </c>
      <c r="AA927" s="27" t="inlineStr">
        <is>
          <t>Qualified</t>
        </is>
      </c>
      <c r="AB927" s="27" t="inlineStr"/>
      <c r="AC927" s="28">
        <f>IF(A927="","",IF(COUNTIF($H$5:$H$1004,H927)&gt;1,"DUPLICATE","UNIQUE"))</f>
        <v/>
      </c>
      <c r="AD927" s="28">
        <f>IF(A927="","",IF(AA927="Rejected",IF(AB927&lt;&gt;"","REJECTED","ADD REASON"),IF(AND(B927&lt;&gt;"",C927&lt;&gt;"",D927&lt;&gt;"",E927&lt;&gt;"",F927&lt;&gt;"",G927&lt;&gt;"",H927&lt;&gt;"",J927&lt;&gt;"",K927&lt;&gt;"",N927&lt;&gt;"",O927&lt;&gt;"",P927&lt;&gt;"",Q927&lt;&gt;"",R927&lt;&gt;"",S927&lt;&gt;"",T927&lt;&gt;"",V927&lt;&gt;"",W927&lt;&gt;"",X927&lt;&gt;"",Y927&lt;&gt;""),"COMPLETE","MISSING FIELDS")))</f>
        <v/>
      </c>
    </row>
    <row r="928" ht="15" customHeight="1" s="15">
      <c r="A928" s="27" t="inlineStr">
        <is>
          <t>LEAD-0924</t>
        </is>
      </c>
      <c r="B928" s="27" t="inlineStr">
        <is>
          <t>Clara Stanhope</t>
        </is>
      </c>
      <c r="C928" s="27" t="inlineStr">
        <is>
          <t>Podcaster</t>
        </is>
      </c>
      <c r="D928" s="27" t="inlineStr">
        <is>
          <t>IE</t>
        </is>
      </c>
      <c r="E928" s="27" t="inlineStr">
        <is>
          <t>English</t>
        </is>
      </c>
      <c r="F928" s="27" t="inlineStr">
        <is>
          <t>Apple Podcasts</t>
        </is>
      </c>
      <c r="G928" s="27" t="inlineStr">
        <is>
          <t>https://podcasts.apple.com/ie/podcast/clarastanhope/id1000924</t>
        </is>
      </c>
      <c r="H928" s="27" t="inlineStr">
        <is>
          <t>AP-IE-1000924</t>
        </is>
      </c>
      <c r="I928" s="27" t="inlineStr">
        <is>
          <t>300,000</t>
        </is>
      </c>
      <c r="J928" s="27" t="inlineStr">
        <is>
          <t>2026-10-14</t>
        </is>
      </c>
      <c r="K928" s="27" t="inlineStr">
        <is>
          <t>https://clarastanhope.com/episodes/125</t>
        </is>
      </c>
      <c r="L928" s="27" t="n">
        <v>12</v>
      </c>
      <c r="M928" s="27" t="n">
        <v>22</v>
      </c>
      <c r="N928" s="27" t="inlineStr">
        <is>
          <t>Course</t>
        </is>
      </c>
      <c r="O928" s="27" t="inlineStr">
        <is>
          <t>https://clarastanhope.com/academy</t>
        </is>
      </c>
      <c r="P928" s="27" t="inlineStr">
        <is>
          <t>Inconsistent Cross-Platform Publishing</t>
        </is>
      </c>
      <c r="Q928" s="27" t="inlineStr">
        <is>
          <t>https://clarastanhope.com/highlights</t>
        </is>
      </c>
      <c r="R928" s="27" t="inlineStr">
        <is>
          <t>Email</t>
        </is>
      </c>
      <c r="S928" s="27" t="inlineStr">
        <is>
          <t>contact@clarastanhope.com</t>
        </is>
      </c>
      <c r="T928" s="27" t="inlineStr">
        <is>
          <t>https://clarastanhope.com/contact</t>
        </is>
      </c>
      <c r="U928" s="27" t="inlineStr">
        <is>
          <t>LinkedIn</t>
        </is>
      </c>
      <c r="V928" s="27" t="inlineStr">
        <is>
          <t>leadership &amp; team ops frameworks, specifically regarding episode 25 on Leadership &amp; Team Ops workflow optimization</t>
        </is>
      </c>
      <c r="W928" s="27" t="inlineStr">
        <is>
          <t>Hi Clara, loved your recent piece on 'leadership &amp; team ops frameworks, specifically regarding episode 25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28" s="27" t="inlineStr">
        <is>
          <t>2026-10-18</t>
        </is>
      </c>
      <c r="Y928" s="27" t="inlineStr">
        <is>
          <t>C</t>
        </is>
      </c>
      <c r="Z928" s="27" t="n">
        <v>76.59999999999999</v>
      </c>
      <c r="AA928" s="27" t="inlineStr">
        <is>
          <t>Qualified</t>
        </is>
      </c>
      <c r="AB928" s="27" t="inlineStr"/>
      <c r="AC928" s="28">
        <f>IF(A928="","",IF(COUNTIF($H$5:$H$1004,H928)&gt;1,"DUPLICATE","UNIQUE"))</f>
        <v/>
      </c>
      <c r="AD928" s="28">
        <f>IF(A928="","",IF(AA928="Rejected",IF(AB928&lt;&gt;"","REJECTED","ADD REASON"),IF(AND(B928&lt;&gt;"",C928&lt;&gt;"",D928&lt;&gt;"",E928&lt;&gt;"",F928&lt;&gt;"",G928&lt;&gt;"",H928&lt;&gt;"",J928&lt;&gt;"",K928&lt;&gt;"",N928&lt;&gt;"",O928&lt;&gt;"",P928&lt;&gt;"",Q928&lt;&gt;"",R928&lt;&gt;"",S928&lt;&gt;"",T928&lt;&gt;"",V928&lt;&gt;"",W928&lt;&gt;"",X928&lt;&gt;"",Y928&lt;&gt;""),"COMPLETE","MISSING FIELDS")))</f>
        <v/>
      </c>
    </row>
    <row r="929" ht="15" customHeight="1" s="15">
      <c r="A929" s="27" t="inlineStr">
        <is>
          <t>LEAD-0925</t>
        </is>
      </c>
      <c r="B929" s="27" t="inlineStr">
        <is>
          <t>Clara Thackery</t>
        </is>
      </c>
      <c r="C929" s="27" t="inlineStr">
        <is>
          <t>Expert-Led Creator</t>
        </is>
      </c>
      <c r="D929" s="27" t="inlineStr">
        <is>
          <t>IE</t>
        </is>
      </c>
      <c r="E929" s="27" t="inlineStr">
        <is>
          <t>English</t>
        </is>
      </c>
      <c r="F929" s="27" t="inlineStr">
        <is>
          <t>LinkedIn</t>
        </is>
      </c>
      <c r="G929" s="27" t="inlineStr">
        <is>
          <t>https://www.linkedin.com/in/clarathackery</t>
        </is>
      </c>
      <c r="H929" s="27" t="inlineStr">
        <is>
          <t>LI-clarathackery-0925</t>
        </is>
      </c>
      <c r="I929" s="27" t="inlineStr">
        <is>
          <t>156,000</t>
        </is>
      </c>
      <c r="J929" s="27" t="inlineStr">
        <is>
          <t>2026-10-15</t>
        </is>
      </c>
      <c r="K929" s="27" t="inlineStr">
        <is>
          <t>https://clarathackery.com/posts/26</t>
        </is>
      </c>
      <c r="L929" s="27" t="n">
        <v>13</v>
      </c>
      <c r="M929" s="27" t="n">
        <v>23</v>
      </c>
      <c r="N929" s="27" t="inlineStr">
        <is>
          <t>Sponsor</t>
        </is>
      </c>
      <c r="O929" s="27" t="inlineStr">
        <is>
          <t>https://clarathackery.com/partners</t>
        </is>
      </c>
      <c r="P929" s="27" t="inlineStr">
        <is>
          <t>Editing Backlog &amp; Team Workflow Overhead</t>
        </is>
      </c>
      <c r="Q929" s="27" t="inlineStr">
        <is>
          <t>https://clarathackery.com/highlights</t>
        </is>
      </c>
      <c r="R929" s="27" t="inlineStr">
        <is>
          <t>LinkedIn</t>
        </is>
      </c>
      <c r="S929" s="27" t="inlineStr">
        <is>
          <t>https://linkedin.com/in/clarathackery</t>
        </is>
      </c>
      <c r="T929" s="27" t="inlineStr">
        <is>
          <t>https://clarathackery.com/about</t>
        </is>
      </c>
      <c r="U929" s="27" t="inlineStr">
        <is>
          <t>Email</t>
        </is>
      </c>
      <c r="V929" s="27" t="inlineStr">
        <is>
          <t>b2b marketing &amp; sales frameworks, specifically regarding episode 26 on B2B Marketing &amp; Sales workflow optimization</t>
        </is>
      </c>
      <c r="W929" s="27" t="inlineStr">
        <is>
          <t>Hi Clara, loved your recent piece on 'b2b marketing &amp; sales frameworks, specifically regarding episode 26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29" s="27" t="inlineStr">
        <is>
          <t>2026-10-18</t>
        </is>
      </c>
      <c r="Y929" s="27" t="inlineStr">
        <is>
          <t>C</t>
        </is>
      </c>
      <c r="Z929" s="27" t="n">
        <v>76.5</v>
      </c>
      <c r="AA929" s="27" t="inlineStr">
        <is>
          <t>Qualified</t>
        </is>
      </c>
      <c r="AB929" s="27" t="inlineStr"/>
      <c r="AC929" s="28">
        <f>IF(A929="","",IF(COUNTIF($H$5:$H$1004,H929)&gt;1,"DUPLICATE","UNIQUE"))</f>
        <v/>
      </c>
      <c r="AD929" s="28">
        <f>IF(A929="","",IF(AA929="Rejected",IF(AB929&lt;&gt;"","REJECTED","ADD REASON"),IF(AND(B929&lt;&gt;"",C929&lt;&gt;"",D929&lt;&gt;"",E929&lt;&gt;"",F929&lt;&gt;"",G929&lt;&gt;"",H929&lt;&gt;"",J929&lt;&gt;"",K929&lt;&gt;"",N929&lt;&gt;"",O929&lt;&gt;"",P929&lt;&gt;"",Q929&lt;&gt;"",R929&lt;&gt;"",S929&lt;&gt;"",T929&lt;&gt;"",V929&lt;&gt;"",W929&lt;&gt;"",X929&lt;&gt;"",Y929&lt;&gt;""),"COMPLETE","MISSING FIELDS")))</f>
        <v/>
      </c>
    </row>
    <row r="930" ht="15" customHeight="1" s="15">
      <c r="A930" s="27" t="inlineStr">
        <is>
          <t>LEAD-0926</t>
        </is>
      </c>
      <c r="B930" s="27" t="inlineStr">
        <is>
          <t>Clara Underwood</t>
        </is>
      </c>
      <c r="C930" s="27" t="inlineStr">
        <is>
          <t>YouTuber</t>
        </is>
      </c>
      <c r="D930" s="27" t="inlineStr">
        <is>
          <t>IE</t>
        </is>
      </c>
      <c r="E930" s="27" t="inlineStr">
        <is>
          <t>English</t>
        </is>
      </c>
      <c r="F930" s="27" t="inlineStr">
        <is>
          <t>YouTube</t>
        </is>
      </c>
      <c r="G930" s="27" t="inlineStr">
        <is>
          <t>https://www.youtube.com/@claraunderwood</t>
        </is>
      </c>
      <c r="H930" s="27" t="inlineStr">
        <is>
          <t>UCIE00926778127</t>
        </is>
      </c>
      <c r="I930" s="27" t="inlineStr">
        <is>
          <t>340,000</t>
        </is>
      </c>
      <c r="J930" s="27" t="inlineStr">
        <is>
          <t>2026-10-16</t>
        </is>
      </c>
      <c r="K930" s="27" t="inlineStr">
        <is>
          <t>https://www.youtube.com/watch?v=ie00926</t>
        </is>
      </c>
      <c r="L930" s="27" t="n">
        <v>14</v>
      </c>
      <c r="M930" s="27" t="n">
        <v>24</v>
      </c>
      <c r="N930" s="27" t="inlineStr">
        <is>
          <t>Membership</t>
        </is>
      </c>
      <c r="O930" s="27" t="inlineStr">
        <is>
          <t>https://claraunderwood.com/community</t>
        </is>
      </c>
      <c r="P930" s="27" t="inlineStr">
        <is>
          <t>Multilingual Audio Dubbing</t>
        </is>
      </c>
      <c r="Q930" s="27" t="inlineStr">
        <is>
          <t>https://claraunderwood.com/highlights</t>
        </is>
      </c>
      <c r="R930" s="27" t="inlineStr">
        <is>
          <t>X (Twitter)</t>
        </is>
      </c>
      <c r="S930" s="27" t="inlineStr">
        <is>
          <t>https://x.com/claraunderwood</t>
        </is>
      </c>
      <c r="T930" s="27" t="inlineStr">
        <is>
          <t>https://claraunderwood.com/links</t>
        </is>
      </c>
      <c r="U930" s="27" t="inlineStr">
        <is>
          <t>LinkedIn</t>
        </is>
      </c>
      <c r="V930" s="27" t="inlineStr">
        <is>
          <t>finance &amp; wealth engineering frameworks, specifically regarding episode 27 on Finance &amp; Wealth Engineering workflow optimization</t>
        </is>
      </c>
      <c r="W930" s="27" t="inlineStr">
        <is>
          <t>Hi Clara,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30" s="27" t="inlineStr">
        <is>
          <t>2026-10-18</t>
        </is>
      </c>
      <c r="Y930" s="27" t="inlineStr">
        <is>
          <t>C</t>
        </is>
      </c>
      <c r="Z930" s="27" t="n">
        <v>76.40000000000001</v>
      </c>
      <c r="AA930" s="27" t="inlineStr">
        <is>
          <t>Qualified</t>
        </is>
      </c>
      <c r="AB930" s="27" t="inlineStr"/>
      <c r="AC930" s="28">
        <f>IF(A930="","",IF(COUNTIF($H$5:$H$1004,H930)&gt;1,"DUPLICATE","UNIQUE"))</f>
        <v/>
      </c>
      <c r="AD930" s="28">
        <f>IF(A930="","",IF(AA930="Rejected",IF(AB930&lt;&gt;"","REJECTED","ADD REASON"),IF(AND(B930&lt;&gt;"",C930&lt;&gt;"",D930&lt;&gt;"",E930&lt;&gt;"",F930&lt;&gt;"",G930&lt;&gt;"",H930&lt;&gt;"",J930&lt;&gt;"",K930&lt;&gt;"",N930&lt;&gt;"",O930&lt;&gt;"",P930&lt;&gt;"",Q930&lt;&gt;"",R930&lt;&gt;"",S930&lt;&gt;"",T930&lt;&gt;"",V930&lt;&gt;"",W930&lt;&gt;"",X930&lt;&gt;"",Y930&lt;&gt;""),"COMPLETE","MISSING FIELDS")))</f>
        <v/>
      </c>
    </row>
    <row r="931" ht="15" customHeight="1" s="15">
      <c r="A931" s="27" t="inlineStr">
        <is>
          <t>LEAD-0927</t>
        </is>
      </c>
      <c r="B931" s="27" t="inlineStr">
        <is>
          <t>Clara Vanguard</t>
        </is>
      </c>
      <c r="C931" s="27" t="inlineStr">
        <is>
          <t>Podcaster</t>
        </is>
      </c>
      <c r="D931" s="27" t="inlineStr">
        <is>
          <t>IE</t>
        </is>
      </c>
      <c r="E931" s="27" t="inlineStr">
        <is>
          <t>English</t>
        </is>
      </c>
      <c r="F931" s="27" t="inlineStr">
        <is>
          <t>Apple Podcasts</t>
        </is>
      </c>
      <c r="G931" s="27" t="inlineStr">
        <is>
          <t>https://podcasts.apple.com/ie/podcast/claravanguard/id1000927</t>
        </is>
      </c>
      <c r="H931" s="27" t="inlineStr">
        <is>
          <t>AP-IE-1000927</t>
        </is>
      </c>
      <c r="I931" s="27" t="inlineStr">
        <is>
          <t>36,000</t>
        </is>
      </c>
      <c r="J931" s="27" t="inlineStr">
        <is>
          <t>2026-10-17</t>
        </is>
      </c>
      <c r="K931" s="27" t="inlineStr">
        <is>
          <t>https://claravanguard.com/episodes/128</t>
        </is>
      </c>
      <c r="L931" s="27" t="n">
        <v>15</v>
      </c>
      <c r="M931" s="27" t="n">
        <v>25</v>
      </c>
      <c r="N931" s="27" t="inlineStr">
        <is>
          <t>Product</t>
        </is>
      </c>
      <c r="O931" s="27" t="inlineStr">
        <is>
          <t>https://claravanguard.com/shop</t>
        </is>
      </c>
      <c r="P931" s="27" t="inlineStr">
        <is>
          <t>Multilingual Audio Dubbing</t>
        </is>
      </c>
      <c r="Q931" s="27" t="inlineStr">
        <is>
          <t>https://claravanguard.com/highlights</t>
        </is>
      </c>
      <c r="R931" s="27" t="inlineStr">
        <is>
          <t>Email</t>
        </is>
      </c>
      <c r="S931" s="27" t="inlineStr">
        <is>
          <t>hello@claravanguard.com</t>
        </is>
      </c>
      <c r="T931" s="27" t="inlineStr">
        <is>
          <t>https://claravanguard.com/work-with-me</t>
        </is>
      </c>
      <c r="U931" s="27" t="inlineStr">
        <is>
          <t>LinkedIn</t>
        </is>
      </c>
      <c r="V931" s="27" t="inlineStr">
        <is>
          <t>health &amp; longevity science frameworks, specifically regarding episode 28 on Health &amp; Longevity Science workflow optimization</t>
        </is>
      </c>
      <c r="W931" s="27" t="inlineStr">
        <is>
          <t>Hi Clara,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31" s="27" t="inlineStr">
        <is>
          <t>2026-10-18</t>
        </is>
      </c>
      <c r="Y931" s="27" t="inlineStr">
        <is>
          <t>C</t>
        </is>
      </c>
      <c r="Z931" s="27" t="n">
        <v>76.40000000000001</v>
      </c>
      <c r="AA931" s="27" t="inlineStr">
        <is>
          <t>Qualified</t>
        </is>
      </c>
      <c r="AB931" s="27" t="inlineStr"/>
      <c r="AC931" s="28">
        <f>IF(A931="","",IF(COUNTIF($H$5:$H$1004,H931)&gt;1,"DUPLICATE","UNIQUE"))</f>
        <v/>
      </c>
      <c r="AD931" s="28">
        <f>IF(A931="","",IF(AA931="Rejected",IF(AB931&lt;&gt;"","REJECTED","ADD REASON"),IF(AND(B931&lt;&gt;"",C931&lt;&gt;"",D931&lt;&gt;"",E931&lt;&gt;"",F931&lt;&gt;"",G931&lt;&gt;"",H931&lt;&gt;"",J931&lt;&gt;"",K931&lt;&gt;"",N931&lt;&gt;"",O931&lt;&gt;"",P931&lt;&gt;"",Q931&lt;&gt;"",R931&lt;&gt;"",S931&lt;&gt;"",T931&lt;&gt;"",V931&lt;&gt;"",W931&lt;&gt;"",X931&lt;&gt;"",Y931&lt;&gt;""),"COMPLETE","MISSING FIELDS")))</f>
        <v/>
      </c>
    </row>
    <row r="932" ht="15" customHeight="1" s="15">
      <c r="A932" s="27" t="inlineStr">
        <is>
          <t>LEAD-0928</t>
        </is>
      </c>
      <c r="B932" s="27" t="inlineStr">
        <is>
          <t>Clara Waverly</t>
        </is>
      </c>
      <c r="C932" s="27" t="inlineStr">
        <is>
          <t>YouTuber</t>
        </is>
      </c>
      <c r="D932" s="27" t="inlineStr">
        <is>
          <t>IE</t>
        </is>
      </c>
      <c r="E932" s="27" t="inlineStr">
        <is>
          <t>English</t>
        </is>
      </c>
      <c r="F932" s="27" t="inlineStr">
        <is>
          <t>YouTube</t>
        </is>
      </c>
      <c r="G932" s="27" t="inlineStr">
        <is>
          <t>https://www.youtube.com/@clarawaverly</t>
        </is>
      </c>
      <c r="H932" s="27" t="inlineStr">
        <is>
          <t>UCIE00928888456</t>
        </is>
      </c>
      <c r="I932" s="27" t="inlineStr">
        <is>
          <t>380,000</t>
        </is>
      </c>
      <c r="J932" s="27" t="inlineStr">
        <is>
          <t>2026-10-10</t>
        </is>
      </c>
      <c r="K932" s="27" t="inlineStr">
        <is>
          <t>https://www.youtube.com/watch?v=ie00928</t>
        </is>
      </c>
      <c r="L932" s="27" t="n">
        <v>16</v>
      </c>
      <c r="M932" s="27" t="n">
        <v>26</v>
      </c>
      <c r="N932" s="27" t="inlineStr">
        <is>
          <t>Consulting</t>
        </is>
      </c>
      <c r="O932" s="27" t="inlineStr">
        <is>
          <t>https://clarawaverly.com/advisory</t>
        </is>
      </c>
      <c r="P932" s="27" t="inlineStr">
        <is>
          <t>Missing Video Captions &amp; Retention Clips</t>
        </is>
      </c>
      <c r="Q932" s="27" t="inlineStr">
        <is>
          <t>https://clarawaverly.com/highlights</t>
        </is>
      </c>
      <c r="R932" s="27" t="inlineStr">
        <is>
          <t>Email</t>
        </is>
      </c>
      <c r="S932" s="27" t="inlineStr">
        <is>
          <t>contact@clarawaverly.com</t>
        </is>
      </c>
      <c r="T932" s="27" t="inlineStr">
        <is>
          <t>https://clarawaverly.com/contact</t>
        </is>
      </c>
      <c r="U932" s="27" t="inlineStr">
        <is>
          <t>LinkedIn</t>
        </is>
      </c>
      <c r="V932" s="27" t="inlineStr">
        <is>
          <t>education &amp; applied coding frameworks, specifically regarding episode 29 on Education &amp; Applied Coding workflow optimization</t>
        </is>
      </c>
      <c r="W932" s="27" t="inlineStr">
        <is>
          <t>Hi Clara,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32" s="27" t="inlineStr">
        <is>
          <t>2026-10-18</t>
        </is>
      </c>
      <c r="Y932" s="27" t="inlineStr">
        <is>
          <t>C</t>
        </is>
      </c>
      <c r="Z932" s="27" t="n">
        <v>76.3</v>
      </c>
      <c r="AA932" s="27" t="inlineStr">
        <is>
          <t>Qualified</t>
        </is>
      </c>
      <c r="AB932" s="27" t="inlineStr"/>
      <c r="AC932" s="28">
        <f>IF(A932="","",IF(COUNTIF($H$5:$H$1004,H932)&gt;1,"DUPLICATE","UNIQUE"))</f>
        <v/>
      </c>
      <c r="AD932" s="28">
        <f>IF(A932="","",IF(AA932="Rejected",IF(AB932&lt;&gt;"","REJECTED","ADD REASON"),IF(AND(B932&lt;&gt;"",C932&lt;&gt;"",D932&lt;&gt;"",E932&lt;&gt;"",F932&lt;&gt;"",G932&lt;&gt;"",H932&lt;&gt;"",J932&lt;&gt;"",K932&lt;&gt;"",N932&lt;&gt;"",O932&lt;&gt;"",P932&lt;&gt;"",Q932&lt;&gt;"",R932&lt;&gt;"",S932&lt;&gt;"",T932&lt;&gt;"",V932&lt;&gt;"",W932&lt;&gt;"",X932&lt;&gt;"",Y932&lt;&gt;""),"COMPLETE","MISSING FIELDS")))</f>
        <v/>
      </c>
    </row>
    <row r="933" ht="15" customHeight="1" s="15">
      <c r="A933" s="27" t="inlineStr">
        <is>
          <t>LEAD-0929</t>
        </is>
      </c>
      <c r="B933" s="27" t="inlineStr">
        <is>
          <t>Clara Yardley</t>
        </is>
      </c>
      <c r="C933" s="27" t="inlineStr">
        <is>
          <t>Podcaster</t>
        </is>
      </c>
      <c r="D933" s="27" t="inlineStr">
        <is>
          <t>IE</t>
        </is>
      </c>
      <c r="E933" s="27" t="inlineStr">
        <is>
          <t>English</t>
        </is>
      </c>
      <c r="F933" s="27" t="inlineStr">
        <is>
          <t>Apple Podcasts</t>
        </is>
      </c>
      <c r="G933" s="27" t="inlineStr">
        <is>
          <t>https://podcasts.apple.com/ie/podcast/clarayardley/id1000929</t>
        </is>
      </c>
      <c r="H933" s="27" t="inlineStr">
        <is>
          <t>AP-IE-1000929</t>
        </is>
      </c>
      <c r="I933" s="27" t="inlineStr">
        <is>
          <t>60,000</t>
        </is>
      </c>
      <c r="J933" s="27" t="inlineStr">
        <is>
          <t>2026-10-11</t>
        </is>
      </c>
      <c r="K933" s="27" t="inlineStr">
        <is>
          <t>https://clarayardley.com/episodes/130</t>
        </is>
      </c>
      <c r="L933" s="27" t="n">
        <v>17</v>
      </c>
      <c r="M933" s="27" t="n">
        <v>27</v>
      </c>
      <c r="N933" s="27" t="inlineStr">
        <is>
          <t>Newsletter Subscription</t>
        </is>
      </c>
      <c r="O933" s="27" t="inlineStr">
        <is>
          <t>https://clarayardley.com/subscribe</t>
        </is>
      </c>
      <c r="P933" s="27" t="inlineStr">
        <is>
          <t>Shorts Repurposing Bottleneck</t>
        </is>
      </c>
      <c r="Q933" s="27" t="inlineStr">
        <is>
          <t>https://clarayardley.com/highlights</t>
        </is>
      </c>
      <c r="R933" s="27" t="inlineStr">
        <is>
          <t>LinkedIn</t>
        </is>
      </c>
      <c r="S933" s="27" t="inlineStr">
        <is>
          <t>https://linkedin.com/in/clarayardley</t>
        </is>
      </c>
      <c r="T933" s="27" t="inlineStr">
        <is>
          <t>https://clarayardley.com/about</t>
        </is>
      </c>
      <c r="U933" s="27" t="inlineStr">
        <is>
          <t>Email</t>
        </is>
      </c>
      <c r="V933" s="27" t="inlineStr">
        <is>
          <t>e-commerce &amp; digital brands frameworks, specifically regarding episode 30 on E-Commerce &amp; Digital Brands workflow optimization</t>
        </is>
      </c>
      <c r="W933" s="27" t="inlineStr">
        <is>
          <t>Hi Clara,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33" s="27" t="inlineStr">
        <is>
          <t>2026-10-18</t>
        </is>
      </c>
      <c r="Y933" s="27" t="inlineStr">
        <is>
          <t>C</t>
        </is>
      </c>
      <c r="Z933" s="27" t="n">
        <v>76.3</v>
      </c>
      <c r="AA933" s="27" t="inlineStr">
        <is>
          <t>Qualified</t>
        </is>
      </c>
      <c r="AB933" s="27" t="inlineStr"/>
      <c r="AC933" s="28">
        <f>IF(A933="","",IF(COUNTIF($H$5:$H$1004,H933)&gt;1,"DUPLICATE","UNIQUE"))</f>
        <v/>
      </c>
      <c r="AD933" s="28">
        <f>IF(A933="","",IF(AA933="Rejected",IF(AB933&lt;&gt;"","REJECTED","ADD REASON"),IF(AND(B933&lt;&gt;"",C933&lt;&gt;"",D933&lt;&gt;"",E933&lt;&gt;"",F933&lt;&gt;"",G933&lt;&gt;"",H933&lt;&gt;"",J933&lt;&gt;"",K933&lt;&gt;"",N933&lt;&gt;"",O933&lt;&gt;"",P933&lt;&gt;"",Q933&lt;&gt;"",R933&lt;&gt;"",S933&lt;&gt;"",T933&lt;&gt;"",V933&lt;&gt;"",W933&lt;&gt;"",X933&lt;&gt;"",Y933&lt;&gt;""),"COMPLETE","MISSING FIELDS")))</f>
        <v/>
      </c>
    </row>
    <row r="934" ht="15" customHeight="1" s="15">
      <c r="A934" s="27" t="inlineStr">
        <is>
          <t>LEAD-0930</t>
        </is>
      </c>
      <c r="B934" s="27" t="inlineStr">
        <is>
          <t>Clara Zimmerman</t>
        </is>
      </c>
      <c r="C934" s="27" t="inlineStr">
        <is>
          <t>YouTuber</t>
        </is>
      </c>
      <c r="D934" s="27" t="inlineStr">
        <is>
          <t>IE</t>
        </is>
      </c>
      <c r="E934" s="27" t="inlineStr">
        <is>
          <t>English</t>
        </is>
      </c>
      <c r="F934" s="27" t="inlineStr">
        <is>
          <t>YouTube</t>
        </is>
      </c>
      <c r="G934" s="27" t="inlineStr">
        <is>
          <t>https://www.youtube.com/@clarazimmerman</t>
        </is>
      </c>
      <c r="H934" s="27" t="inlineStr">
        <is>
          <t>UCIE00930344188</t>
        </is>
      </c>
      <c r="I934" s="27" t="inlineStr">
        <is>
          <t>420,000</t>
        </is>
      </c>
      <c r="J934" s="27" t="inlineStr">
        <is>
          <t>2026-10-12</t>
        </is>
      </c>
      <c r="K934" s="27" t="inlineStr">
        <is>
          <t>https://www.youtube.com/watch?v=ie00930</t>
        </is>
      </c>
      <c r="L934" s="27" t="n">
        <v>8</v>
      </c>
      <c r="M934" s="27" t="n">
        <v>28</v>
      </c>
      <c r="N934" s="27" t="inlineStr">
        <is>
          <t>Affiliate</t>
        </is>
      </c>
      <c r="O934" s="27" t="inlineStr">
        <is>
          <t>https://clarazimmerman.com/resources</t>
        </is>
      </c>
      <c r="P934" s="27" t="inlineStr">
        <is>
          <t>Shorts Repurposing Bottleneck</t>
        </is>
      </c>
      <c r="Q934" s="27" t="inlineStr">
        <is>
          <t>https://clarazimmerman.com/highlights</t>
        </is>
      </c>
      <c r="R934" s="27" t="inlineStr">
        <is>
          <t>X (Twitter)</t>
        </is>
      </c>
      <c r="S934" s="27" t="inlineStr">
        <is>
          <t>https://x.com/clarazimmerman</t>
        </is>
      </c>
      <c r="T934" s="27" t="inlineStr">
        <is>
          <t>https://clarazimmerman.com/links</t>
        </is>
      </c>
      <c r="U934" s="27" t="inlineStr">
        <is>
          <t>LinkedIn</t>
        </is>
      </c>
      <c r="V934" s="27" t="inlineStr">
        <is>
          <t>tech &amp; ai frameworks, specifically regarding episode 31 on Tech &amp; AI workflow optimization</t>
        </is>
      </c>
      <c r="W934" s="27" t="inlineStr">
        <is>
          <t>Hi Clara,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34" s="27" t="inlineStr">
        <is>
          <t>2026-10-18</t>
        </is>
      </c>
      <c r="Y934" s="27" t="inlineStr">
        <is>
          <t>C</t>
        </is>
      </c>
      <c r="Z934" s="27" t="n">
        <v>76.2</v>
      </c>
      <c r="AA934" s="27" t="inlineStr">
        <is>
          <t>Qualified</t>
        </is>
      </c>
      <c r="AB934" s="27" t="inlineStr"/>
      <c r="AC934" s="28">
        <f>IF(A934="","",IF(COUNTIF($H$5:$H$1004,H934)&gt;1,"DUPLICATE","UNIQUE"))</f>
        <v/>
      </c>
      <c r="AD934" s="28">
        <f>IF(A934="","",IF(AA934="Rejected",IF(AB934&lt;&gt;"","REJECTED","ADD REASON"),IF(AND(B934&lt;&gt;"",C934&lt;&gt;"",D934&lt;&gt;"",E934&lt;&gt;"",F934&lt;&gt;"",G934&lt;&gt;"",H934&lt;&gt;"",J934&lt;&gt;"",K934&lt;&gt;"",N934&lt;&gt;"",O934&lt;&gt;"",P934&lt;&gt;"",Q934&lt;&gt;"",R934&lt;&gt;"",S934&lt;&gt;"",T934&lt;&gt;"",V934&lt;&gt;"",W934&lt;&gt;"",X934&lt;&gt;"",Y934&lt;&gt;""),"COMPLETE","MISSING FIELDS")))</f>
        <v/>
      </c>
    </row>
    <row r="935" ht="15" customHeight="1" s="15">
      <c r="A935" s="27" t="inlineStr">
        <is>
          <t>LEAD-0931</t>
        </is>
      </c>
      <c r="B935" s="27" t="inlineStr">
        <is>
          <t>Clara Sterling</t>
        </is>
      </c>
      <c r="C935" s="27" t="inlineStr">
        <is>
          <t>Podcaster</t>
        </is>
      </c>
      <c r="D935" s="27" t="inlineStr">
        <is>
          <t>IE</t>
        </is>
      </c>
      <c r="E935" s="27" t="inlineStr">
        <is>
          <t>English</t>
        </is>
      </c>
      <c r="F935" s="27" t="inlineStr">
        <is>
          <t>Apple Podcasts</t>
        </is>
      </c>
      <c r="G935" s="27" t="inlineStr">
        <is>
          <t>https://podcasts.apple.com/ie/podcast/clarasterling/id1000931</t>
        </is>
      </c>
      <c r="H935" s="27" t="inlineStr">
        <is>
          <t>AP-IE-1000931</t>
        </is>
      </c>
      <c r="I935" s="27" t="inlineStr">
        <is>
          <t>84,000</t>
        </is>
      </c>
      <c r="J935" s="27" t="inlineStr">
        <is>
          <t>2026-10-13</t>
        </is>
      </c>
      <c r="K935" s="27" t="inlineStr">
        <is>
          <t>https://clarasterling.com/episodes/132</t>
        </is>
      </c>
      <c r="L935" s="27" t="n">
        <v>9</v>
      </c>
      <c r="M935" s="27" t="n">
        <v>29</v>
      </c>
      <c r="N935" s="27" t="inlineStr">
        <is>
          <t>Course</t>
        </is>
      </c>
      <c r="O935" s="27" t="inlineStr">
        <is>
          <t>https://clarasterling.com/academy</t>
        </is>
      </c>
      <c r="P935" s="27" t="inlineStr">
        <is>
          <t>Missing Video Captions &amp; Retention Clips</t>
        </is>
      </c>
      <c r="Q935" s="27" t="inlineStr">
        <is>
          <t>https://clarasterling.com/highlights</t>
        </is>
      </c>
      <c r="R935" s="27" t="inlineStr">
        <is>
          <t>Email</t>
        </is>
      </c>
      <c r="S935" s="27" t="inlineStr">
        <is>
          <t>hello@clarasterling.com</t>
        </is>
      </c>
      <c r="T935" s="27" t="inlineStr">
        <is>
          <t>https://clarasterling.com/work-with-me</t>
        </is>
      </c>
      <c r="U935" s="27" t="inlineStr">
        <is>
          <t>LinkedIn</t>
        </is>
      </c>
      <c r="V935" s="27" t="inlineStr">
        <is>
          <t>saas &amp; product growth frameworks, specifically regarding episode 32 on SaaS &amp; Product Growth workflow optimization</t>
        </is>
      </c>
      <c r="W935" s="27" t="inlineStr">
        <is>
          <t>Hi Clara,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35" s="27" t="inlineStr">
        <is>
          <t>2026-10-18</t>
        </is>
      </c>
      <c r="Y935" s="27" t="inlineStr">
        <is>
          <t>C</t>
        </is>
      </c>
      <c r="Z935" s="27" t="n">
        <v>76.09999999999999</v>
      </c>
      <c r="AA935" s="27" t="inlineStr">
        <is>
          <t>Qualified</t>
        </is>
      </c>
      <c r="AB935" s="27" t="inlineStr"/>
      <c r="AC935" s="28">
        <f>IF(A935="","",IF(COUNTIF($H$5:$H$1004,H935)&gt;1,"DUPLICATE","UNIQUE"))</f>
        <v/>
      </c>
      <c r="AD935" s="28">
        <f>IF(A935="","",IF(AA935="Rejected",IF(AB935&lt;&gt;"","REJECTED","ADD REASON"),IF(AND(B935&lt;&gt;"",C935&lt;&gt;"",D935&lt;&gt;"",E935&lt;&gt;"",F935&lt;&gt;"",G935&lt;&gt;"",H935&lt;&gt;"",J935&lt;&gt;"",K935&lt;&gt;"",N935&lt;&gt;"",O935&lt;&gt;"",P935&lt;&gt;"",Q935&lt;&gt;"",R935&lt;&gt;"",S935&lt;&gt;"",T935&lt;&gt;"",V935&lt;&gt;"",W935&lt;&gt;"",X935&lt;&gt;"",Y935&lt;&gt;""),"COMPLETE","MISSING FIELDS")))</f>
        <v/>
      </c>
    </row>
    <row r="936" ht="15" customHeight="1" s="15">
      <c r="A936" s="27" t="inlineStr">
        <is>
          <t>LEAD-0932</t>
        </is>
      </c>
      <c r="B936" s="27" t="inlineStr">
        <is>
          <t>Clara Cross</t>
        </is>
      </c>
      <c r="C936" s="27" t="inlineStr">
        <is>
          <t>Expert-Led Creator</t>
        </is>
      </c>
      <c r="D936" s="27" t="inlineStr">
        <is>
          <t>IE</t>
        </is>
      </c>
      <c r="E936" s="27" t="inlineStr">
        <is>
          <t>English</t>
        </is>
      </c>
      <c r="F936" s="27" t="inlineStr">
        <is>
          <t>YouTube</t>
        </is>
      </c>
      <c r="G936" s="27" t="inlineStr">
        <is>
          <t>https://www.youtube.com/@claracross</t>
        </is>
      </c>
      <c r="H936" s="27" t="inlineStr">
        <is>
          <t>UCIE00932829849</t>
        </is>
      </c>
      <c r="I936" s="27" t="inlineStr">
        <is>
          <t>460,000</t>
        </is>
      </c>
      <c r="J936" s="27" t="inlineStr">
        <is>
          <t>2026-10-14</t>
        </is>
      </c>
      <c r="K936" s="27" t="inlineStr">
        <is>
          <t>https://www.youtube.com/watch?v=ie00932</t>
        </is>
      </c>
      <c r="L936" s="27" t="n">
        <v>10</v>
      </c>
      <c r="M936" s="27" t="n">
        <v>30</v>
      </c>
      <c r="N936" s="27" t="inlineStr">
        <is>
          <t>Sponsor</t>
        </is>
      </c>
      <c r="O936" s="27" t="inlineStr">
        <is>
          <t>https://claracross.com/partners</t>
        </is>
      </c>
      <c r="P936" s="27" t="inlineStr">
        <is>
          <t>Editing Backlog &amp; Team Workflow Overhead</t>
        </is>
      </c>
      <c r="Q936" s="27" t="inlineStr">
        <is>
          <t>https://claracross.com/highlights</t>
        </is>
      </c>
      <c r="R936" s="27" t="inlineStr">
        <is>
          <t>Email</t>
        </is>
      </c>
      <c r="S936" s="27" t="inlineStr">
        <is>
          <t>contact@claracross.com</t>
        </is>
      </c>
      <c r="T936" s="27" t="inlineStr">
        <is>
          <t>https://claracross.com/contact</t>
        </is>
      </c>
      <c r="U936" s="27" t="inlineStr">
        <is>
          <t>LinkedIn</t>
        </is>
      </c>
      <c r="V936" s="27" t="inlineStr">
        <is>
          <t>creator business &amp; monetization frameworks, specifically regarding episode 33 on Creator Business &amp; Monetization workflow optimization</t>
        </is>
      </c>
      <c r="W936" s="27" t="inlineStr">
        <is>
          <t>Hi Clara,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36" s="27" t="inlineStr">
        <is>
          <t>2026-10-18</t>
        </is>
      </c>
      <c r="Y936" s="27" t="inlineStr">
        <is>
          <t>C</t>
        </is>
      </c>
      <c r="Z936" s="27" t="n">
        <v>76.09999999999999</v>
      </c>
      <c r="AA936" s="27" t="inlineStr">
        <is>
          <t>Qualified</t>
        </is>
      </c>
      <c r="AB936" s="27" t="inlineStr"/>
      <c r="AC936" s="28">
        <f>IF(A936="","",IF(COUNTIF($H$5:$H$1004,H936)&gt;1,"DUPLICATE","UNIQUE"))</f>
        <v/>
      </c>
      <c r="AD936" s="28">
        <f>IF(A936="","",IF(AA936="Rejected",IF(AB936&lt;&gt;"","REJECTED","ADD REASON"),IF(AND(B936&lt;&gt;"",C936&lt;&gt;"",D936&lt;&gt;"",E936&lt;&gt;"",F936&lt;&gt;"",G936&lt;&gt;"",H936&lt;&gt;"",J936&lt;&gt;"",K936&lt;&gt;"",N936&lt;&gt;"",O936&lt;&gt;"",P936&lt;&gt;"",Q936&lt;&gt;"",R936&lt;&gt;"",S936&lt;&gt;"",T936&lt;&gt;"",V936&lt;&gt;"",W936&lt;&gt;"",X936&lt;&gt;"",Y936&lt;&gt;""),"COMPLETE","MISSING FIELDS")))</f>
        <v/>
      </c>
    </row>
    <row r="937" ht="15" customHeight="1" s="15">
      <c r="A937" s="27" t="inlineStr">
        <is>
          <t>LEAD-0933</t>
        </is>
      </c>
      <c r="B937" s="27" t="inlineStr">
        <is>
          <t>Clara Vance</t>
        </is>
      </c>
      <c r="C937" s="27" t="inlineStr">
        <is>
          <t>YouTuber</t>
        </is>
      </c>
      <c r="D937" s="27" t="inlineStr">
        <is>
          <t>IE</t>
        </is>
      </c>
      <c r="E937" s="27" t="inlineStr">
        <is>
          <t>English</t>
        </is>
      </c>
      <c r="F937" s="27" t="inlineStr">
        <is>
          <t>YouTube</t>
        </is>
      </c>
      <c r="G937" s="27" t="inlineStr">
        <is>
          <t>https://www.youtube.com/@claravance</t>
        </is>
      </c>
      <c r="H937" s="27" t="inlineStr">
        <is>
          <t>UCIE00933602119</t>
        </is>
      </c>
      <c r="I937" s="27" t="inlineStr">
        <is>
          <t>480,000</t>
        </is>
      </c>
      <c r="J937" s="27" t="inlineStr">
        <is>
          <t>2026-10-15</t>
        </is>
      </c>
      <c r="K937" s="27" t="inlineStr">
        <is>
          <t>https://www.youtube.com/watch?v=ie00933</t>
        </is>
      </c>
      <c r="L937" s="27" t="n">
        <v>11</v>
      </c>
      <c r="M937" s="27" t="n">
        <v>31</v>
      </c>
      <c r="N937" s="27" t="inlineStr">
        <is>
          <t>Membership</t>
        </is>
      </c>
      <c r="O937" s="27" t="inlineStr">
        <is>
          <t>https://claravance.com/community</t>
        </is>
      </c>
      <c r="P937" s="27" t="inlineStr">
        <is>
          <t>Shorts Repurposing Bottleneck</t>
        </is>
      </c>
      <c r="Q937" s="27" t="inlineStr">
        <is>
          <t>https://claravance.com/highlights</t>
        </is>
      </c>
      <c r="R937" s="27" t="inlineStr">
        <is>
          <t>LinkedIn</t>
        </is>
      </c>
      <c r="S937" s="27" t="inlineStr">
        <is>
          <t>https://linkedin.com/in/claravance</t>
        </is>
      </c>
      <c r="T937" s="27" t="inlineStr">
        <is>
          <t>https://claravance.com/about</t>
        </is>
      </c>
      <c r="U937" s="27" t="inlineStr">
        <is>
          <t>Email</t>
        </is>
      </c>
      <c r="V937" s="27" t="inlineStr">
        <is>
          <t>productivity &amp; personal systems frameworks, specifically regarding episode 34 on Productivity &amp; Personal Systems workflow optimization</t>
        </is>
      </c>
      <c r="W937" s="27" t="inlineStr">
        <is>
          <t>Hi Clara,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37" s="27" t="inlineStr">
        <is>
          <t>2026-10-18</t>
        </is>
      </c>
      <c r="Y937" s="27" t="inlineStr">
        <is>
          <t>C</t>
        </is>
      </c>
      <c r="Z937" s="27" t="n">
        <v>76</v>
      </c>
      <c r="AA937" s="27" t="inlineStr">
        <is>
          <t>Qualified</t>
        </is>
      </c>
      <c r="AB937" s="27" t="inlineStr"/>
      <c r="AC937" s="28">
        <f>IF(A937="","",IF(COUNTIF($H$5:$H$1004,H937)&gt;1,"DUPLICATE","UNIQUE"))</f>
        <v/>
      </c>
      <c r="AD937" s="28">
        <f>IF(A937="","",IF(AA937="Rejected",IF(AB937&lt;&gt;"","REJECTED","ADD REASON"),IF(AND(B937&lt;&gt;"",C937&lt;&gt;"",D937&lt;&gt;"",E937&lt;&gt;"",F937&lt;&gt;"",G937&lt;&gt;"",H937&lt;&gt;"",J937&lt;&gt;"",K937&lt;&gt;"",N937&lt;&gt;"",O937&lt;&gt;"",P937&lt;&gt;"",Q937&lt;&gt;"",R937&lt;&gt;"",S937&lt;&gt;"",T937&lt;&gt;"",V937&lt;&gt;"",W937&lt;&gt;"",X937&lt;&gt;"",Y937&lt;&gt;""),"COMPLETE","MISSING FIELDS")))</f>
        <v/>
      </c>
    </row>
    <row r="938" ht="15" customHeight="1" s="15">
      <c r="A938" s="27" t="inlineStr">
        <is>
          <t>LEAD-0934</t>
        </is>
      </c>
      <c r="B938" s="27" t="inlineStr">
        <is>
          <t>Clara Mercer</t>
        </is>
      </c>
      <c r="C938" s="27" t="inlineStr">
        <is>
          <t>Podcaster</t>
        </is>
      </c>
      <c r="D938" s="27" t="inlineStr">
        <is>
          <t>IE</t>
        </is>
      </c>
      <c r="E938" s="27" t="inlineStr">
        <is>
          <t>English</t>
        </is>
      </c>
      <c r="F938" s="27" t="inlineStr">
        <is>
          <t>Apple Podcasts</t>
        </is>
      </c>
      <c r="G938" s="27" t="inlineStr">
        <is>
          <t>https://podcasts.apple.com/ie/podcast/claramercer/id1000934</t>
        </is>
      </c>
      <c r="H938" s="27" t="inlineStr">
        <is>
          <t>AP-IE-1000934</t>
        </is>
      </c>
      <c r="I938" s="27" t="inlineStr">
        <is>
          <t>120,000</t>
        </is>
      </c>
      <c r="J938" s="27" t="inlineStr">
        <is>
          <t>2026-10-16</t>
        </is>
      </c>
      <c r="K938" s="27" t="inlineStr">
        <is>
          <t>https://claramercer.com/episodes/135</t>
        </is>
      </c>
      <c r="L938" s="27" t="n">
        <v>12</v>
      </c>
      <c r="M938" s="27" t="n">
        <v>32</v>
      </c>
      <c r="N938" s="27" t="inlineStr">
        <is>
          <t>Product</t>
        </is>
      </c>
      <c r="O938" s="27" t="inlineStr">
        <is>
          <t>https://claramercer.com/shop</t>
        </is>
      </c>
      <c r="P938" s="27" t="inlineStr">
        <is>
          <t>Inconsistent Cross-Platform Publishing</t>
        </is>
      </c>
      <c r="Q938" s="27" t="inlineStr">
        <is>
          <t>https://claramercer.com/highlights</t>
        </is>
      </c>
      <c r="R938" s="27" t="inlineStr">
        <is>
          <t>X (Twitter)</t>
        </is>
      </c>
      <c r="S938" s="27" t="inlineStr">
        <is>
          <t>https://x.com/claramercer</t>
        </is>
      </c>
      <c r="T938" s="27" t="inlineStr">
        <is>
          <t>https://claramercer.com/links</t>
        </is>
      </c>
      <c r="U938" s="27" t="inlineStr">
        <is>
          <t>LinkedIn</t>
        </is>
      </c>
      <c r="V938" s="27" t="inlineStr">
        <is>
          <t>leadership &amp; team ops frameworks, specifically regarding episode 35 on Leadership &amp; Team Ops workflow optimization</t>
        </is>
      </c>
      <c r="W938" s="27" t="inlineStr">
        <is>
          <t>Hi Clara,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38" s="27" t="inlineStr">
        <is>
          <t>2026-10-18</t>
        </is>
      </c>
      <c r="Y938" s="27" t="inlineStr">
        <is>
          <t>C</t>
        </is>
      </c>
      <c r="Z938" s="27" t="n">
        <v>76</v>
      </c>
      <c r="AA938" s="27" t="inlineStr">
        <is>
          <t>Qualified</t>
        </is>
      </c>
      <c r="AB938" s="27" t="inlineStr"/>
      <c r="AC938" s="28">
        <f>IF(A938="","",IF(COUNTIF($H$5:$H$1004,H938)&gt;1,"DUPLICATE","UNIQUE"))</f>
        <v/>
      </c>
      <c r="AD938" s="28">
        <f>IF(A938="","",IF(AA938="Rejected",IF(AB938&lt;&gt;"","REJECTED","ADD REASON"),IF(AND(B938&lt;&gt;"",C938&lt;&gt;"",D938&lt;&gt;"",E938&lt;&gt;"",F938&lt;&gt;"",G938&lt;&gt;"",H938&lt;&gt;"",J938&lt;&gt;"",K938&lt;&gt;"",N938&lt;&gt;"",O938&lt;&gt;"",P938&lt;&gt;"",Q938&lt;&gt;"",R938&lt;&gt;"",S938&lt;&gt;"",T938&lt;&gt;"",V938&lt;&gt;"",W938&lt;&gt;"",X938&lt;&gt;"",Y938&lt;&gt;""),"COMPLETE","MISSING FIELDS")))</f>
        <v/>
      </c>
    </row>
    <row r="939" ht="15" customHeight="1" s="15">
      <c r="A939" s="27" t="inlineStr">
        <is>
          <t>LEAD-0935</t>
        </is>
      </c>
      <c r="B939" s="27" t="inlineStr">
        <is>
          <t>Clara Sinclair</t>
        </is>
      </c>
      <c r="C939" s="27" t="inlineStr">
        <is>
          <t>Expert-Led Creator</t>
        </is>
      </c>
      <c r="D939" s="27" t="inlineStr">
        <is>
          <t>NZ</t>
        </is>
      </c>
      <c r="E939" s="27" t="inlineStr">
        <is>
          <t>English</t>
        </is>
      </c>
      <c r="F939" s="27" t="inlineStr">
        <is>
          <t>LinkedIn</t>
        </is>
      </c>
      <c r="G939" s="27" t="inlineStr">
        <is>
          <t>https://www.linkedin.com/in/clarasinclair</t>
        </is>
      </c>
      <c r="H939" s="27" t="inlineStr">
        <is>
          <t>LI-clarasinclair-0935</t>
        </is>
      </c>
      <c r="I939" s="27" t="inlineStr">
        <is>
          <t>36,000</t>
        </is>
      </c>
      <c r="J939" s="27" t="inlineStr">
        <is>
          <t>2026-10-17</t>
        </is>
      </c>
      <c r="K939" s="27" t="inlineStr">
        <is>
          <t>https://clarasinclair.com/posts/36</t>
        </is>
      </c>
      <c r="L939" s="27" t="n">
        <v>13</v>
      </c>
      <c r="M939" s="27" t="n">
        <v>33</v>
      </c>
      <c r="N939" s="27" t="inlineStr">
        <is>
          <t>Consulting</t>
        </is>
      </c>
      <c r="O939" s="27" t="inlineStr">
        <is>
          <t>https://clarasinclair.com/advisory</t>
        </is>
      </c>
      <c r="P939" s="27" t="inlineStr">
        <is>
          <t>Editing Backlog &amp; Team Workflow Overhead</t>
        </is>
      </c>
      <c r="Q939" s="27" t="inlineStr">
        <is>
          <t>https://clarasinclair.com/highlights</t>
        </is>
      </c>
      <c r="R939" s="27" t="inlineStr">
        <is>
          <t>Email</t>
        </is>
      </c>
      <c r="S939" s="27" t="inlineStr">
        <is>
          <t>hello@clarasinclair.com</t>
        </is>
      </c>
      <c r="T939" s="27" t="inlineStr">
        <is>
          <t>https://clarasinclair.com/work-with-me</t>
        </is>
      </c>
      <c r="U939" s="27" t="inlineStr">
        <is>
          <t>LinkedIn</t>
        </is>
      </c>
      <c r="V939" s="27" t="inlineStr">
        <is>
          <t>b2b marketing &amp; sales frameworks, specifically regarding episode 36 on B2B Marketing &amp; Sales workflow optimization</t>
        </is>
      </c>
      <c r="W939" s="27" t="inlineStr">
        <is>
          <t>Hi Clara,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39" s="27" t="inlineStr">
        <is>
          <t>2026-10-18</t>
        </is>
      </c>
      <c r="Y939" s="27" t="inlineStr">
        <is>
          <t>C</t>
        </is>
      </c>
      <c r="Z939" s="27" t="n">
        <v>75.90000000000001</v>
      </c>
      <c r="AA939" s="27" t="inlineStr">
        <is>
          <t>Qualified</t>
        </is>
      </c>
      <c r="AB939" s="27" t="inlineStr"/>
      <c r="AC939" s="28">
        <f>IF(A939="","",IF(COUNTIF($H$5:$H$1004,H939)&gt;1,"DUPLICATE","UNIQUE"))</f>
        <v/>
      </c>
      <c r="AD939" s="28">
        <f>IF(A939="","",IF(AA939="Rejected",IF(AB939&lt;&gt;"","REJECTED","ADD REASON"),IF(AND(B939&lt;&gt;"",C939&lt;&gt;"",D939&lt;&gt;"",E939&lt;&gt;"",F939&lt;&gt;"",G939&lt;&gt;"",H939&lt;&gt;"",J939&lt;&gt;"",K939&lt;&gt;"",N939&lt;&gt;"",O939&lt;&gt;"",P939&lt;&gt;"",Q939&lt;&gt;"",R939&lt;&gt;"",S939&lt;&gt;"",T939&lt;&gt;"",V939&lt;&gt;"",W939&lt;&gt;"",X939&lt;&gt;"",Y939&lt;&gt;""),"COMPLETE","MISSING FIELDS")))</f>
        <v/>
      </c>
    </row>
    <row r="940" ht="15" customHeight="1" s="15">
      <c r="A940" s="27" t="inlineStr">
        <is>
          <t>LEAD-0936</t>
        </is>
      </c>
      <c r="B940" s="27" t="inlineStr">
        <is>
          <t>Clara Carrington</t>
        </is>
      </c>
      <c r="C940" s="27" t="inlineStr">
        <is>
          <t>YouTuber</t>
        </is>
      </c>
      <c r="D940" s="27" t="inlineStr">
        <is>
          <t>NZ</t>
        </is>
      </c>
      <c r="E940" s="27" t="inlineStr">
        <is>
          <t>English</t>
        </is>
      </c>
      <c r="F940" s="27" t="inlineStr">
        <is>
          <t>YouTube</t>
        </is>
      </c>
      <c r="G940" s="27" t="inlineStr">
        <is>
          <t>https://www.youtube.com/@claracarrington</t>
        </is>
      </c>
      <c r="H940" s="27" t="inlineStr">
        <is>
          <t>UCNZ00936277536</t>
        </is>
      </c>
      <c r="I940" s="27" t="inlineStr">
        <is>
          <t>540,000</t>
        </is>
      </c>
      <c r="J940" s="27" t="inlineStr">
        <is>
          <t>2026-10-10</t>
        </is>
      </c>
      <c r="K940" s="27" t="inlineStr">
        <is>
          <t>https://www.youtube.com/watch?v=nz00936</t>
        </is>
      </c>
      <c r="L940" s="27" t="n">
        <v>14</v>
      </c>
      <c r="M940" s="27" t="n">
        <v>16</v>
      </c>
      <c r="N940" s="27" t="inlineStr">
        <is>
          <t>Newsletter Subscription</t>
        </is>
      </c>
      <c r="O940" s="27" t="inlineStr">
        <is>
          <t>https://claracarrington.com/subscribe</t>
        </is>
      </c>
      <c r="P940" s="27" t="inlineStr">
        <is>
          <t>Multilingual Audio Dubbing</t>
        </is>
      </c>
      <c r="Q940" s="27" t="inlineStr">
        <is>
          <t>https://claracarrington.com/highlights</t>
        </is>
      </c>
      <c r="R940" s="27" t="inlineStr">
        <is>
          <t>Email</t>
        </is>
      </c>
      <c r="S940" s="27" t="inlineStr">
        <is>
          <t>contact@claracarrington.com</t>
        </is>
      </c>
      <c r="T940" s="27" t="inlineStr">
        <is>
          <t>https://claracarrington.com/contact</t>
        </is>
      </c>
      <c r="U940" s="27" t="inlineStr">
        <is>
          <t>LinkedIn</t>
        </is>
      </c>
      <c r="V940" s="27" t="inlineStr">
        <is>
          <t>finance &amp; wealth engineering frameworks, specifically regarding episode 37 on Finance &amp; Wealth Engineering workflow optimization</t>
        </is>
      </c>
      <c r="W940" s="27" t="inlineStr">
        <is>
          <t>Hi Clara,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40" s="27" t="inlineStr">
        <is>
          <t>2026-10-18</t>
        </is>
      </c>
      <c r="Y940" s="27" t="inlineStr">
        <is>
          <t>C</t>
        </is>
      </c>
      <c r="Z940" s="27" t="n">
        <v>75.8</v>
      </c>
      <c r="AA940" s="27" t="inlineStr">
        <is>
          <t>Qualified</t>
        </is>
      </c>
      <c r="AB940" s="27" t="inlineStr"/>
      <c r="AC940" s="28">
        <f>IF(A940="","",IF(COUNTIF($H$5:$H$1004,H940)&gt;1,"DUPLICATE","UNIQUE"))</f>
        <v/>
      </c>
      <c r="AD940" s="28">
        <f>IF(A940="","",IF(AA940="Rejected",IF(AB940&lt;&gt;"","REJECTED","ADD REASON"),IF(AND(B940&lt;&gt;"",C940&lt;&gt;"",D940&lt;&gt;"",E940&lt;&gt;"",F940&lt;&gt;"",G940&lt;&gt;"",H940&lt;&gt;"",J940&lt;&gt;"",K940&lt;&gt;"",N940&lt;&gt;"",O940&lt;&gt;"",P940&lt;&gt;"",Q940&lt;&gt;"",R940&lt;&gt;"",S940&lt;&gt;"",T940&lt;&gt;"",V940&lt;&gt;"",W940&lt;&gt;"",X940&lt;&gt;"",Y940&lt;&gt;""),"COMPLETE","MISSING FIELDS")))</f>
        <v/>
      </c>
    </row>
    <row r="941" ht="15" customHeight="1" s="15">
      <c r="A941" s="27" t="inlineStr">
        <is>
          <t>LEAD-0937</t>
        </is>
      </c>
      <c r="B941" s="27" t="inlineStr">
        <is>
          <t>Clara Prescott</t>
        </is>
      </c>
      <c r="C941" s="27" t="inlineStr">
        <is>
          <t>Podcaster</t>
        </is>
      </c>
      <c r="D941" s="27" t="inlineStr">
        <is>
          <t>NZ</t>
        </is>
      </c>
      <c r="E941" s="27" t="inlineStr">
        <is>
          <t>English</t>
        </is>
      </c>
      <c r="F941" s="27" t="inlineStr">
        <is>
          <t>Apple Podcasts</t>
        </is>
      </c>
      <c r="G941" s="27" t="inlineStr">
        <is>
          <t>https://podcasts.apple.com/nz/podcast/claraprescott/id1000937</t>
        </is>
      </c>
      <c r="H941" s="27" t="inlineStr">
        <is>
          <t>AP-NZ-1000937</t>
        </is>
      </c>
      <c r="I941" s="27" t="inlineStr">
        <is>
          <t>156,000</t>
        </is>
      </c>
      <c r="J941" s="27" t="inlineStr">
        <is>
          <t>2026-10-11</t>
        </is>
      </c>
      <c r="K941" s="27" t="inlineStr">
        <is>
          <t>https://claraprescott.com/episodes/138</t>
        </is>
      </c>
      <c r="L941" s="27" t="n">
        <v>15</v>
      </c>
      <c r="M941" s="27" t="n">
        <v>17</v>
      </c>
      <c r="N941" s="27" t="inlineStr">
        <is>
          <t>Affiliate</t>
        </is>
      </c>
      <c r="O941" s="27" t="inlineStr">
        <is>
          <t>https://claraprescott.com/resources</t>
        </is>
      </c>
      <c r="P941" s="27" t="inlineStr">
        <is>
          <t>Multilingual Audio Dubbing</t>
        </is>
      </c>
      <c r="Q941" s="27" t="inlineStr">
        <is>
          <t>https://claraprescott.com/highlights</t>
        </is>
      </c>
      <c r="R941" s="27" t="inlineStr">
        <is>
          <t>LinkedIn</t>
        </is>
      </c>
      <c r="S941" s="27" t="inlineStr">
        <is>
          <t>https://linkedin.com/in/claraprescott</t>
        </is>
      </c>
      <c r="T941" s="27" t="inlineStr">
        <is>
          <t>https://claraprescott.com/about</t>
        </is>
      </c>
      <c r="U941" s="27" t="inlineStr">
        <is>
          <t>Email</t>
        </is>
      </c>
      <c r="V941" s="27" t="inlineStr">
        <is>
          <t>health &amp; longevity science frameworks, specifically regarding episode 38 on Health &amp; Longevity Science workflow optimization</t>
        </is>
      </c>
      <c r="W941" s="27" t="inlineStr">
        <is>
          <t>Hi Clara,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41" s="27" t="inlineStr">
        <is>
          <t>2026-10-18</t>
        </is>
      </c>
      <c r="Y941" s="27" t="inlineStr">
        <is>
          <t>C</t>
        </is>
      </c>
      <c r="Z941" s="27" t="n">
        <v>75.8</v>
      </c>
      <c r="AA941" s="27" t="inlineStr">
        <is>
          <t>Qualified</t>
        </is>
      </c>
      <c r="AB941" s="27" t="inlineStr"/>
      <c r="AC941" s="28">
        <f>IF(A941="","",IF(COUNTIF($H$5:$H$1004,H941)&gt;1,"DUPLICATE","UNIQUE"))</f>
        <v/>
      </c>
      <c r="AD941" s="28">
        <f>IF(A941="","",IF(AA941="Rejected",IF(AB941&lt;&gt;"","REJECTED","ADD REASON"),IF(AND(B941&lt;&gt;"",C941&lt;&gt;"",D941&lt;&gt;"",E941&lt;&gt;"",F941&lt;&gt;"",G941&lt;&gt;"",H941&lt;&gt;"",J941&lt;&gt;"",K941&lt;&gt;"",N941&lt;&gt;"",O941&lt;&gt;"",P941&lt;&gt;"",Q941&lt;&gt;"",R941&lt;&gt;"",S941&lt;&gt;"",T941&lt;&gt;"",V941&lt;&gt;"",W941&lt;&gt;"",X941&lt;&gt;"",Y941&lt;&gt;""),"COMPLETE","MISSING FIELDS")))</f>
        <v/>
      </c>
    </row>
    <row r="942" ht="15" customHeight="1" s="15">
      <c r="A942" s="27" t="inlineStr">
        <is>
          <t>LEAD-0938</t>
        </is>
      </c>
      <c r="B942" s="27" t="inlineStr">
        <is>
          <t>Clara Winslow</t>
        </is>
      </c>
      <c r="C942" s="27" t="inlineStr">
        <is>
          <t>YouTuber</t>
        </is>
      </c>
      <c r="D942" s="27" t="inlineStr">
        <is>
          <t>NZ</t>
        </is>
      </c>
      <c r="E942" s="27" t="inlineStr">
        <is>
          <t>English</t>
        </is>
      </c>
      <c r="F942" s="27" t="inlineStr">
        <is>
          <t>YouTube</t>
        </is>
      </c>
      <c r="G942" s="27" t="inlineStr">
        <is>
          <t>https://www.youtube.com/@clarawinslow</t>
        </is>
      </c>
      <c r="H942" s="27" t="inlineStr">
        <is>
          <t>UCNZ00938603143</t>
        </is>
      </c>
      <c r="I942" s="27" t="inlineStr">
        <is>
          <t>580,000</t>
        </is>
      </c>
      <c r="J942" s="27" t="inlineStr">
        <is>
          <t>2026-10-12</t>
        </is>
      </c>
      <c r="K942" s="27" t="inlineStr">
        <is>
          <t>https://www.youtube.com/watch?v=nz00938</t>
        </is>
      </c>
      <c r="L942" s="27" t="n">
        <v>16</v>
      </c>
      <c r="M942" s="27" t="n">
        <v>18</v>
      </c>
      <c r="N942" s="27" t="inlineStr">
        <is>
          <t>Course</t>
        </is>
      </c>
      <c r="O942" s="27" t="inlineStr">
        <is>
          <t>https://clarawinslow.com/academy</t>
        </is>
      </c>
      <c r="P942" s="27" t="inlineStr">
        <is>
          <t>Missing Video Captions &amp; Retention Clips</t>
        </is>
      </c>
      <c r="Q942" s="27" t="inlineStr">
        <is>
          <t>https://clarawinslow.com/highlights</t>
        </is>
      </c>
      <c r="R942" s="27" t="inlineStr">
        <is>
          <t>X (Twitter)</t>
        </is>
      </c>
      <c r="S942" s="27" t="inlineStr">
        <is>
          <t>https://x.com/clarawinslow</t>
        </is>
      </c>
      <c r="T942" s="27" t="inlineStr">
        <is>
          <t>https://clarawinslow.com/links</t>
        </is>
      </c>
      <c r="U942" s="27" t="inlineStr">
        <is>
          <t>LinkedIn</t>
        </is>
      </c>
      <c r="V942" s="27" t="inlineStr">
        <is>
          <t>education &amp; applied coding frameworks, specifically regarding episode 39 on Education &amp; Applied Coding workflow optimization</t>
        </is>
      </c>
      <c r="W942" s="27" t="inlineStr">
        <is>
          <t>Hi Clara,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42" s="27" t="inlineStr">
        <is>
          <t>2026-10-18</t>
        </is>
      </c>
      <c r="Y942" s="27" t="inlineStr">
        <is>
          <t>C</t>
        </is>
      </c>
      <c r="Z942" s="27" t="n">
        <v>75.7</v>
      </c>
      <c r="AA942" s="27" t="inlineStr">
        <is>
          <t>Qualified</t>
        </is>
      </c>
      <c r="AB942" s="27" t="inlineStr"/>
      <c r="AC942" s="28">
        <f>IF(A942="","",IF(COUNTIF($H$5:$H$1004,H942)&gt;1,"DUPLICATE","UNIQUE"))</f>
        <v/>
      </c>
      <c r="AD942" s="28">
        <f>IF(A942="","",IF(AA942="Rejected",IF(AB942&lt;&gt;"","REJECTED","ADD REASON"),IF(AND(B942&lt;&gt;"",C942&lt;&gt;"",D942&lt;&gt;"",E942&lt;&gt;"",F942&lt;&gt;"",G942&lt;&gt;"",H942&lt;&gt;"",J942&lt;&gt;"",K942&lt;&gt;"",N942&lt;&gt;"",O942&lt;&gt;"",P942&lt;&gt;"",Q942&lt;&gt;"",R942&lt;&gt;"",S942&lt;&gt;"",T942&lt;&gt;"",V942&lt;&gt;"",W942&lt;&gt;"",X942&lt;&gt;"",Y942&lt;&gt;""),"COMPLETE","MISSING FIELDS")))</f>
        <v/>
      </c>
    </row>
    <row r="943" ht="15" customHeight="1" s="15">
      <c r="A943" s="27" t="inlineStr">
        <is>
          <t>LEAD-0939</t>
        </is>
      </c>
      <c r="B943" s="27" t="inlineStr">
        <is>
          <t>Clara Bradford</t>
        </is>
      </c>
      <c r="C943" s="27" t="inlineStr">
        <is>
          <t>Podcaster</t>
        </is>
      </c>
      <c r="D943" s="27" t="inlineStr">
        <is>
          <t>NZ</t>
        </is>
      </c>
      <c r="E943" s="27" t="inlineStr">
        <is>
          <t>English</t>
        </is>
      </c>
      <c r="F943" s="27" t="inlineStr">
        <is>
          <t>Apple Podcasts</t>
        </is>
      </c>
      <c r="G943" s="27" t="inlineStr">
        <is>
          <t>https://podcasts.apple.com/nz/podcast/clarabradford/id1000939</t>
        </is>
      </c>
      <c r="H943" s="27" t="inlineStr">
        <is>
          <t>AP-NZ-1000939</t>
        </is>
      </c>
      <c r="I943" s="27" t="inlineStr">
        <is>
          <t>180,000</t>
        </is>
      </c>
      <c r="J943" s="27" t="inlineStr">
        <is>
          <t>2026-10-13</t>
        </is>
      </c>
      <c r="K943" s="27" t="inlineStr">
        <is>
          <t>https://clarabradford.com/episodes/140</t>
        </is>
      </c>
      <c r="L943" s="27" t="n">
        <v>17</v>
      </c>
      <c r="M943" s="27" t="n">
        <v>19</v>
      </c>
      <c r="N943" s="27" t="inlineStr">
        <is>
          <t>Sponsor</t>
        </is>
      </c>
      <c r="O943" s="27" t="inlineStr">
        <is>
          <t>https://clarabradford.com/partners</t>
        </is>
      </c>
      <c r="P943" s="27" t="inlineStr">
        <is>
          <t>Shorts Repurposing Bottleneck</t>
        </is>
      </c>
      <c r="Q943" s="27" t="inlineStr">
        <is>
          <t>https://clarabradford.com/highlights</t>
        </is>
      </c>
      <c r="R943" s="27" t="inlineStr">
        <is>
          <t>Email</t>
        </is>
      </c>
      <c r="S943" s="27" t="inlineStr">
        <is>
          <t>hello@clarabradford.com</t>
        </is>
      </c>
      <c r="T943" s="27" t="inlineStr">
        <is>
          <t>https://clarabradford.com/work-with-me</t>
        </is>
      </c>
      <c r="U943" s="27" t="inlineStr">
        <is>
          <t>LinkedIn</t>
        </is>
      </c>
      <c r="V943" s="27" t="inlineStr">
        <is>
          <t>e-commerce &amp; digital brands frameworks, specifically regarding episode 40 on E-Commerce &amp; Digital Brands workflow optimization</t>
        </is>
      </c>
      <c r="W943" s="27" t="inlineStr">
        <is>
          <t>Hi Clara,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43" s="27" t="inlineStr">
        <is>
          <t>2026-10-18</t>
        </is>
      </c>
      <c r="Y943" s="27" t="inlineStr">
        <is>
          <t>C</t>
        </is>
      </c>
      <c r="Z943" s="27" t="n">
        <v>75.7</v>
      </c>
      <c r="AA943" s="27" t="inlineStr">
        <is>
          <t>Qualified</t>
        </is>
      </c>
      <c r="AB943" s="27" t="inlineStr"/>
      <c r="AC943" s="28">
        <f>IF(A943="","",IF(COUNTIF($H$5:$H$1004,H943)&gt;1,"DUPLICATE","UNIQUE"))</f>
        <v/>
      </c>
      <c r="AD943" s="28">
        <f>IF(A943="","",IF(AA943="Rejected",IF(AB943&lt;&gt;"","REJECTED","ADD REASON"),IF(AND(B943&lt;&gt;"",C943&lt;&gt;"",D943&lt;&gt;"",E943&lt;&gt;"",F943&lt;&gt;"",G943&lt;&gt;"",H943&lt;&gt;"",J943&lt;&gt;"",K943&lt;&gt;"",N943&lt;&gt;"",O943&lt;&gt;"",P943&lt;&gt;"",Q943&lt;&gt;"",R943&lt;&gt;"",S943&lt;&gt;"",T943&lt;&gt;"",V943&lt;&gt;"",W943&lt;&gt;"",X943&lt;&gt;"",Y943&lt;&gt;""),"COMPLETE","MISSING FIELDS")))</f>
        <v/>
      </c>
    </row>
    <row r="944" ht="15" customHeight="1" s="15">
      <c r="A944" s="27" t="inlineStr">
        <is>
          <t>LEAD-0940</t>
        </is>
      </c>
      <c r="B944" s="27" t="inlineStr">
        <is>
          <t>Clara Kensington</t>
        </is>
      </c>
      <c r="C944" s="27" t="inlineStr">
        <is>
          <t>YouTuber</t>
        </is>
      </c>
      <c r="D944" s="27" t="inlineStr">
        <is>
          <t>NZ</t>
        </is>
      </c>
      <c r="E944" s="27" t="inlineStr">
        <is>
          <t>English</t>
        </is>
      </c>
      <c r="F944" s="27" t="inlineStr">
        <is>
          <t>YouTube</t>
        </is>
      </c>
      <c r="G944" s="27" t="inlineStr">
        <is>
          <t>https://www.youtube.com/@clarakensington</t>
        </is>
      </c>
      <c r="H944" s="27" t="inlineStr">
        <is>
          <t>UCNZ00940205824</t>
        </is>
      </c>
      <c r="I944" s="27" t="inlineStr">
        <is>
          <t>620,000</t>
        </is>
      </c>
      <c r="J944" s="27" t="inlineStr">
        <is>
          <t>2026-10-14</t>
        </is>
      </c>
      <c r="K944" s="27" t="inlineStr">
        <is>
          <t>https://www.youtube.com/watch?v=nz00940</t>
        </is>
      </c>
      <c r="L944" s="27" t="n">
        <v>8</v>
      </c>
      <c r="M944" s="27" t="n">
        <v>20</v>
      </c>
      <c r="N944" s="27" t="inlineStr">
        <is>
          <t>Membership</t>
        </is>
      </c>
      <c r="O944" s="27" t="inlineStr">
        <is>
          <t>https://clarakensington.com/community</t>
        </is>
      </c>
      <c r="P944" s="27" t="inlineStr">
        <is>
          <t>Shorts Repurposing Bottleneck</t>
        </is>
      </c>
      <c r="Q944" s="27" t="inlineStr">
        <is>
          <t>https://clarakensington.com/highlights</t>
        </is>
      </c>
      <c r="R944" s="27" t="inlineStr">
        <is>
          <t>Email</t>
        </is>
      </c>
      <c r="S944" s="27" t="inlineStr">
        <is>
          <t>contact@clarakensington.com</t>
        </is>
      </c>
      <c r="T944" s="27" t="inlineStr">
        <is>
          <t>https://clarakensington.com/contact</t>
        </is>
      </c>
      <c r="U944" s="27" t="inlineStr">
        <is>
          <t>LinkedIn</t>
        </is>
      </c>
      <c r="V944" s="27" t="inlineStr">
        <is>
          <t>tech &amp; ai frameworks, specifically regarding episode 41 on Tech &amp; AI workflow optimization</t>
        </is>
      </c>
      <c r="W944" s="27" t="inlineStr">
        <is>
          <t>Hi Clara,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44" s="27" t="inlineStr">
        <is>
          <t>2026-10-18</t>
        </is>
      </c>
      <c r="Y944" s="27" t="inlineStr">
        <is>
          <t>C</t>
        </is>
      </c>
      <c r="Z944" s="27" t="n">
        <v>75.59999999999999</v>
      </c>
      <c r="AA944" s="27" t="inlineStr">
        <is>
          <t>Qualified</t>
        </is>
      </c>
      <c r="AB944" s="27" t="inlineStr"/>
      <c r="AC944" s="28">
        <f>IF(A944="","",IF(COUNTIF($H$5:$H$1004,H944)&gt;1,"DUPLICATE","UNIQUE"))</f>
        <v/>
      </c>
      <c r="AD944" s="28">
        <f>IF(A944="","",IF(AA944="Rejected",IF(AB944&lt;&gt;"","REJECTED","ADD REASON"),IF(AND(B944&lt;&gt;"",C944&lt;&gt;"",D944&lt;&gt;"",E944&lt;&gt;"",F944&lt;&gt;"",G944&lt;&gt;"",H944&lt;&gt;"",J944&lt;&gt;"",K944&lt;&gt;"",N944&lt;&gt;"",O944&lt;&gt;"",P944&lt;&gt;"",Q944&lt;&gt;"",R944&lt;&gt;"",S944&lt;&gt;"",T944&lt;&gt;"",V944&lt;&gt;"",W944&lt;&gt;"",X944&lt;&gt;"",Y944&lt;&gt;""),"COMPLETE","MISSING FIELDS")))</f>
        <v/>
      </c>
    </row>
    <row r="945" ht="15" customHeight="1" s="15">
      <c r="A945" s="27" t="inlineStr">
        <is>
          <t>LEAD-0941</t>
        </is>
      </c>
      <c r="B945" s="27" t="inlineStr">
        <is>
          <t>Clara Lancaster</t>
        </is>
      </c>
      <c r="C945" s="27" t="inlineStr">
        <is>
          <t>Podcaster</t>
        </is>
      </c>
      <c r="D945" s="27" t="inlineStr">
        <is>
          <t>NZ</t>
        </is>
      </c>
      <c r="E945" s="27" t="inlineStr">
        <is>
          <t>English</t>
        </is>
      </c>
      <c r="F945" s="27" t="inlineStr">
        <is>
          <t>Apple Podcasts</t>
        </is>
      </c>
      <c r="G945" s="27" t="inlineStr">
        <is>
          <t>https://podcasts.apple.com/nz/podcast/claralancaster/id1000941</t>
        </is>
      </c>
      <c r="H945" s="27" t="inlineStr">
        <is>
          <t>AP-NZ-1000941</t>
        </is>
      </c>
      <c r="I945" s="27" t="inlineStr">
        <is>
          <t>204,000</t>
        </is>
      </c>
      <c r="J945" s="27" t="inlineStr">
        <is>
          <t>2026-10-15</t>
        </is>
      </c>
      <c r="K945" s="27" t="inlineStr">
        <is>
          <t>https://claralancaster.com/episodes/142</t>
        </is>
      </c>
      <c r="L945" s="27" t="n">
        <v>9</v>
      </c>
      <c r="M945" s="27" t="n">
        <v>21</v>
      </c>
      <c r="N945" s="27" t="inlineStr">
        <is>
          <t>Product</t>
        </is>
      </c>
      <c r="O945" s="27" t="inlineStr">
        <is>
          <t>https://claralancaster.com/shop</t>
        </is>
      </c>
      <c r="P945" s="27" t="inlineStr">
        <is>
          <t>Missing Video Captions &amp; Retention Clips</t>
        </is>
      </c>
      <c r="Q945" s="27" t="inlineStr">
        <is>
          <t>https://claralancaster.com/highlights</t>
        </is>
      </c>
      <c r="R945" s="27" t="inlineStr">
        <is>
          <t>LinkedIn</t>
        </is>
      </c>
      <c r="S945" s="27" t="inlineStr">
        <is>
          <t>https://linkedin.com/in/claralancaster</t>
        </is>
      </c>
      <c r="T945" s="27" t="inlineStr">
        <is>
          <t>https://claralancaster.com/about</t>
        </is>
      </c>
      <c r="U945" s="27" t="inlineStr">
        <is>
          <t>Email</t>
        </is>
      </c>
      <c r="V945" s="27" t="inlineStr">
        <is>
          <t>saas &amp; product growth frameworks, specifically regarding episode 42 on SaaS &amp; Product Growth workflow optimization</t>
        </is>
      </c>
      <c r="W945" s="27" t="inlineStr">
        <is>
          <t>Hi Clara,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45" s="27" t="inlineStr">
        <is>
          <t>2026-10-18</t>
        </is>
      </c>
      <c r="Y945" s="27" t="inlineStr">
        <is>
          <t>C</t>
        </is>
      </c>
      <c r="Z945" s="27" t="n">
        <v>75.5</v>
      </c>
      <c r="AA945" s="27" t="inlineStr">
        <is>
          <t>Qualified</t>
        </is>
      </c>
      <c r="AB945" s="27" t="inlineStr"/>
      <c r="AC945" s="28">
        <f>IF(A945="","",IF(COUNTIF($H$5:$H$1004,H945)&gt;1,"DUPLICATE","UNIQUE"))</f>
        <v/>
      </c>
      <c r="AD945" s="28">
        <f>IF(A945="","",IF(AA945="Rejected",IF(AB945&lt;&gt;"","REJECTED","ADD REASON"),IF(AND(B945&lt;&gt;"",C945&lt;&gt;"",D945&lt;&gt;"",E945&lt;&gt;"",F945&lt;&gt;"",G945&lt;&gt;"",H945&lt;&gt;"",J945&lt;&gt;"",K945&lt;&gt;"",N945&lt;&gt;"",O945&lt;&gt;"",P945&lt;&gt;"",Q945&lt;&gt;"",R945&lt;&gt;"",S945&lt;&gt;"",T945&lt;&gt;"",V945&lt;&gt;"",W945&lt;&gt;"",X945&lt;&gt;"",Y945&lt;&gt;""),"COMPLETE","MISSING FIELDS")))</f>
        <v/>
      </c>
    </row>
    <row r="946" ht="15" customHeight="1" s="15">
      <c r="A946" s="27" t="inlineStr">
        <is>
          <t>LEAD-0942</t>
        </is>
      </c>
      <c r="B946" s="27" t="inlineStr">
        <is>
          <t>Clara Montgomery</t>
        </is>
      </c>
      <c r="C946" s="27" t="inlineStr">
        <is>
          <t>Expert-Led Creator</t>
        </is>
      </c>
      <c r="D946" s="27" t="inlineStr">
        <is>
          <t>NZ</t>
        </is>
      </c>
      <c r="E946" s="27" t="inlineStr">
        <is>
          <t>English</t>
        </is>
      </c>
      <c r="F946" s="27" t="inlineStr">
        <is>
          <t>YouTube</t>
        </is>
      </c>
      <c r="G946" s="27" t="inlineStr">
        <is>
          <t>https://www.youtube.com/@claramontgomery</t>
        </is>
      </c>
      <c r="H946" s="27" t="inlineStr">
        <is>
          <t>UCNZ00942673524</t>
        </is>
      </c>
      <c r="I946" s="27" t="inlineStr">
        <is>
          <t>660,000</t>
        </is>
      </c>
      <c r="J946" s="27" t="inlineStr">
        <is>
          <t>2026-10-16</t>
        </is>
      </c>
      <c r="K946" s="27" t="inlineStr">
        <is>
          <t>https://www.youtube.com/watch?v=nz00942</t>
        </is>
      </c>
      <c r="L946" s="27" t="n">
        <v>10</v>
      </c>
      <c r="M946" s="27" t="n">
        <v>22</v>
      </c>
      <c r="N946" s="27" t="inlineStr">
        <is>
          <t>Consulting</t>
        </is>
      </c>
      <c r="O946" s="27" t="inlineStr">
        <is>
          <t>https://claramontgomery.com/advisory</t>
        </is>
      </c>
      <c r="P946" s="27" t="inlineStr">
        <is>
          <t>Editing Backlog &amp; Team Workflow Overhead</t>
        </is>
      </c>
      <c r="Q946" s="27" t="inlineStr">
        <is>
          <t>https://claramontgomery.com/highlights</t>
        </is>
      </c>
      <c r="R946" s="27" t="inlineStr">
        <is>
          <t>X (Twitter)</t>
        </is>
      </c>
      <c r="S946" s="27" t="inlineStr">
        <is>
          <t>https://x.com/claramontgomery</t>
        </is>
      </c>
      <c r="T946" s="27" t="inlineStr">
        <is>
          <t>https://claramontgomery.com/links</t>
        </is>
      </c>
      <c r="U946" s="27" t="inlineStr">
        <is>
          <t>LinkedIn</t>
        </is>
      </c>
      <c r="V946" s="27" t="inlineStr">
        <is>
          <t>creator business &amp; monetization frameworks, specifically regarding episode 43 on Creator Business &amp; Monetization workflow optimization</t>
        </is>
      </c>
      <c r="W946" s="27" t="inlineStr">
        <is>
          <t>Hi Clara,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46" s="27" t="inlineStr">
        <is>
          <t>2026-10-18</t>
        </is>
      </c>
      <c r="Y946" s="27" t="inlineStr">
        <is>
          <t>C</t>
        </is>
      </c>
      <c r="Z946" s="27" t="n">
        <v>75.5</v>
      </c>
      <c r="AA946" s="27" t="inlineStr">
        <is>
          <t>Qualified</t>
        </is>
      </c>
      <c r="AB946" s="27" t="inlineStr"/>
      <c r="AC946" s="28">
        <f>IF(A946="","",IF(COUNTIF($H$5:$H$1004,H946)&gt;1,"DUPLICATE","UNIQUE"))</f>
        <v/>
      </c>
      <c r="AD946" s="28">
        <f>IF(A946="","",IF(AA946="Rejected",IF(AB946&lt;&gt;"","REJECTED","ADD REASON"),IF(AND(B946&lt;&gt;"",C946&lt;&gt;"",D946&lt;&gt;"",E946&lt;&gt;"",F946&lt;&gt;"",G946&lt;&gt;"",H946&lt;&gt;"",J946&lt;&gt;"",K946&lt;&gt;"",N946&lt;&gt;"",O946&lt;&gt;"",P946&lt;&gt;"",Q946&lt;&gt;"",R946&lt;&gt;"",S946&lt;&gt;"",T946&lt;&gt;"",V946&lt;&gt;"",W946&lt;&gt;"",X946&lt;&gt;"",Y946&lt;&gt;""),"COMPLETE","MISSING FIELDS")))</f>
        <v/>
      </c>
    </row>
    <row r="947" ht="15" customHeight="1" s="15">
      <c r="A947" s="27" t="inlineStr">
        <is>
          <t>LEAD-0943</t>
        </is>
      </c>
      <c r="B947" s="27" t="inlineStr">
        <is>
          <t>Clara Barrington</t>
        </is>
      </c>
      <c r="C947" s="27" t="inlineStr">
        <is>
          <t>YouTuber</t>
        </is>
      </c>
      <c r="D947" s="27" t="inlineStr">
        <is>
          <t>NZ</t>
        </is>
      </c>
      <c r="E947" s="27" t="inlineStr">
        <is>
          <t>English</t>
        </is>
      </c>
      <c r="F947" s="27" t="inlineStr">
        <is>
          <t>YouTube</t>
        </is>
      </c>
      <c r="G947" s="27" t="inlineStr">
        <is>
          <t>https://www.youtube.com/@clarabarrington</t>
        </is>
      </c>
      <c r="H947" s="27" t="inlineStr">
        <is>
          <t>UCNZ00943754609</t>
        </is>
      </c>
      <c r="I947" s="27" t="inlineStr">
        <is>
          <t>680,000</t>
        </is>
      </c>
      <c r="J947" s="27" t="inlineStr">
        <is>
          <t>2026-10-17</t>
        </is>
      </c>
      <c r="K947" s="27" t="inlineStr">
        <is>
          <t>https://www.youtube.com/watch?v=nz00943</t>
        </is>
      </c>
      <c r="L947" s="27" t="n">
        <v>11</v>
      </c>
      <c r="M947" s="27" t="n">
        <v>23</v>
      </c>
      <c r="N947" s="27" t="inlineStr">
        <is>
          <t>Newsletter Subscription</t>
        </is>
      </c>
      <c r="O947" s="27" t="inlineStr">
        <is>
          <t>https://clarabarrington.com/subscribe</t>
        </is>
      </c>
      <c r="P947" s="27" t="inlineStr">
        <is>
          <t>Shorts Repurposing Bottleneck</t>
        </is>
      </c>
      <c r="Q947" s="27" t="inlineStr">
        <is>
          <t>https://clarabarrington.com/highlights</t>
        </is>
      </c>
      <c r="R947" s="27" t="inlineStr">
        <is>
          <t>Email</t>
        </is>
      </c>
      <c r="S947" s="27" t="inlineStr">
        <is>
          <t>hello@clarabarrington.com</t>
        </is>
      </c>
      <c r="T947" s="27" t="inlineStr">
        <is>
          <t>https://clarabarrington.com/work-with-me</t>
        </is>
      </c>
      <c r="U947" s="27" t="inlineStr">
        <is>
          <t>LinkedIn</t>
        </is>
      </c>
      <c r="V947" s="27" t="inlineStr">
        <is>
          <t>productivity &amp; personal systems frameworks, specifically regarding episode 44 on Productivity &amp; Personal Systems workflow optimization</t>
        </is>
      </c>
      <c r="W947" s="27" t="inlineStr">
        <is>
          <t>Hi Clara,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47" s="27" t="inlineStr">
        <is>
          <t>2026-10-18</t>
        </is>
      </c>
      <c r="Y947" s="27" t="inlineStr">
        <is>
          <t>C</t>
        </is>
      </c>
      <c r="Z947" s="27" t="n">
        <v>75.40000000000001</v>
      </c>
      <c r="AA947" s="27" t="inlineStr">
        <is>
          <t>Qualified</t>
        </is>
      </c>
      <c r="AB947" s="27" t="inlineStr"/>
      <c r="AC947" s="28">
        <f>IF(A947="","",IF(COUNTIF($H$5:$H$1004,H947)&gt;1,"DUPLICATE","UNIQUE"))</f>
        <v/>
      </c>
      <c r="AD947" s="28">
        <f>IF(A947="","",IF(AA947="Rejected",IF(AB947&lt;&gt;"","REJECTED","ADD REASON"),IF(AND(B947&lt;&gt;"",C947&lt;&gt;"",D947&lt;&gt;"",E947&lt;&gt;"",F947&lt;&gt;"",G947&lt;&gt;"",H947&lt;&gt;"",J947&lt;&gt;"",K947&lt;&gt;"",N947&lt;&gt;"",O947&lt;&gt;"",P947&lt;&gt;"",Q947&lt;&gt;"",R947&lt;&gt;"",S947&lt;&gt;"",T947&lt;&gt;"",V947&lt;&gt;"",W947&lt;&gt;"",X947&lt;&gt;"",Y947&lt;&gt;""),"COMPLETE","MISSING FIELDS")))</f>
        <v/>
      </c>
    </row>
    <row r="948" ht="15" customHeight="1" s="15">
      <c r="A948" s="27" t="inlineStr">
        <is>
          <t>LEAD-0944</t>
        </is>
      </c>
      <c r="B948" s="27" t="inlineStr">
        <is>
          <t>Clara Thornton</t>
        </is>
      </c>
      <c r="C948" s="27" t="inlineStr">
        <is>
          <t>Podcaster</t>
        </is>
      </c>
      <c r="D948" s="27" t="inlineStr">
        <is>
          <t>NZ</t>
        </is>
      </c>
      <c r="E948" s="27" t="inlineStr">
        <is>
          <t>English</t>
        </is>
      </c>
      <c r="F948" s="27" t="inlineStr">
        <is>
          <t>Apple Podcasts</t>
        </is>
      </c>
      <c r="G948" s="27" t="inlineStr">
        <is>
          <t>https://podcasts.apple.com/nz/podcast/clarathornton/id1000944</t>
        </is>
      </c>
      <c r="H948" s="27" t="inlineStr">
        <is>
          <t>AP-NZ-1000944</t>
        </is>
      </c>
      <c r="I948" s="27" t="inlineStr">
        <is>
          <t>240,000</t>
        </is>
      </c>
      <c r="J948" s="27" t="inlineStr">
        <is>
          <t>2026-10-10</t>
        </is>
      </c>
      <c r="K948" s="27" t="inlineStr">
        <is>
          <t>https://clarathornton.com/episodes/145</t>
        </is>
      </c>
      <c r="L948" s="27" t="n">
        <v>12</v>
      </c>
      <c r="M948" s="27" t="n">
        <v>24</v>
      </c>
      <c r="N948" s="27" t="inlineStr">
        <is>
          <t>Affiliate</t>
        </is>
      </c>
      <c r="O948" s="27" t="inlineStr">
        <is>
          <t>https://clarathornton.com/resources</t>
        </is>
      </c>
      <c r="P948" s="27" t="inlineStr">
        <is>
          <t>Inconsistent Cross-Platform Publishing</t>
        </is>
      </c>
      <c r="Q948" s="27" t="inlineStr">
        <is>
          <t>https://clarathornton.com/highlights</t>
        </is>
      </c>
      <c r="R948" s="27" t="inlineStr">
        <is>
          <t>Email</t>
        </is>
      </c>
      <c r="S948" s="27" t="inlineStr">
        <is>
          <t>contact@clarathornton.com</t>
        </is>
      </c>
      <c r="T948" s="27" t="inlineStr">
        <is>
          <t>https://clarathornton.com/contact</t>
        </is>
      </c>
      <c r="U948" s="27" t="inlineStr">
        <is>
          <t>LinkedIn</t>
        </is>
      </c>
      <c r="V948" s="27" t="inlineStr">
        <is>
          <t>leadership &amp; team ops frameworks, specifically regarding episode 45 on Leadership &amp; Team Ops workflow optimization</t>
        </is>
      </c>
      <c r="W948" s="27" t="inlineStr">
        <is>
          <t>Hi Clara,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48" s="27" t="inlineStr">
        <is>
          <t>2026-10-18</t>
        </is>
      </c>
      <c r="Y948" s="27" t="inlineStr">
        <is>
          <t>C</t>
        </is>
      </c>
      <c r="Z948" s="27" t="n">
        <v>75.40000000000001</v>
      </c>
      <c r="AA948" s="27" t="inlineStr">
        <is>
          <t>Qualified</t>
        </is>
      </c>
      <c r="AB948" s="27" t="inlineStr"/>
      <c r="AC948" s="28">
        <f>IF(A948="","",IF(COUNTIF($H$5:$H$1004,H948)&gt;1,"DUPLICATE","UNIQUE"))</f>
        <v/>
      </c>
      <c r="AD948" s="28">
        <f>IF(A948="","",IF(AA948="Rejected",IF(AB948&lt;&gt;"","REJECTED","ADD REASON"),IF(AND(B948&lt;&gt;"",C948&lt;&gt;"",D948&lt;&gt;"",E948&lt;&gt;"",F948&lt;&gt;"",G948&lt;&gt;"",H948&lt;&gt;"",J948&lt;&gt;"",K948&lt;&gt;"",N948&lt;&gt;"",O948&lt;&gt;"",P948&lt;&gt;"",Q948&lt;&gt;"",R948&lt;&gt;"",S948&lt;&gt;"",T948&lt;&gt;"",V948&lt;&gt;"",W948&lt;&gt;"",X948&lt;&gt;"",Y948&lt;&gt;""),"COMPLETE","MISSING FIELDS")))</f>
        <v/>
      </c>
    </row>
    <row r="949" ht="15" customHeight="1" s="15">
      <c r="A949" s="27" t="inlineStr">
        <is>
          <t>LEAD-0945</t>
        </is>
      </c>
      <c r="B949" s="27" t="inlineStr">
        <is>
          <t>Clara Wellington</t>
        </is>
      </c>
      <c r="C949" s="27" t="inlineStr">
        <is>
          <t>Expert-Led Creator</t>
        </is>
      </c>
      <c r="D949" s="27" t="inlineStr">
        <is>
          <t>NZ</t>
        </is>
      </c>
      <c r="E949" s="27" t="inlineStr">
        <is>
          <t>English</t>
        </is>
      </c>
      <c r="F949" s="27" t="inlineStr">
        <is>
          <t>LinkedIn</t>
        </is>
      </c>
      <c r="G949" s="27" t="inlineStr">
        <is>
          <t>https://www.linkedin.com/in/clarawellington</t>
        </is>
      </c>
      <c r="H949" s="27" t="inlineStr">
        <is>
          <t>LI-clarawellington-0945</t>
        </is>
      </c>
      <c r="I949" s="27" t="inlineStr">
        <is>
          <t>96,000</t>
        </is>
      </c>
      <c r="J949" s="27" t="inlineStr">
        <is>
          <t>2026-10-11</t>
        </is>
      </c>
      <c r="K949" s="27" t="inlineStr">
        <is>
          <t>https://clarawellington.com/posts/46</t>
        </is>
      </c>
      <c r="L949" s="27" t="n">
        <v>13</v>
      </c>
      <c r="M949" s="27" t="n">
        <v>25</v>
      </c>
      <c r="N949" s="27" t="inlineStr">
        <is>
          <t>Course</t>
        </is>
      </c>
      <c r="O949" s="27" t="inlineStr">
        <is>
          <t>https://clarawellington.com/academy</t>
        </is>
      </c>
      <c r="P949" s="27" t="inlineStr">
        <is>
          <t>Editing Backlog &amp; Team Workflow Overhead</t>
        </is>
      </c>
      <c r="Q949" s="27" t="inlineStr">
        <is>
          <t>https://clarawellington.com/highlights</t>
        </is>
      </c>
      <c r="R949" s="27" t="inlineStr">
        <is>
          <t>LinkedIn</t>
        </is>
      </c>
      <c r="S949" s="27" t="inlineStr">
        <is>
          <t>https://linkedin.com/in/clarawellington</t>
        </is>
      </c>
      <c r="T949" s="27" t="inlineStr">
        <is>
          <t>https://clarawellington.com/about</t>
        </is>
      </c>
      <c r="U949" s="27" t="inlineStr">
        <is>
          <t>Email</t>
        </is>
      </c>
      <c r="V949" s="27" t="inlineStr">
        <is>
          <t>b2b marketing &amp; sales frameworks, specifically regarding episode 46 on B2B Marketing &amp; Sales workflow optimization</t>
        </is>
      </c>
      <c r="W949" s="27" t="inlineStr">
        <is>
          <t>Hi Clara,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49" s="27" t="inlineStr">
        <is>
          <t>2026-10-18</t>
        </is>
      </c>
      <c r="Y949" s="27" t="inlineStr">
        <is>
          <t>C</t>
        </is>
      </c>
      <c r="Z949" s="27" t="n">
        <v>75.3</v>
      </c>
      <c r="AA949" s="27" t="inlineStr">
        <is>
          <t>Qualified</t>
        </is>
      </c>
      <c r="AB949" s="27" t="inlineStr"/>
      <c r="AC949" s="28">
        <f>IF(A949="","",IF(COUNTIF($H$5:$H$1004,H949)&gt;1,"DUPLICATE","UNIQUE"))</f>
        <v/>
      </c>
      <c r="AD949" s="28">
        <f>IF(A949="","",IF(AA949="Rejected",IF(AB949&lt;&gt;"","REJECTED","ADD REASON"),IF(AND(B949&lt;&gt;"",C949&lt;&gt;"",D949&lt;&gt;"",E949&lt;&gt;"",F949&lt;&gt;"",G949&lt;&gt;"",H949&lt;&gt;"",J949&lt;&gt;"",K949&lt;&gt;"",N949&lt;&gt;"",O949&lt;&gt;"",P949&lt;&gt;"",Q949&lt;&gt;"",R949&lt;&gt;"",S949&lt;&gt;"",T949&lt;&gt;"",V949&lt;&gt;"",W949&lt;&gt;"",X949&lt;&gt;"",Y949&lt;&gt;""),"COMPLETE","MISSING FIELDS")))</f>
        <v/>
      </c>
    </row>
    <row r="950" ht="15" customHeight="1" s="15">
      <c r="A950" s="27" t="inlineStr">
        <is>
          <t>LEAD-0946</t>
        </is>
      </c>
      <c r="B950" s="27" t="inlineStr">
        <is>
          <t>Daphne Ashford</t>
        </is>
      </c>
      <c r="C950" s="27" t="inlineStr">
        <is>
          <t>YouTuber</t>
        </is>
      </c>
      <c r="D950" s="27" t="inlineStr">
        <is>
          <t>NZ</t>
        </is>
      </c>
      <c r="E950" s="27" t="inlineStr">
        <is>
          <t>English</t>
        </is>
      </c>
      <c r="F950" s="27" t="inlineStr">
        <is>
          <t>YouTube</t>
        </is>
      </c>
      <c r="G950" s="27" t="inlineStr">
        <is>
          <t>https://www.youtube.com/@daphneashford</t>
        </is>
      </c>
      <c r="H950" s="27" t="inlineStr">
        <is>
          <t>UCNZ00946935764</t>
        </is>
      </c>
      <c r="I950" s="27" t="inlineStr">
        <is>
          <t>40,000</t>
        </is>
      </c>
      <c r="J950" s="27" t="inlineStr">
        <is>
          <t>2026-10-12</t>
        </is>
      </c>
      <c r="K950" s="27" t="inlineStr">
        <is>
          <t>https://www.youtube.com/watch?v=nz00946</t>
        </is>
      </c>
      <c r="L950" s="27" t="n">
        <v>14</v>
      </c>
      <c r="M950" s="27" t="n">
        <v>26</v>
      </c>
      <c r="N950" s="27" t="inlineStr">
        <is>
          <t>Sponsor</t>
        </is>
      </c>
      <c r="O950" s="27" t="inlineStr">
        <is>
          <t>https://daphneashford.com/partners</t>
        </is>
      </c>
      <c r="P950" s="27" t="inlineStr">
        <is>
          <t>Multilingual Audio Dubbing</t>
        </is>
      </c>
      <c r="Q950" s="27" t="inlineStr">
        <is>
          <t>https://daphneashford.com/highlights</t>
        </is>
      </c>
      <c r="R950" s="27" t="inlineStr">
        <is>
          <t>X (Twitter)</t>
        </is>
      </c>
      <c r="S950" s="27" t="inlineStr">
        <is>
          <t>https://x.com/daphneashford</t>
        </is>
      </c>
      <c r="T950" s="27" t="inlineStr">
        <is>
          <t>https://daphneashford.com/links</t>
        </is>
      </c>
      <c r="U950" s="27" t="inlineStr">
        <is>
          <t>LinkedIn</t>
        </is>
      </c>
      <c r="V950" s="27" t="inlineStr">
        <is>
          <t>finance &amp; wealth engineering frameworks, specifically regarding episode 47 on Finance &amp; Wealth Engineering workflow optimization</t>
        </is>
      </c>
      <c r="W950" s="27" t="inlineStr">
        <is>
          <t>Hi Daphne,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50" s="27" t="inlineStr">
        <is>
          <t>2026-10-18</t>
        </is>
      </c>
      <c r="Y950" s="27" t="inlineStr">
        <is>
          <t>C</t>
        </is>
      </c>
      <c r="Z950" s="27" t="n">
        <v>75.2</v>
      </c>
      <c r="AA950" s="27" t="inlineStr">
        <is>
          <t>Qualified</t>
        </is>
      </c>
      <c r="AB950" s="27" t="inlineStr"/>
      <c r="AC950" s="28">
        <f>IF(A950="","",IF(COUNTIF($H$5:$H$1004,H950)&gt;1,"DUPLICATE","UNIQUE"))</f>
        <v/>
      </c>
      <c r="AD950" s="28">
        <f>IF(A950="","",IF(AA950="Rejected",IF(AB950&lt;&gt;"","REJECTED","ADD REASON"),IF(AND(B950&lt;&gt;"",C950&lt;&gt;"",D950&lt;&gt;"",E950&lt;&gt;"",F950&lt;&gt;"",G950&lt;&gt;"",H950&lt;&gt;"",J950&lt;&gt;"",K950&lt;&gt;"",N950&lt;&gt;"",O950&lt;&gt;"",P950&lt;&gt;"",Q950&lt;&gt;"",R950&lt;&gt;"",S950&lt;&gt;"",T950&lt;&gt;"",V950&lt;&gt;"",W950&lt;&gt;"",X950&lt;&gt;"",Y950&lt;&gt;""),"COMPLETE","MISSING FIELDS")))</f>
        <v/>
      </c>
    </row>
    <row r="951" ht="15" customHeight="1" s="15">
      <c r="A951" s="27" t="inlineStr">
        <is>
          <t>LEAD-0947</t>
        </is>
      </c>
      <c r="B951" s="27" t="inlineStr">
        <is>
          <t>Daphne Bancroft</t>
        </is>
      </c>
      <c r="C951" s="27" t="inlineStr">
        <is>
          <t>Podcaster</t>
        </is>
      </c>
      <c r="D951" s="27" t="inlineStr">
        <is>
          <t>NZ</t>
        </is>
      </c>
      <c r="E951" s="27" t="inlineStr">
        <is>
          <t>English</t>
        </is>
      </c>
      <c r="F951" s="27" t="inlineStr">
        <is>
          <t>Apple Podcasts</t>
        </is>
      </c>
      <c r="G951" s="27" t="inlineStr">
        <is>
          <t>https://podcasts.apple.com/nz/podcast/daphnebancroft/id1000947</t>
        </is>
      </c>
      <c r="H951" s="27" t="inlineStr">
        <is>
          <t>AP-NZ-1000947</t>
        </is>
      </c>
      <c r="I951" s="27" t="inlineStr">
        <is>
          <t>276,000</t>
        </is>
      </c>
      <c r="J951" s="27" t="inlineStr">
        <is>
          <t>2026-10-13</t>
        </is>
      </c>
      <c r="K951" s="27" t="inlineStr">
        <is>
          <t>https://daphnebancroft.com/episodes/148</t>
        </is>
      </c>
      <c r="L951" s="27" t="n">
        <v>15</v>
      </c>
      <c r="M951" s="27" t="n">
        <v>27</v>
      </c>
      <c r="N951" s="27" t="inlineStr">
        <is>
          <t>Membership</t>
        </is>
      </c>
      <c r="O951" s="27" t="inlineStr">
        <is>
          <t>https://daphnebancroft.com/community</t>
        </is>
      </c>
      <c r="P951" s="27" t="inlineStr">
        <is>
          <t>Multilingual Audio Dubbing</t>
        </is>
      </c>
      <c r="Q951" s="27" t="inlineStr">
        <is>
          <t>https://daphnebancroft.com/highlights</t>
        </is>
      </c>
      <c r="R951" s="27" t="inlineStr">
        <is>
          <t>Email</t>
        </is>
      </c>
      <c r="S951" s="27" t="inlineStr">
        <is>
          <t>hello@daphnebancroft.com</t>
        </is>
      </c>
      <c r="T951" s="27" t="inlineStr">
        <is>
          <t>https://daphnebancroft.com/work-with-me</t>
        </is>
      </c>
      <c r="U951" s="27" t="inlineStr">
        <is>
          <t>LinkedIn</t>
        </is>
      </c>
      <c r="V951" s="27" t="inlineStr">
        <is>
          <t>health &amp; longevity science frameworks, specifically regarding episode 48 on Health &amp; Longevity Science workflow optimization</t>
        </is>
      </c>
      <c r="W951" s="27" t="inlineStr">
        <is>
          <t>Hi Daphne,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51" s="27" t="inlineStr">
        <is>
          <t>2026-10-18</t>
        </is>
      </c>
      <c r="Y951" s="27" t="inlineStr">
        <is>
          <t>C</t>
        </is>
      </c>
      <c r="Z951" s="27" t="n">
        <v>75.2</v>
      </c>
      <c r="AA951" s="27" t="inlineStr">
        <is>
          <t>Qualified</t>
        </is>
      </c>
      <c r="AB951" s="27" t="inlineStr"/>
      <c r="AC951" s="28">
        <f>IF(A951="","",IF(COUNTIF($H$5:$H$1004,H951)&gt;1,"DUPLICATE","UNIQUE"))</f>
        <v/>
      </c>
      <c r="AD951" s="28">
        <f>IF(A951="","",IF(AA951="Rejected",IF(AB951&lt;&gt;"","REJECTED","ADD REASON"),IF(AND(B951&lt;&gt;"",C951&lt;&gt;"",D951&lt;&gt;"",E951&lt;&gt;"",F951&lt;&gt;"",G951&lt;&gt;"",H951&lt;&gt;"",J951&lt;&gt;"",K951&lt;&gt;"",N951&lt;&gt;"",O951&lt;&gt;"",P951&lt;&gt;"",Q951&lt;&gt;"",R951&lt;&gt;"",S951&lt;&gt;"",T951&lt;&gt;"",V951&lt;&gt;"",W951&lt;&gt;"",X951&lt;&gt;"",Y951&lt;&gt;""),"COMPLETE","MISSING FIELDS")))</f>
        <v/>
      </c>
    </row>
    <row r="952" ht="15" customHeight="1" s="15">
      <c r="A952" s="27" t="inlineStr">
        <is>
          <t>LEAD-0948</t>
        </is>
      </c>
      <c r="B952" s="27" t="inlineStr">
        <is>
          <t>Daphne Calloway</t>
        </is>
      </c>
      <c r="C952" s="27" t="inlineStr">
        <is>
          <t>YouTuber</t>
        </is>
      </c>
      <c r="D952" s="27" t="inlineStr">
        <is>
          <t>NZ</t>
        </is>
      </c>
      <c r="E952" s="27" t="inlineStr">
        <is>
          <t>English</t>
        </is>
      </c>
      <c r="F952" s="27" t="inlineStr">
        <is>
          <t>YouTube</t>
        </is>
      </c>
      <c r="G952" s="27" t="inlineStr">
        <is>
          <t>https://www.youtube.com/@daphnecalloway</t>
        </is>
      </c>
      <c r="H952" s="27" t="inlineStr">
        <is>
          <t>UCNZ00948734533</t>
        </is>
      </c>
      <c r="I952" s="27" t="inlineStr">
        <is>
          <t>80,000</t>
        </is>
      </c>
      <c r="J952" s="27" t="inlineStr">
        <is>
          <t>2026-10-14</t>
        </is>
      </c>
      <c r="K952" s="27" t="inlineStr">
        <is>
          <t>https://www.youtube.com/watch?v=nz00948</t>
        </is>
      </c>
      <c r="L952" s="27" t="n">
        <v>16</v>
      </c>
      <c r="M952" s="27" t="n">
        <v>28</v>
      </c>
      <c r="N952" s="27" t="inlineStr">
        <is>
          <t>Product</t>
        </is>
      </c>
      <c r="O952" s="27" t="inlineStr">
        <is>
          <t>https://daphnecalloway.com/shop</t>
        </is>
      </c>
      <c r="P952" s="27" t="inlineStr">
        <is>
          <t>Missing Video Captions &amp; Retention Clips</t>
        </is>
      </c>
      <c r="Q952" s="27" t="inlineStr">
        <is>
          <t>https://daphnecalloway.com/highlights</t>
        </is>
      </c>
      <c r="R952" s="27" t="inlineStr">
        <is>
          <t>Email</t>
        </is>
      </c>
      <c r="S952" s="27" t="inlineStr">
        <is>
          <t>contact@daphnecalloway.com</t>
        </is>
      </c>
      <c r="T952" s="27" t="inlineStr">
        <is>
          <t>https://daphnecalloway.com/contact</t>
        </is>
      </c>
      <c r="U952" s="27" t="inlineStr">
        <is>
          <t>LinkedIn</t>
        </is>
      </c>
      <c r="V952" s="27" t="inlineStr">
        <is>
          <t>education &amp; applied coding frameworks, specifically regarding episode 49 on Education &amp; Applied Coding workflow optimization</t>
        </is>
      </c>
      <c r="W952" s="27" t="inlineStr">
        <is>
          <t>Hi Daphne,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52" s="27" t="inlineStr">
        <is>
          <t>2026-10-18</t>
        </is>
      </c>
      <c r="Y952" s="27" t="inlineStr">
        <is>
          <t>C</t>
        </is>
      </c>
      <c r="Z952" s="27" t="n">
        <v>75.09999999999999</v>
      </c>
      <c r="AA952" s="27" t="inlineStr">
        <is>
          <t>Qualified</t>
        </is>
      </c>
      <c r="AB952" s="27" t="inlineStr"/>
      <c r="AC952" s="28">
        <f>IF(A952="","",IF(COUNTIF($H$5:$H$1004,H952)&gt;1,"DUPLICATE","UNIQUE"))</f>
        <v/>
      </c>
      <c r="AD952" s="28">
        <f>IF(A952="","",IF(AA952="Rejected",IF(AB952&lt;&gt;"","REJECTED","ADD REASON"),IF(AND(B952&lt;&gt;"",C952&lt;&gt;"",D952&lt;&gt;"",E952&lt;&gt;"",F952&lt;&gt;"",G952&lt;&gt;"",H952&lt;&gt;"",J952&lt;&gt;"",K952&lt;&gt;"",N952&lt;&gt;"",O952&lt;&gt;"",P952&lt;&gt;"",Q952&lt;&gt;"",R952&lt;&gt;"",S952&lt;&gt;"",T952&lt;&gt;"",V952&lt;&gt;"",W952&lt;&gt;"",X952&lt;&gt;"",Y952&lt;&gt;""),"COMPLETE","MISSING FIELDS")))</f>
        <v/>
      </c>
    </row>
    <row r="953" ht="15" customHeight="1" s="15">
      <c r="A953" s="27" t="inlineStr">
        <is>
          <t>LEAD-0949</t>
        </is>
      </c>
      <c r="B953" s="27" t="inlineStr">
        <is>
          <t>Daphne Delaney</t>
        </is>
      </c>
      <c r="C953" s="27" t="inlineStr">
        <is>
          <t>Podcaster</t>
        </is>
      </c>
      <c r="D953" s="27" t="inlineStr">
        <is>
          <t>NZ</t>
        </is>
      </c>
      <c r="E953" s="27" t="inlineStr">
        <is>
          <t>English</t>
        </is>
      </c>
      <c r="F953" s="27" t="inlineStr">
        <is>
          <t>Apple Podcasts</t>
        </is>
      </c>
      <c r="G953" s="27" t="inlineStr">
        <is>
          <t>https://podcasts.apple.com/nz/podcast/daphnedelaney/id1000949</t>
        </is>
      </c>
      <c r="H953" s="27" t="inlineStr">
        <is>
          <t>AP-NZ-1000949</t>
        </is>
      </c>
      <c r="I953" s="27" t="inlineStr">
        <is>
          <t>300,000</t>
        </is>
      </c>
      <c r="J953" s="27" t="inlineStr">
        <is>
          <t>2026-10-15</t>
        </is>
      </c>
      <c r="K953" s="27" t="inlineStr">
        <is>
          <t>https://daphnedelaney.com/episodes/150</t>
        </is>
      </c>
      <c r="L953" s="27" t="n">
        <v>17</v>
      </c>
      <c r="M953" s="27" t="n">
        <v>29</v>
      </c>
      <c r="N953" s="27" t="inlineStr">
        <is>
          <t>Consulting</t>
        </is>
      </c>
      <c r="O953" s="27" t="inlineStr">
        <is>
          <t>https://daphnedelaney.com/advisory</t>
        </is>
      </c>
      <c r="P953" s="27" t="inlineStr">
        <is>
          <t>Shorts Repurposing Bottleneck</t>
        </is>
      </c>
      <c r="Q953" s="27" t="inlineStr">
        <is>
          <t>https://daphnedelaney.com/highlights</t>
        </is>
      </c>
      <c r="R953" s="27" t="inlineStr">
        <is>
          <t>LinkedIn</t>
        </is>
      </c>
      <c r="S953" s="27" t="inlineStr">
        <is>
          <t>https://linkedin.com/in/daphnedelaney</t>
        </is>
      </c>
      <c r="T953" s="27" t="inlineStr">
        <is>
          <t>https://daphnedelaney.com/about</t>
        </is>
      </c>
      <c r="U953" s="27" t="inlineStr">
        <is>
          <t>Email</t>
        </is>
      </c>
      <c r="V953" s="27" t="inlineStr">
        <is>
          <t>e-commerce &amp; digital brands frameworks, specifically regarding episode 50 on E-Commerce &amp; Digital Brands workflow optimization</t>
        </is>
      </c>
      <c r="W953" s="27" t="inlineStr">
        <is>
          <t>Hi Daphne,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53" s="27" t="inlineStr">
        <is>
          <t>2026-10-18</t>
        </is>
      </c>
      <c r="Y953" s="27" t="inlineStr">
        <is>
          <t>C</t>
        </is>
      </c>
      <c r="Z953" s="27" t="n">
        <v>75.09999999999999</v>
      </c>
      <c r="AA953" s="27" t="inlineStr">
        <is>
          <t>Qualified</t>
        </is>
      </c>
      <c r="AB953" s="27" t="inlineStr"/>
      <c r="AC953" s="28">
        <f>IF(A953="","",IF(COUNTIF($H$5:$H$1004,H953)&gt;1,"DUPLICATE","UNIQUE"))</f>
        <v/>
      </c>
      <c r="AD953" s="28">
        <f>IF(A953="","",IF(AA953="Rejected",IF(AB953&lt;&gt;"","REJECTED","ADD REASON"),IF(AND(B953&lt;&gt;"",C953&lt;&gt;"",D953&lt;&gt;"",E953&lt;&gt;"",F953&lt;&gt;"",G953&lt;&gt;"",H953&lt;&gt;"",J953&lt;&gt;"",K953&lt;&gt;"",N953&lt;&gt;"",O953&lt;&gt;"",P953&lt;&gt;"",Q953&lt;&gt;"",R953&lt;&gt;"",S953&lt;&gt;"",T953&lt;&gt;"",V953&lt;&gt;"",W953&lt;&gt;"",X953&lt;&gt;"",Y953&lt;&gt;""),"COMPLETE","MISSING FIELDS")))</f>
        <v/>
      </c>
    </row>
    <row r="954" ht="15" customHeight="1" s="15">
      <c r="A954" s="27" t="inlineStr">
        <is>
          <t>LEAD-0950</t>
        </is>
      </c>
      <c r="B954" s="27" t="inlineStr">
        <is>
          <t>Daphne Eastwood</t>
        </is>
      </c>
      <c r="C954" s="27" t="inlineStr">
        <is>
          <t>YouTuber</t>
        </is>
      </c>
      <c r="D954" s="27" t="inlineStr">
        <is>
          <t>NZ</t>
        </is>
      </c>
      <c r="E954" s="27" t="inlineStr">
        <is>
          <t>English</t>
        </is>
      </c>
      <c r="F954" s="27" t="inlineStr">
        <is>
          <t>YouTube</t>
        </is>
      </c>
      <c r="G954" s="27" t="inlineStr">
        <is>
          <t>https://www.youtube.com/@daphneeastwood</t>
        </is>
      </c>
      <c r="H954" s="27" t="inlineStr">
        <is>
          <t>UCNZ00950722548</t>
        </is>
      </c>
      <c r="I954" s="27" t="inlineStr">
        <is>
          <t>120,000</t>
        </is>
      </c>
      <c r="J954" s="27" t="inlineStr">
        <is>
          <t>2026-10-16</t>
        </is>
      </c>
      <c r="K954" s="27" t="inlineStr">
        <is>
          <t>https://www.youtube.com/watch?v=nz00950</t>
        </is>
      </c>
      <c r="L954" s="27" t="n">
        <v>8</v>
      </c>
      <c r="M954" s="27" t="n">
        <v>30</v>
      </c>
      <c r="N954" s="27" t="inlineStr">
        <is>
          <t>Newsletter Subscription</t>
        </is>
      </c>
      <c r="O954" s="27" t="inlineStr">
        <is>
          <t>https://daphneeastwood.com/subscribe</t>
        </is>
      </c>
      <c r="P954" s="27" t="inlineStr">
        <is>
          <t>Shorts Repurposing Bottleneck</t>
        </is>
      </c>
      <c r="Q954" s="27" t="inlineStr">
        <is>
          <t>https://daphneeastwood.com/highlights</t>
        </is>
      </c>
      <c r="R954" s="27" t="inlineStr">
        <is>
          <t>X (Twitter)</t>
        </is>
      </c>
      <c r="S954" s="27" t="inlineStr">
        <is>
          <t>https://x.com/daphneeastwood</t>
        </is>
      </c>
      <c r="T954" s="27" t="inlineStr">
        <is>
          <t>https://daphneeastwood.com/links</t>
        </is>
      </c>
      <c r="U954" s="27" t="inlineStr">
        <is>
          <t>LinkedIn</t>
        </is>
      </c>
      <c r="V954" s="27" t="inlineStr">
        <is>
          <t>tech &amp; ai frameworks, specifically regarding episode 1 on Tech &amp; AI workflow optimization</t>
        </is>
      </c>
      <c r="W954" s="27" t="inlineStr">
        <is>
          <t>Hi Daphne,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54" s="27" t="inlineStr">
        <is>
          <t>2026-10-18</t>
        </is>
      </c>
      <c r="Y954" s="27" t="inlineStr">
        <is>
          <t>C</t>
        </is>
      </c>
      <c r="Z954" s="27" t="n">
        <v>75</v>
      </c>
      <c r="AA954" s="27" t="inlineStr">
        <is>
          <t>Qualified</t>
        </is>
      </c>
      <c r="AB954" s="27" t="inlineStr"/>
      <c r="AC954" s="28">
        <f>IF(A954="","",IF(COUNTIF($H$5:$H$1004,H954)&gt;1,"DUPLICATE","UNIQUE"))</f>
        <v/>
      </c>
      <c r="AD954" s="28">
        <f>IF(A954="","",IF(AA954="Rejected",IF(AB954&lt;&gt;"","REJECTED","ADD REASON"),IF(AND(B954&lt;&gt;"",C954&lt;&gt;"",D954&lt;&gt;"",E954&lt;&gt;"",F954&lt;&gt;"",G954&lt;&gt;"",H954&lt;&gt;"",J954&lt;&gt;"",K954&lt;&gt;"",N954&lt;&gt;"",O954&lt;&gt;"",P954&lt;&gt;"",Q954&lt;&gt;"",R954&lt;&gt;"",S954&lt;&gt;"",T954&lt;&gt;"",V954&lt;&gt;"",W954&lt;&gt;"",X954&lt;&gt;"",Y954&lt;&gt;""),"COMPLETE","MISSING FIELDS")))</f>
        <v/>
      </c>
    </row>
    <row r="955" ht="15" customHeight="1" s="15">
      <c r="A955" s="27" t="inlineStr">
        <is>
          <t>LEAD-0951</t>
        </is>
      </c>
      <c r="B955" s="27" t="inlineStr">
        <is>
          <t>Daphne Fairchild</t>
        </is>
      </c>
      <c r="C955" s="27" t="inlineStr">
        <is>
          <t>Podcaster</t>
        </is>
      </c>
      <c r="D955" s="27" t="inlineStr">
        <is>
          <t>NZ</t>
        </is>
      </c>
      <c r="E955" s="27" t="inlineStr">
        <is>
          <t>English</t>
        </is>
      </c>
      <c r="F955" s="27" t="inlineStr">
        <is>
          <t>Apple Podcasts</t>
        </is>
      </c>
      <c r="G955" s="27" t="inlineStr">
        <is>
          <t>https://podcasts.apple.com/nz/podcast/daphnefairchild/id1000951</t>
        </is>
      </c>
      <c r="H955" s="27" t="inlineStr">
        <is>
          <t>AP-NZ-1000951</t>
        </is>
      </c>
      <c r="I955" s="27" t="inlineStr">
        <is>
          <t>24,000</t>
        </is>
      </c>
      <c r="J955" s="27" t="inlineStr">
        <is>
          <t>2026-10-17</t>
        </is>
      </c>
      <c r="K955" s="27" t="inlineStr">
        <is>
          <t>https://daphnefairchild.com/episodes/152</t>
        </is>
      </c>
      <c r="L955" s="27" t="n">
        <v>9</v>
      </c>
      <c r="M955" s="27" t="n">
        <v>31</v>
      </c>
      <c r="N955" s="27" t="inlineStr">
        <is>
          <t>Affiliate</t>
        </is>
      </c>
      <c r="O955" s="27" t="inlineStr">
        <is>
          <t>https://daphnefairchild.com/resources</t>
        </is>
      </c>
      <c r="P955" s="27" t="inlineStr">
        <is>
          <t>Missing Video Captions &amp; Retention Clips</t>
        </is>
      </c>
      <c r="Q955" s="27" t="inlineStr">
        <is>
          <t>https://daphnefairchild.com/highlights</t>
        </is>
      </c>
      <c r="R955" s="27" t="inlineStr">
        <is>
          <t>Email</t>
        </is>
      </c>
      <c r="S955" s="27" t="inlineStr">
        <is>
          <t>hello@daphnefairchild.com</t>
        </is>
      </c>
      <c r="T955" s="27" t="inlineStr">
        <is>
          <t>https://daphnefairchild.com/work-with-me</t>
        </is>
      </c>
      <c r="U955" s="27" t="inlineStr">
        <is>
          <t>LinkedIn</t>
        </is>
      </c>
      <c r="V955" s="27" t="inlineStr">
        <is>
          <t>saas &amp; product growth frameworks, specifically regarding episode 2 on SaaS &amp; Product Growth workflow optimization</t>
        </is>
      </c>
      <c r="W955" s="27" t="inlineStr">
        <is>
          <t>Hi Daphne, loved your recent piece on 'saas &amp; product growth frameworks, specifically regarding episode 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55" s="27" t="inlineStr">
        <is>
          <t>2026-10-18</t>
        </is>
      </c>
      <c r="Y955" s="27" t="inlineStr">
        <is>
          <t>C</t>
        </is>
      </c>
      <c r="Z955" s="27" t="n">
        <v>74.90000000000001</v>
      </c>
      <c r="AA955" s="27" t="inlineStr">
        <is>
          <t>Qualified</t>
        </is>
      </c>
      <c r="AB955" s="27" t="inlineStr"/>
      <c r="AC955" s="28">
        <f>IF(A955="","",IF(COUNTIF($H$5:$H$1004,H955)&gt;1,"DUPLICATE","UNIQUE"))</f>
        <v/>
      </c>
      <c r="AD955" s="28">
        <f>IF(A955="","",IF(AA955="Rejected",IF(AB955&lt;&gt;"","REJECTED","ADD REASON"),IF(AND(B955&lt;&gt;"",C955&lt;&gt;"",D955&lt;&gt;"",E955&lt;&gt;"",F955&lt;&gt;"",G955&lt;&gt;"",H955&lt;&gt;"",J955&lt;&gt;"",K955&lt;&gt;"",N955&lt;&gt;"",O955&lt;&gt;"",P955&lt;&gt;"",Q955&lt;&gt;"",R955&lt;&gt;"",S955&lt;&gt;"",T955&lt;&gt;"",V955&lt;&gt;"",W955&lt;&gt;"",X955&lt;&gt;"",Y955&lt;&gt;""),"COMPLETE","MISSING FIELDS")))</f>
        <v/>
      </c>
    </row>
    <row r="956" ht="15" customHeight="1" s="15">
      <c r="A956" s="27" t="inlineStr">
        <is>
          <t>LEAD-0952</t>
        </is>
      </c>
      <c r="B956" s="27" t="inlineStr">
        <is>
          <t>Daphne Gallagher</t>
        </is>
      </c>
      <c r="C956" s="27" t="inlineStr">
        <is>
          <t>Expert-Led Creator</t>
        </is>
      </c>
      <c r="D956" s="27" t="inlineStr">
        <is>
          <t>NZ</t>
        </is>
      </c>
      <c r="E956" s="27" t="inlineStr">
        <is>
          <t>English</t>
        </is>
      </c>
      <c r="F956" s="27" t="inlineStr">
        <is>
          <t>YouTube</t>
        </is>
      </c>
      <c r="G956" s="27" t="inlineStr">
        <is>
          <t>https://www.youtube.com/@daphnegallagher</t>
        </is>
      </c>
      <c r="H956" s="27" t="inlineStr">
        <is>
          <t>UCNZ00952396479</t>
        </is>
      </c>
      <c r="I956" s="27" t="inlineStr">
        <is>
          <t>160,000</t>
        </is>
      </c>
      <c r="J956" s="27" t="inlineStr">
        <is>
          <t>2026-10-10</t>
        </is>
      </c>
      <c r="K956" s="27" t="inlineStr">
        <is>
          <t>https://www.youtube.com/watch?v=nz00952</t>
        </is>
      </c>
      <c r="L956" s="27" t="n">
        <v>10</v>
      </c>
      <c r="M956" s="27" t="n">
        <v>32</v>
      </c>
      <c r="N956" s="27" t="inlineStr">
        <is>
          <t>Course</t>
        </is>
      </c>
      <c r="O956" s="27" t="inlineStr">
        <is>
          <t>https://daphnegallagher.com/academy</t>
        </is>
      </c>
      <c r="P956" s="27" t="inlineStr">
        <is>
          <t>Editing Backlog &amp; Team Workflow Overhead</t>
        </is>
      </c>
      <c r="Q956" s="27" t="inlineStr">
        <is>
          <t>https://daphnegallagher.com/highlights</t>
        </is>
      </c>
      <c r="R956" s="27" t="inlineStr">
        <is>
          <t>Email</t>
        </is>
      </c>
      <c r="S956" s="27" t="inlineStr">
        <is>
          <t>contact@daphnegallagher.com</t>
        </is>
      </c>
      <c r="T956" s="27" t="inlineStr">
        <is>
          <t>https://daphnegallagher.com/contact</t>
        </is>
      </c>
      <c r="U956" s="27" t="inlineStr">
        <is>
          <t>LinkedIn</t>
        </is>
      </c>
      <c r="V956" s="27" t="inlineStr">
        <is>
          <t>creator business &amp; monetization frameworks, specifically regarding episode 3 on Creator Business &amp; Monetization workflow optimization</t>
        </is>
      </c>
      <c r="W956" s="27" t="inlineStr">
        <is>
          <t>Hi Daphne, loved your recent piece on 'creator business &amp; monetization frameworks, specifically regarding episode 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56" s="27" t="inlineStr">
        <is>
          <t>2026-10-18</t>
        </is>
      </c>
      <c r="Y956" s="27" t="inlineStr">
        <is>
          <t>C</t>
        </is>
      </c>
      <c r="Z956" s="27" t="n">
        <v>74.90000000000001</v>
      </c>
      <c r="AA956" s="27" t="inlineStr">
        <is>
          <t>Qualified</t>
        </is>
      </c>
      <c r="AB956" s="27" t="inlineStr"/>
      <c r="AC956" s="28">
        <f>IF(A956="","",IF(COUNTIF($H$5:$H$1004,H956)&gt;1,"DUPLICATE","UNIQUE"))</f>
        <v/>
      </c>
      <c r="AD956" s="28">
        <f>IF(A956="","",IF(AA956="Rejected",IF(AB956&lt;&gt;"","REJECTED","ADD REASON"),IF(AND(B956&lt;&gt;"",C956&lt;&gt;"",D956&lt;&gt;"",E956&lt;&gt;"",F956&lt;&gt;"",G956&lt;&gt;"",H956&lt;&gt;"",J956&lt;&gt;"",K956&lt;&gt;"",N956&lt;&gt;"",O956&lt;&gt;"",P956&lt;&gt;"",Q956&lt;&gt;"",R956&lt;&gt;"",S956&lt;&gt;"",T956&lt;&gt;"",V956&lt;&gt;"",W956&lt;&gt;"",X956&lt;&gt;"",Y956&lt;&gt;""),"COMPLETE","MISSING FIELDS")))</f>
        <v/>
      </c>
    </row>
    <row r="957" ht="15" customHeight="1" s="15">
      <c r="A957" s="27" t="inlineStr">
        <is>
          <t>LEAD-0953</t>
        </is>
      </c>
      <c r="B957" s="27" t="inlineStr">
        <is>
          <t>Daphne Hawthorne</t>
        </is>
      </c>
      <c r="C957" s="27" t="inlineStr">
        <is>
          <t>YouTuber</t>
        </is>
      </c>
      <c r="D957" s="27" t="inlineStr">
        <is>
          <t>NZ</t>
        </is>
      </c>
      <c r="E957" s="27" t="inlineStr">
        <is>
          <t>English</t>
        </is>
      </c>
      <c r="F957" s="27" t="inlineStr">
        <is>
          <t>YouTube</t>
        </is>
      </c>
      <c r="G957" s="27" t="inlineStr">
        <is>
          <t>https://www.youtube.com/@daphnehawthorne</t>
        </is>
      </c>
      <c r="H957" s="27" t="inlineStr">
        <is>
          <t>UCNZ00953605975</t>
        </is>
      </c>
      <c r="I957" s="27" t="inlineStr">
        <is>
          <t>180,000</t>
        </is>
      </c>
      <c r="J957" s="27" t="inlineStr">
        <is>
          <t>2026-10-11</t>
        </is>
      </c>
      <c r="K957" s="27" t="inlineStr">
        <is>
          <t>https://www.youtube.com/watch?v=nz00953</t>
        </is>
      </c>
      <c r="L957" s="27" t="n">
        <v>11</v>
      </c>
      <c r="M957" s="27" t="n">
        <v>33</v>
      </c>
      <c r="N957" s="27" t="inlineStr">
        <is>
          <t>Sponsor</t>
        </is>
      </c>
      <c r="O957" s="27" t="inlineStr">
        <is>
          <t>https://daphnehawthorne.com/partners</t>
        </is>
      </c>
      <c r="P957" s="27" t="inlineStr">
        <is>
          <t>Shorts Repurposing Bottleneck</t>
        </is>
      </c>
      <c r="Q957" s="27" t="inlineStr">
        <is>
          <t>https://daphnehawthorne.com/highlights</t>
        </is>
      </c>
      <c r="R957" s="27" t="inlineStr">
        <is>
          <t>LinkedIn</t>
        </is>
      </c>
      <c r="S957" s="27" t="inlineStr">
        <is>
          <t>https://linkedin.com/in/daphnehawthorne</t>
        </is>
      </c>
      <c r="T957" s="27" t="inlineStr">
        <is>
          <t>https://daphnehawthorne.com/about</t>
        </is>
      </c>
      <c r="U957" s="27" t="inlineStr">
        <is>
          <t>Email</t>
        </is>
      </c>
      <c r="V957" s="27" t="inlineStr">
        <is>
          <t>productivity &amp; personal systems frameworks, specifically regarding episode 4 on Productivity &amp; Personal Systems workflow optimization</t>
        </is>
      </c>
      <c r="W957" s="27" t="inlineStr">
        <is>
          <t>Hi Daphne, loved your recent piece on 'productivity &amp; personal systems frameworks, specifically regarding episode 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57" s="27" t="inlineStr">
        <is>
          <t>2026-10-18</t>
        </is>
      </c>
      <c r="Y957" s="27" t="inlineStr">
        <is>
          <t>C</t>
        </is>
      </c>
      <c r="Z957" s="27" t="n">
        <v>74.8</v>
      </c>
      <c r="AA957" s="27" t="inlineStr">
        <is>
          <t>Qualified</t>
        </is>
      </c>
      <c r="AB957" s="27" t="inlineStr"/>
      <c r="AC957" s="28">
        <f>IF(A957="","",IF(COUNTIF($H$5:$H$1004,H957)&gt;1,"DUPLICATE","UNIQUE"))</f>
        <v/>
      </c>
      <c r="AD957" s="28">
        <f>IF(A957="","",IF(AA957="Rejected",IF(AB957&lt;&gt;"","REJECTED","ADD REASON"),IF(AND(B957&lt;&gt;"",C957&lt;&gt;"",D957&lt;&gt;"",E957&lt;&gt;"",F957&lt;&gt;"",G957&lt;&gt;"",H957&lt;&gt;"",J957&lt;&gt;"",K957&lt;&gt;"",N957&lt;&gt;"",O957&lt;&gt;"",P957&lt;&gt;"",Q957&lt;&gt;"",R957&lt;&gt;"",S957&lt;&gt;"",T957&lt;&gt;"",V957&lt;&gt;"",W957&lt;&gt;"",X957&lt;&gt;"",Y957&lt;&gt;""),"COMPLETE","MISSING FIELDS")))</f>
        <v/>
      </c>
    </row>
    <row r="958" ht="15" customHeight="1" s="15">
      <c r="A958" s="27" t="inlineStr">
        <is>
          <t>LEAD-0954</t>
        </is>
      </c>
      <c r="B958" s="27" t="inlineStr">
        <is>
          <t>Daphne Ingram</t>
        </is>
      </c>
      <c r="C958" s="27" t="inlineStr">
        <is>
          <t>Podcaster</t>
        </is>
      </c>
      <c r="D958" s="27" t="inlineStr">
        <is>
          <t>DE</t>
        </is>
      </c>
      <c r="E958" s="27" t="inlineStr">
        <is>
          <t>English</t>
        </is>
      </c>
      <c r="F958" s="27" t="inlineStr">
        <is>
          <t>Apple Podcasts</t>
        </is>
      </c>
      <c r="G958" s="27" t="inlineStr">
        <is>
          <t>https://podcasts.apple.com/de/podcast/daphneingram/id1000954</t>
        </is>
      </c>
      <c r="H958" s="27" t="inlineStr">
        <is>
          <t>AP-DE-1000954</t>
        </is>
      </c>
      <c r="I958" s="27" t="inlineStr">
        <is>
          <t>60,000</t>
        </is>
      </c>
      <c r="J958" s="27" t="inlineStr">
        <is>
          <t>2026-10-12</t>
        </is>
      </c>
      <c r="K958" s="27" t="inlineStr">
        <is>
          <t>https://daphneingram.com/episodes/155</t>
        </is>
      </c>
      <c r="L958" s="27" t="n">
        <v>12</v>
      </c>
      <c r="M958" s="27" t="n">
        <v>16</v>
      </c>
      <c r="N958" s="27" t="inlineStr">
        <is>
          <t>Membership</t>
        </is>
      </c>
      <c r="O958" s="27" t="inlineStr">
        <is>
          <t>https://daphneingram.com/community</t>
        </is>
      </c>
      <c r="P958" s="27" t="inlineStr">
        <is>
          <t>Inconsistent Cross-Platform Publishing</t>
        </is>
      </c>
      <c r="Q958" s="27" t="inlineStr">
        <is>
          <t>https://daphneingram.com/highlights</t>
        </is>
      </c>
      <c r="R958" s="27" t="inlineStr">
        <is>
          <t>X (Twitter)</t>
        </is>
      </c>
      <c r="S958" s="27" t="inlineStr">
        <is>
          <t>https://x.com/daphneingram</t>
        </is>
      </c>
      <c r="T958" s="27" t="inlineStr">
        <is>
          <t>https://daphneingram.com/links</t>
        </is>
      </c>
      <c r="U958" s="27" t="inlineStr">
        <is>
          <t>LinkedIn</t>
        </is>
      </c>
      <c r="V958" s="27" t="inlineStr">
        <is>
          <t>leadership &amp; team ops frameworks, specifically regarding episode 5 on Leadership &amp; Team Ops workflow optimization</t>
        </is>
      </c>
      <c r="W958" s="27" t="inlineStr">
        <is>
          <t>Hi Daphne, loved your recent piece on 'leadership &amp; team ops frameworks, specifically regarding episode 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58" s="27" t="inlineStr">
        <is>
          <t>2026-10-18</t>
        </is>
      </c>
      <c r="Y958" s="27" t="inlineStr">
        <is>
          <t>C</t>
        </is>
      </c>
      <c r="Z958" s="27" t="n">
        <v>74.8</v>
      </c>
      <c r="AA958" s="27" t="inlineStr">
        <is>
          <t>Qualified</t>
        </is>
      </c>
      <c r="AB958" s="27" t="inlineStr"/>
      <c r="AC958" s="28">
        <f>IF(A958="","",IF(COUNTIF($H$5:$H$1004,H958)&gt;1,"DUPLICATE","UNIQUE"))</f>
        <v/>
      </c>
      <c r="AD958" s="28">
        <f>IF(A958="","",IF(AA958="Rejected",IF(AB958&lt;&gt;"","REJECTED","ADD REASON"),IF(AND(B958&lt;&gt;"",C958&lt;&gt;"",D958&lt;&gt;"",E958&lt;&gt;"",F958&lt;&gt;"",G958&lt;&gt;"",H958&lt;&gt;"",J958&lt;&gt;"",K958&lt;&gt;"",N958&lt;&gt;"",O958&lt;&gt;"",P958&lt;&gt;"",Q958&lt;&gt;"",R958&lt;&gt;"",S958&lt;&gt;"",T958&lt;&gt;"",V958&lt;&gt;"",W958&lt;&gt;"",X958&lt;&gt;"",Y958&lt;&gt;""),"COMPLETE","MISSING FIELDS")))</f>
        <v/>
      </c>
    </row>
    <row r="959" ht="15" customHeight="1" s="15">
      <c r="A959" s="27" t="inlineStr">
        <is>
          <t>LEAD-0955</t>
        </is>
      </c>
      <c r="B959" s="27" t="inlineStr">
        <is>
          <t>Daphne Jennings</t>
        </is>
      </c>
      <c r="C959" s="27" t="inlineStr">
        <is>
          <t>Expert-Led Creator</t>
        </is>
      </c>
      <c r="D959" s="27" t="inlineStr">
        <is>
          <t>DE</t>
        </is>
      </c>
      <c r="E959" s="27" t="inlineStr">
        <is>
          <t>English</t>
        </is>
      </c>
      <c r="F959" s="27" t="inlineStr">
        <is>
          <t>LinkedIn</t>
        </is>
      </c>
      <c r="G959" s="27" t="inlineStr">
        <is>
          <t>https://www.linkedin.com/in/daphnejennings</t>
        </is>
      </c>
      <c r="H959" s="27" t="inlineStr">
        <is>
          <t>LI-daphnejennings-0955</t>
        </is>
      </c>
      <c r="I959" s="27" t="inlineStr">
        <is>
          <t>156,000</t>
        </is>
      </c>
      <c r="J959" s="27" t="inlineStr">
        <is>
          <t>2026-10-13</t>
        </is>
      </c>
      <c r="K959" s="27" t="inlineStr">
        <is>
          <t>https://daphnejennings.com/posts/56</t>
        </is>
      </c>
      <c r="L959" s="27" t="n">
        <v>13</v>
      </c>
      <c r="M959" s="27" t="n">
        <v>17</v>
      </c>
      <c r="N959" s="27" t="inlineStr">
        <is>
          <t>Product</t>
        </is>
      </c>
      <c r="O959" s="27" t="inlineStr">
        <is>
          <t>https://daphnejennings.com/shop</t>
        </is>
      </c>
      <c r="P959" s="27" t="inlineStr">
        <is>
          <t>Editing Backlog &amp; Team Workflow Overhead</t>
        </is>
      </c>
      <c r="Q959" s="27" t="inlineStr">
        <is>
          <t>https://daphnejennings.com/highlights</t>
        </is>
      </c>
      <c r="R959" s="27" t="inlineStr">
        <is>
          <t>Email</t>
        </is>
      </c>
      <c r="S959" s="27" t="inlineStr">
        <is>
          <t>hello@daphnejennings.com</t>
        </is>
      </c>
      <c r="T959" s="27" t="inlineStr">
        <is>
          <t>https://daphnejennings.com/work-with-me</t>
        </is>
      </c>
      <c r="U959" s="27" t="inlineStr">
        <is>
          <t>LinkedIn</t>
        </is>
      </c>
      <c r="V959" s="27" t="inlineStr">
        <is>
          <t>b2b marketing &amp; sales frameworks, specifically regarding episode 6 on B2B Marketing &amp; Sales workflow optimization</t>
        </is>
      </c>
      <c r="W959" s="27" t="inlineStr">
        <is>
          <t>Hi Daphne, loved your recent piece on 'b2b marketing &amp; sales frameworks, specifically regarding episode 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59" s="27" t="inlineStr">
        <is>
          <t>2026-10-18</t>
        </is>
      </c>
      <c r="Y959" s="27" t="inlineStr">
        <is>
          <t>C</t>
        </is>
      </c>
      <c r="Z959" s="27" t="n">
        <v>74.7</v>
      </c>
      <c r="AA959" s="27" t="inlineStr">
        <is>
          <t>Qualified</t>
        </is>
      </c>
      <c r="AB959" s="27" t="inlineStr"/>
      <c r="AC959" s="28">
        <f>IF(A959="","",IF(COUNTIF($H$5:$H$1004,H959)&gt;1,"DUPLICATE","UNIQUE"))</f>
        <v/>
      </c>
      <c r="AD959" s="28">
        <f>IF(A959="","",IF(AA959="Rejected",IF(AB959&lt;&gt;"","REJECTED","ADD REASON"),IF(AND(B959&lt;&gt;"",C959&lt;&gt;"",D959&lt;&gt;"",E959&lt;&gt;"",F959&lt;&gt;"",G959&lt;&gt;"",H959&lt;&gt;"",J959&lt;&gt;"",K959&lt;&gt;"",N959&lt;&gt;"",O959&lt;&gt;"",P959&lt;&gt;"",Q959&lt;&gt;"",R959&lt;&gt;"",S959&lt;&gt;"",T959&lt;&gt;"",V959&lt;&gt;"",W959&lt;&gt;"",X959&lt;&gt;"",Y959&lt;&gt;""),"COMPLETE","MISSING FIELDS")))</f>
        <v/>
      </c>
    </row>
    <row r="960" ht="15" customHeight="1" s="15">
      <c r="A960" s="27" t="inlineStr">
        <is>
          <t>LEAD-0956</t>
        </is>
      </c>
      <c r="B960" s="27" t="inlineStr">
        <is>
          <t>Daphne Kingsley</t>
        </is>
      </c>
      <c r="C960" s="27" t="inlineStr">
        <is>
          <t>YouTuber</t>
        </is>
      </c>
      <c r="D960" s="27" t="inlineStr">
        <is>
          <t>DE</t>
        </is>
      </c>
      <c r="E960" s="27" t="inlineStr">
        <is>
          <t>English</t>
        </is>
      </c>
      <c r="F960" s="27" t="inlineStr">
        <is>
          <t>YouTube</t>
        </is>
      </c>
      <c r="G960" s="27" t="inlineStr">
        <is>
          <t>https://www.youtube.com/@daphnekingsley</t>
        </is>
      </c>
      <c r="H960" s="27" t="inlineStr">
        <is>
          <t>UCDE00956222244</t>
        </is>
      </c>
      <c r="I960" s="27" t="inlineStr">
        <is>
          <t>240,000</t>
        </is>
      </c>
      <c r="J960" s="27" t="inlineStr">
        <is>
          <t>2026-10-14</t>
        </is>
      </c>
      <c r="K960" s="27" t="inlineStr">
        <is>
          <t>https://www.youtube.com/watch?v=de00956</t>
        </is>
      </c>
      <c r="L960" s="27" t="n">
        <v>14</v>
      </c>
      <c r="M960" s="27" t="n">
        <v>18</v>
      </c>
      <c r="N960" s="27" t="inlineStr">
        <is>
          <t>Consulting</t>
        </is>
      </c>
      <c r="O960" s="27" t="inlineStr">
        <is>
          <t>https://daphnekingsley.com/advisory</t>
        </is>
      </c>
      <c r="P960" s="27" t="inlineStr">
        <is>
          <t>Multilingual Audio Dubbing</t>
        </is>
      </c>
      <c r="Q960" s="27" t="inlineStr">
        <is>
          <t>https://daphnekingsley.com/highlights</t>
        </is>
      </c>
      <c r="R960" s="27" t="inlineStr">
        <is>
          <t>Email</t>
        </is>
      </c>
      <c r="S960" s="27" t="inlineStr">
        <is>
          <t>contact@daphnekingsley.com</t>
        </is>
      </c>
      <c r="T960" s="27" t="inlineStr">
        <is>
          <t>https://daphnekingsley.com/contact</t>
        </is>
      </c>
      <c r="U960" s="27" t="inlineStr">
        <is>
          <t>LinkedIn</t>
        </is>
      </c>
      <c r="V960" s="27" t="inlineStr">
        <is>
          <t>finance &amp; wealth engineering frameworks, specifically regarding episode 7 on Finance &amp; Wealth Engineering workflow optimization</t>
        </is>
      </c>
      <c r="W960" s="27" t="inlineStr">
        <is>
          <t>Hi Daphne, loved your recent piece on 'finance &amp; wealth engineering frameworks, specifically regarding episode 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60" s="27" t="inlineStr">
        <is>
          <t>2026-10-18</t>
        </is>
      </c>
      <c r="Y960" s="27" t="inlineStr">
        <is>
          <t>C</t>
        </is>
      </c>
      <c r="Z960" s="27" t="n">
        <v>74.59999999999999</v>
      </c>
      <c r="AA960" s="27" t="inlineStr">
        <is>
          <t>Qualified</t>
        </is>
      </c>
      <c r="AB960" s="27" t="inlineStr"/>
      <c r="AC960" s="28">
        <f>IF(A960="","",IF(COUNTIF($H$5:$H$1004,H960)&gt;1,"DUPLICATE","UNIQUE"))</f>
        <v/>
      </c>
      <c r="AD960" s="28">
        <f>IF(A960="","",IF(AA960="Rejected",IF(AB960&lt;&gt;"","REJECTED","ADD REASON"),IF(AND(B960&lt;&gt;"",C960&lt;&gt;"",D960&lt;&gt;"",E960&lt;&gt;"",F960&lt;&gt;"",G960&lt;&gt;"",H960&lt;&gt;"",J960&lt;&gt;"",K960&lt;&gt;"",N960&lt;&gt;"",O960&lt;&gt;"",P960&lt;&gt;"",Q960&lt;&gt;"",R960&lt;&gt;"",S960&lt;&gt;"",T960&lt;&gt;"",V960&lt;&gt;"",W960&lt;&gt;"",X960&lt;&gt;"",Y960&lt;&gt;""),"COMPLETE","MISSING FIELDS")))</f>
        <v/>
      </c>
    </row>
    <row r="961" ht="15" customHeight="1" s="15">
      <c r="A961" s="27" t="inlineStr">
        <is>
          <t>LEAD-0957</t>
        </is>
      </c>
      <c r="B961" s="27" t="inlineStr">
        <is>
          <t>Daphne Lockwood</t>
        </is>
      </c>
      <c r="C961" s="27" t="inlineStr">
        <is>
          <t>Podcaster</t>
        </is>
      </c>
      <c r="D961" s="27" t="inlineStr">
        <is>
          <t>DE</t>
        </is>
      </c>
      <c r="E961" s="27" t="inlineStr">
        <is>
          <t>English</t>
        </is>
      </c>
      <c r="F961" s="27" t="inlineStr">
        <is>
          <t>Apple Podcasts</t>
        </is>
      </c>
      <c r="G961" s="27" t="inlineStr">
        <is>
          <t>https://podcasts.apple.com/de/podcast/daphnelockwood/id1000957</t>
        </is>
      </c>
      <c r="H961" s="27" t="inlineStr">
        <is>
          <t>AP-DE-1000957</t>
        </is>
      </c>
      <c r="I961" s="27" t="inlineStr">
        <is>
          <t>96,000</t>
        </is>
      </c>
      <c r="J961" s="27" t="inlineStr">
        <is>
          <t>2026-10-15</t>
        </is>
      </c>
      <c r="K961" s="27" t="inlineStr">
        <is>
          <t>https://daphnelockwood.com/episodes/158</t>
        </is>
      </c>
      <c r="L961" s="27" t="n">
        <v>15</v>
      </c>
      <c r="M961" s="27" t="n">
        <v>19</v>
      </c>
      <c r="N961" s="27" t="inlineStr">
        <is>
          <t>Newsletter Subscription</t>
        </is>
      </c>
      <c r="O961" s="27" t="inlineStr">
        <is>
          <t>https://daphnelockwood.com/subscribe</t>
        </is>
      </c>
      <c r="P961" s="27" t="inlineStr">
        <is>
          <t>Multilingual Audio Dubbing</t>
        </is>
      </c>
      <c r="Q961" s="27" t="inlineStr">
        <is>
          <t>https://daphnelockwood.com/highlights</t>
        </is>
      </c>
      <c r="R961" s="27" t="inlineStr">
        <is>
          <t>LinkedIn</t>
        </is>
      </c>
      <c r="S961" s="27" t="inlineStr">
        <is>
          <t>https://linkedin.com/in/daphnelockwood</t>
        </is>
      </c>
      <c r="T961" s="27" t="inlineStr">
        <is>
          <t>https://daphnelockwood.com/about</t>
        </is>
      </c>
      <c r="U961" s="27" t="inlineStr">
        <is>
          <t>Email</t>
        </is>
      </c>
      <c r="V961" s="27" t="inlineStr">
        <is>
          <t>health &amp; longevity science frameworks, specifically regarding episode 8 on Health &amp; Longevity Science workflow optimization</t>
        </is>
      </c>
      <c r="W961" s="27" t="inlineStr">
        <is>
          <t>Hi Daphne, loved your recent piece on 'health &amp; longevity science frameworks, specifically regarding episode 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61" s="27" t="inlineStr">
        <is>
          <t>2026-10-18</t>
        </is>
      </c>
      <c r="Y961" s="27" t="inlineStr">
        <is>
          <t>C</t>
        </is>
      </c>
      <c r="Z961" s="27" t="n">
        <v>74.59999999999999</v>
      </c>
      <c r="AA961" s="27" t="inlineStr">
        <is>
          <t>Qualified</t>
        </is>
      </c>
      <c r="AB961" s="27" t="inlineStr"/>
      <c r="AC961" s="28">
        <f>IF(A961="","",IF(COUNTIF($H$5:$H$1004,H961)&gt;1,"DUPLICATE","UNIQUE"))</f>
        <v/>
      </c>
      <c r="AD961" s="28">
        <f>IF(A961="","",IF(AA961="Rejected",IF(AB961&lt;&gt;"","REJECTED","ADD REASON"),IF(AND(B961&lt;&gt;"",C961&lt;&gt;"",D961&lt;&gt;"",E961&lt;&gt;"",F961&lt;&gt;"",G961&lt;&gt;"",H961&lt;&gt;"",J961&lt;&gt;"",K961&lt;&gt;"",N961&lt;&gt;"",O961&lt;&gt;"",P961&lt;&gt;"",Q961&lt;&gt;"",R961&lt;&gt;"",S961&lt;&gt;"",T961&lt;&gt;"",V961&lt;&gt;"",W961&lt;&gt;"",X961&lt;&gt;"",Y961&lt;&gt;""),"COMPLETE","MISSING FIELDS")))</f>
        <v/>
      </c>
    </row>
    <row r="962" ht="15" customHeight="1" s="15">
      <c r="A962" s="27" t="inlineStr">
        <is>
          <t>LEAD-0958</t>
        </is>
      </c>
      <c r="B962" s="27" t="inlineStr">
        <is>
          <t>Daphne Montague</t>
        </is>
      </c>
      <c r="C962" s="27" t="inlineStr">
        <is>
          <t>YouTuber</t>
        </is>
      </c>
      <c r="D962" s="27" t="inlineStr">
        <is>
          <t>DE</t>
        </is>
      </c>
      <c r="E962" s="27" t="inlineStr">
        <is>
          <t>English</t>
        </is>
      </c>
      <c r="F962" s="27" t="inlineStr">
        <is>
          <t>YouTube</t>
        </is>
      </c>
      <c r="G962" s="27" t="inlineStr">
        <is>
          <t>https://www.youtube.com/@daphnemontague</t>
        </is>
      </c>
      <c r="H962" s="27" t="inlineStr">
        <is>
          <t>UCDE00958093895</t>
        </is>
      </c>
      <c r="I962" s="27" t="inlineStr">
        <is>
          <t>280,000</t>
        </is>
      </c>
      <c r="J962" s="27" t="inlineStr">
        <is>
          <t>2026-10-16</t>
        </is>
      </c>
      <c r="K962" s="27" t="inlineStr">
        <is>
          <t>https://www.youtube.com/watch?v=de00958</t>
        </is>
      </c>
      <c r="L962" s="27" t="n">
        <v>16</v>
      </c>
      <c r="M962" s="27" t="n">
        <v>20</v>
      </c>
      <c r="N962" s="27" t="inlineStr">
        <is>
          <t>Affiliate</t>
        </is>
      </c>
      <c r="O962" s="27" t="inlineStr">
        <is>
          <t>https://daphnemontague.com/resources</t>
        </is>
      </c>
      <c r="P962" s="27" t="inlineStr">
        <is>
          <t>Missing Video Captions &amp; Retention Clips</t>
        </is>
      </c>
      <c r="Q962" s="27" t="inlineStr">
        <is>
          <t>https://daphnemontague.com/highlights</t>
        </is>
      </c>
      <c r="R962" s="27" t="inlineStr">
        <is>
          <t>X (Twitter)</t>
        </is>
      </c>
      <c r="S962" s="27" t="inlineStr">
        <is>
          <t>https://x.com/daphnemontague</t>
        </is>
      </c>
      <c r="T962" s="27" t="inlineStr">
        <is>
          <t>https://daphnemontague.com/links</t>
        </is>
      </c>
      <c r="U962" s="27" t="inlineStr">
        <is>
          <t>LinkedIn</t>
        </is>
      </c>
      <c r="V962" s="27" t="inlineStr">
        <is>
          <t>education &amp; applied coding frameworks, specifically regarding episode 9 on Education &amp; Applied Coding workflow optimization</t>
        </is>
      </c>
      <c r="W962" s="27" t="inlineStr">
        <is>
          <t>Hi Daphne, loved your recent piece on 'education &amp; applied coding frameworks, specifically regarding episode 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62" s="27" t="inlineStr">
        <is>
          <t>2026-10-18</t>
        </is>
      </c>
      <c r="Y962" s="27" t="inlineStr">
        <is>
          <t>C</t>
        </is>
      </c>
      <c r="Z962" s="27" t="n">
        <v>74.5</v>
      </c>
      <c r="AA962" s="27" t="inlineStr">
        <is>
          <t>Qualified</t>
        </is>
      </c>
      <c r="AB962" s="27" t="inlineStr"/>
      <c r="AC962" s="28">
        <f>IF(A962="","",IF(COUNTIF($H$5:$H$1004,H962)&gt;1,"DUPLICATE","UNIQUE"))</f>
        <v/>
      </c>
      <c r="AD962" s="28">
        <f>IF(A962="","",IF(AA962="Rejected",IF(AB962&lt;&gt;"","REJECTED","ADD REASON"),IF(AND(B962&lt;&gt;"",C962&lt;&gt;"",D962&lt;&gt;"",E962&lt;&gt;"",F962&lt;&gt;"",G962&lt;&gt;"",H962&lt;&gt;"",J962&lt;&gt;"",K962&lt;&gt;"",N962&lt;&gt;"",O962&lt;&gt;"",P962&lt;&gt;"",Q962&lt;&gt;"",R962&lt;&gt;"",S962&lt;&gt;"",T962&lt;&gt;"",V962&lt;&gt;"",W962&lt;&gt;"",X962&lt;&gt;"",Y962&lt;&gt;""),"COMPLETE","MISSING FIELDS")))</f>
        <v/>
      </c>
    </row>
    <row r="963" ht="15" customHeight="1" s="15">
      <c r="A963" s="27" t="inlineStr">
        <is>
          <t>LEAD-0959</t>
        </is>
      </c>
      <c r="B963" s="27" t="inlineStr">
        <is>
          <t>Daphne Northwood</t>
        </is>
      </c>
      <c r="C963" s="27" t="inlineStr">
        <is>
          <t>Podcaster</t>
        </is>
      </c>
      <c r="D963" s="27" t="inlineStr">
        <is>
          <t>DE</t>
        </is>
      </c>
      <c r="E963" s="27" t="inlineStr">
        <is>
          <t>English</t>
        </is>
      </c>
      <c r="F963" s="27" t="inlineStr">
        <is>
          <t>Apple Podcasts</t>
        </is>
      </c>
      <c r="G963" s="27" t="inlineStr">
        <is>
          <t>https://podcasts.apple.com/de/podcast/daphnenorthwood/id1000959</t>
        </is>
      </c>
      <c r="H963" s="27" t="inlineStr">
        <is>
          <t>AP-DE-1000959</t>
        </is>
      </c>
      <c r="I963" s="27" t="inlineStr">
        <is>
          <t>120,000</t>
        </is>
      </c>
      <c r="J963" s="27" t="inlineStr">
        <is>
          <t>2026-10-17</t>
        </is>
      </c>
      <c r="K963" s="27" t="inlineStr">
        <is>
          <t>https://daphnenorthwood.com/episodes/160</t>
        </is>
      </c>
      <c r="L963" s="27" t="n">
        <v>17</v>
      </c>
      <c r="M963" s="27" t="n">
        <v>21</v>
      </c>
      <c r="N963" s="27" t="inlineStr">
        <is>
          <t>Course</t>
        </is>
      </c>
      <c r="O963" s="27" t="inlineStr">
        <is>
          <t>https://daphnenorthwood.com/academy</t>
        </is>
      </c>
      <c r="P963" s="27" t="inlineStr">
        <is>
          <t>Shorts Repurposing Bottleneck</t>
        </is>
      </c>
      <c r="Q963" s="27" t="inlineStr">
        <is>
          <t>https://daphnenorthwood.com/highlights</t>
        </is>
      </c>
      <c r="R963" s="27" t="inlineStr">
        <is>
          <t>Email</t>
        </is>
      </c>
      <c r="S963" s="27" t="inlineStr">
        <is>
          <t>hello@daphnenorthwood.com</t>
        </is>
      </c>
      <c r="T963" s="27" t="inlineStr">
        <is>
          <t>https://daphnenorthwood.com/work-with-me</t>
        </is>
      </c>
      <c r="U963" s="27" t="inlineStr">
        <is>
          <t>LinkedIn</t>
        </is>
      </c>
      <c r="V963" s="27" t="inlineStr">
        <is>
          <t>e-commerce &amp; digital brands frameworks, specifically regarding episode 10 on E-Commerce &amp; Digital Brands workflow optimization</t>
        </is>
      </c>
      <c r="W963" s="27" t="inlineStr">
        <is>
          <t>Hi Daphne, loved your recent piece on 'e-commerce &amp; digital brands frameworks, specifically regarding episode 10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63" s="27" t="inlineStr">
        <is>
          <t>2026-10-18</t>
        </is>
      </c>
      <c r="Y963" s="27" t="inlineStr">
        <is>
          <t>C</t>
        </is>
      </c>
      <c r="Z963" s="27" t="n">
        <v>74.5</v>
      </c>
      <c r="AA963" s="27" t="inlineStr">
        <is>
          <t>Qualified</t>
        </is>
      </c>
      <c r="AB963" s="27" t="inlineStr"/>
      <c r="AC963" s="28">
        <f>IF(A963="","",IF(COUNTIF($H$5:$H$1004,H963)&gt;1,"DUPLICATE","UNIQUE"))</f>
        <v/>
      </c>
      <c r="AD963" s="28">
        <f>IF(A963="","",IF(AA963="Rejected",IF(AB963&lt;&gt;"","REJECTED","ADD REASON"),IF(AND(B963&lt;&gt;"",C963&lt;&gt;"",D963&lt;&gt;"",E963&lt;&gt;"",F963&lt;&gt;"",G963&lt;&gt;"",H963&lt;&gt;"",J963&lt;&gt;"",K963&lt;&gt;"",N963&lt;&gt;"",O963&lt;&gt;"",P963&lt;&gt;"",Q963&lt;&gt;"",R963&lt;&gt;"",S963&lt;&gt;"",T963&lt;&gt;"",V963&lt;&gt;"",W963&lt;&gt;"",X963&lt;&gt;"",Y963&lt;&gt;""),"COMPLETE","MISSING FIELDS")))</f>
        <v/>
      </c>
    </row>
    <row r="964" ht="15" customHeight="1" s="15">
      <c r="A964" s="27" t="inlineStr">
        <is>
          <t>LEAD-0960</t>
        </is>
      </c>
      <c r="B964" s="27" t="inlineStr">
        <is>
          <t>Daphne Oakley</t>
        </is>
      </c>
      <c r="C964" s="27" t="inlineStr">
        <is>
          <t>YouTuber</t>
        </is>
      </c>
      <c r="D964" s="27" t="inlineStr">
        <is>
          <t>DE</t>
        </is>
      </c>
      <c r="E964" s="27" t="inlineStr">
        <is>
          <t>English</t>
        </is>
      </c>
      <c r="F964" s="27" t="inlineStr">
        <is>
          <t>YouTube</t>
        </is>
      </c>
      <c r="G964" s="27" t="inlineStr">
        <is>
          <t>https://www.youtube.com/@daphneoakley</t>
        </is>
      </c>
      <c r="H964" s="27" t="inlineStr">
        <is>
          <t>UCDE00960790642</t>
        </is>
      </c>
      <c r="I964" s="27" t="inlineStr">
        <is>
          <t>320,000</t>
        </is>
      </c>
      <c r="J964" s="27" t="inlineStr">
        <is>
          <t>2026-10-10</t>
        </is>
      </c>
      <c r="K964" s="27" t="inlineStr">
        <is>
          <t>https://www.youtube.com/watch?v=de00960</t>
        </is>
      </c>
      <c r="L964" s="27" t="n">
        <v>8</v>
      </c>
      <c r="M964" s="27" t="n">
        <v>22</v>
      </c>
      <c r="N964" s="27" t="inlineStr">
        <is>
          <t>Sponsor</t>
        </is>
      </c>
      <c r="O964" s="27" t="inlineStr">
        <is>
          <t>https://daphneoakley.com/partners</t>
        </is>
      </c>
      <c r="P964" s="27" t="inlineStr">
        <is>
          <t>Shorts Repurposing Bottleneck</t>
        </is>
      </c>
      <c r="Q964" s="27" t="inlineStr">
        <is>
          <t>https://daphneoakley.com/highlights</t>
        </is>
      </c>
      <c r="R964" s="27" t="inlineStr">
        <is>
          <t>Email</t>
        </is>
      </c>
      <c r="S964" s="27" t="inlineStr">
        <is>
          <t>contact@daphneoakley.com</t>
        </is>
      </c>
      <c r="T964" s="27" t="inlineStr">
        <is>
          <t>https://daphneoakley.com/contact</t>
        </is>
      </c>
      <c r="U964" s="27" t="inlineStr">
        <is>
          <t>LinkedIn</t>
        </is>
      </c>
      <c r="V964" s="27" t="inlineStr">
        <is>
          <t>tech &amp; ai frameworks, specifically regarding episode 11 on Tech &amp; AI workflow optimization</t>
        </is>
      </c>
      <c r="W964" s="27" t="inlineStr">
        <is>
          <t>Hi Daphne, loved your recent piece on 'tech &amp; ai frameworks, specifically regarding episode 11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64" s="27" t="inlineStr">
        <is>
          <t>2026-10-18</t>
        </is>
      </c>
      <c r="Y964" s="27" t="inlineStr">
        <is>
          <t>C</t>
        </is>
      </c>
      <c r="Z964" s="27" t="n">
        <v>74.40000000000001</v>
      </c>
      <c r="AA964" s="27" t="inlineStr">
        <is>
          <t>Qualified</t>
        </is>
      </c>
      <c r="AB964" s="27" t="inlineStr"/>
      <c r="AC964" s="28">
        <f>IF(A964="","",IF(COUNTIF($H$5:$H$1004,H964)&gt;1,"DUPLICATE","UNIQUE"))</f>
        <v/>
      </c>
      <c r="AD964" s="28">
        <f>IF(A964="","",IF(AA964="Rejected",IF(AB964&lt;&gt;"","REJECTED","ADD REASON"),IF(AND(B964&lt;&gt;"",C964&lt;&gt;"",D964&lt;&gt;"",E964&lt;&gt;"",F964&lt;&gt;"",G964&lt;&gt;"",H964&lt;&gt;"",J964&lt;&gt;"",K964&lt;&gt;"",N964&lt;&gt;"",O964&lt;&gt;"",P964&lt;&gt;"",Q964&lt;&gt;"",R964&lt;&gt;"",S964&lt;&gt;"",T964&lt;&gt;"",V964&lt;&gt;"",W964&lt;&gt;"",X964&lt;&gt;"",Y964&lt;&gt;""),"COMPLETE","MISSING FIELDS")))</f>
        <v/>
      </c>
    </row>
    <row r="965" ht="15" customHeight="1" s="15">
      <c r="A965" s="27" t="inlineStr">
        <is>
          <t>LEAD-0961</t>
        </is>
      </c>
      <c r="B965" s="27" t="inlineStr">
        <is>
          <t>Daphne Pemberton</t>
        </is>
      </c>
      <c r="C965" s="27" t="inlineStr">
        <is>
          <t>Podcaster</t>
        </is>
      </c>
      <c r="D965" s="27" t="inlineStr">
        <is>
          <t>DE</t>
        </is>
      </c>
      <c r="E965" s="27" t="inlineStr">
        <is>
          <t>English</t>
        </is>
      </c>
      <c r="F965" s="27" t="inlineStr">
        <is>
          <t>Apple Podcasts</t>
        </is>
      </c>
      <c r="G965" s="27" t="inlineStr">
        <is>
          <t>https://podcasts.apple.com/de/podcast/daphnepemberton/id1000961</t>
        </is>
      </c>
      <c r="H965" s="27" t="inlineStr">
        <is>
          <t>AP-DE-1000961</t>
        </is>
      </c>
      <c r="I965" s="27" t="inlineStr">
        <is>
          <t>144,000</t>
        </is>
      </c>
      <c r="J965" s="27" t="inlineStr">
        <is>
          <t>2026-10-11</t>
        </is>
      </c>
      <c r="K965" s="27" t="inlineStr">
        <is>
          <t>https://daphnepemberton.com/episodes/162</t>
        </is>
      </c>
      <c r="L965" s="27" t="n">
        <v>9</v>
      </c>
      <c r="M965" s="27" t="n">
        <v>23</v>
      </c>
      <c r="N965" s="27" t="inlineStr">
        <is>
          <t>Membership</t>
        </is>
      </c>
      <c r="O965" s="27" t="inlineStr">
        <is>
          <t>https://daphnepemberton.com/community</t>
        </is>
      </c>
      <c r="P965" s="27" t="inlineStr">
        <is>
          <t>Missing Video Captions &amp; Retention Clips</t>
        </is>
      </c>
      <c r="Q965" s="27" t="inlineStr">
        <is>
          <t>https://daphnepemberton.com/highlights</t>
        </is>
      </c>
      <c r="R965" s="27" t="inlineStr">
        <is>
          <t>LinkedIn</t>
        </is>
      </c>
      <c r="S965" s="27" t="inlineStr">
        <is>
          <t>https://linkedin.com/in/daphnepemberton</t>
        </is>
      </c>
      <c r="T965" s="27" t="inlineStr">
        <is>
          <t>https://daphnepemberton.com/about</t>
        </is>
      </c>
      <c r="U965" s="27" t="inlineStr">
        <is>
          <t>Email</t>
        </is>
      </c>
      <c r="V965" s="27" t="inlineStr">
        <is>
          <t>saas &amp; product growth frameworks, specifically regarding episode 12 on SaaS &amp; Product Growth workflow optimization</t>
        </is>
      </c>
      <c r="W965" s="27" t="inlineStr">
        <is>
          <t>Hi Daphne, loved your recent piece on 'saas &amp; product growth frameworks, specifically regarding episode 12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65" s="27" t="inlineStr">
        <is>
          <t>2026-10-18</t>
        </is>
      </c>
      <c r="Y965" s="27" t="inlineStr">
        <is>
          <t>C</t>
        </is>
      </c>
      <c r="Z965" s="27" t="n">
        <v>74.3</v>
      </c>
      <c r="AA965" s="27" t="inlineStr">
        <is>
          <t>Qualified</t>
        </is>
      </c>
      <c r="AB965" s="27" t="inlineStr"/>
      <c r="AC965" s="28">
        <f>IF(A965="","",IF(COUNTIF($H$5:$H$1004,H965)&gt;1,"DUPLICATE","UNIQUE"))</f>
        <v/>
      </c>
      <c r="AD965" s="28">
        <f>IF(A965="","",IF(AA965="Rejected",IF(AB965&lt;&gt;"","REJECTED","ADD REASON"),IF(AND(B965&lt;&gt;"",C965&lt;&gt;"",D965&lt;&gt;"",E965&lt;&gt;"",F965&lt;&gt;"",G965&lt;&gt;"",H965&lt;&gt;"",J965&lt;&gt;"",K965&lt;&gt;"",N965&lt;&gt;"",O965&lt;&gt;"",P965&lt;&gt;"",Q965&lt;&gt;"",R965&lt;&gt;"",S965&lt;&gt;"",T965&lt;&gt;"",V965&lt;&gt;"",W965&lt;&gt;"",X965&lt;&gt;"",Y965&lt;&gt;""),"COMPLETE","MISSING FIELDS")))</f>
        <v/>
      </c>
    </row>
    <row r="966" ht="15" customHeight="1" s="15">
      <c r="A966" s="27" t="inlineStr">
        <is>
          <t>LEAD-0962</t>
        </is>
      </c>
      <c r="B966" s="27" t="inlineStr">
        <is>
          <t>Daphne Quatermain</t>
        </is>
      </c>
      <c r="C966" s="27" t="inlineStr">
        <is>
          <t>Expert-Led Creator</t>
        </is>
      </c>
      <c r="D966" s="27" t="inlineStr">
        <is>
          <t>DE</t>
        </is>
      </c>
      <c r="E966" s="27" t="inlineStr">
        <is>
          <t>English</t>
        </is>
      </c>
      <c r="F966" s="27" t="inlineStr">
        <is>
          <t>YouTube</t>
        </is>
      </c>
      <c r="G966" s="27" t="inlineStr">
        <is>
          <t>https://www.youtube.com/@daphnequatermain</t>
        </is>
      </c>
      <c r="H966" s="27" t="inlineStr">
        <is>
          <t>UCDE00962310108</t>
        </is>
      </c>
      <c r="I966" s="27" t="inlineStr">
        <is>
          <t>360,000</t>
        </is>
      </c>
      <c r="J966" s="27" t="inlineStr">
        <is>
          <t>2026-10-12</t>
        </is>
      </c>
      <c r="K966" s="27" t="inlineStr">
        <is>
          <t>https://www.youtube.com/watch?v=de00962</t>
        </is>
      </c>
      <c r="L966" s="27" t="n">
        <v>10</v>
      </c>
      <c r="M966" s="27" t="n">
        <v>24</v>
      </c>
      <c r="N966" s="27" t="inlineStr">
        <is>
          <t>Product</t>
        </is>
      </c>
      <c r="O966" s="27" t="inlineStr">
        <is>
          <t>https://daphnequatermain.com/shop</t>
        </is>
      </c>
      <c r="P966" s="27" t="inlineStr">
        <is>
          <t>Editing Backlog &amp; Team Workflow Overhead</t>
        </is>
      </c>
      <c r="Q966" s="27" t="inlineStr">
        <is>
          <t>https://daphnequatermain.com/highlights</t>
        </is>
      </c>
      <c r="R966" s="27" t="inlineStr">
        <is>
          <t>X (Twitter)</t>
        </is>
      </c>
      <c r="S966" s="27" t="inlineStr">
        <is>
          <t>https://x.com/daphnequatermain</t>
        </is>
      </c>
      <c r="T966" s="27" t="inlineStr">
        <is>
          <t>https://daphnequatermain.com/links</t>
        </is>
      </c>
      <c r="U966" s="27" t="inlineStr">
        <is>
          <t>LinkedIn</t>
        </is>
      </c>
      <c r="V966" s="27" t="inlineStr">
        <is>
          <t>creator business &amp; monetization frameworks, specifically regarding episode 13 on Creator Business &amp; Monetization workflow optimization</t>
        </is>
      </c>
      <c r="W966" s="27" t="inlineStr">
        <is>
          <t>Hi Daphne, loved your recent piece on 'creator business &amp; monetization frameworks, specifically regarding episode 13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66" s="27" t="inlineStr">
        <is>
          <t>2026-10-18</t>
        </is>
      </c>
      <c r="Y966" s="27" t="inlineStr">
        <is>
          <t>C</t>
        </is>
      </c>
      <c r="Z966" s="27" t="n">
        <v>74.3</v>
      </c>
      <c r="AA966" s="27" t="inlineStr">
        <is>
          <t>Qualified</t>
        </is>
      </c>
      <c r="AB966" s="27" t="inlineStr"/>
      <c r="AC966" s="28">
        <f>IF(A966="","",IF(COUNTIF($H$5:$H$1004,H966)&gt;1,"DUPLICATE","UNIQUE"))</f>
        <v/>
      </c>
      <c r="AD966" s="28">
        <f>IF(A966="","",IF(AA966="Rejected",IF(AB966&lt;&gt;"","REJECTED","ADD REASON"),IF(AND(B966&lt;&gt;"",C966&lt;&gt;"",D966&lt;&gt;"",E966&lt;&gt;"",F966&lt;&gt;"",G966&lt;&gt;"",H966&lt;&gt;"",J966&lt;&gt;"",K966&lt;&gt;"",N966&lt;&gt;"",O966&lt;&gt;"",P966&lt;&gt;"",Q966&lt;&gt;"",R966&lt;&gt;"",S966&lt;&gt;"",T966&lt;&gt;"",V966&lt;&gt;"",W966&lt;&gt;"",X966&lt;&gt;"",Y966&lt;&gt;""),"COMPLETE","MISSING FIELDS")))</f>
        <v/>
      </c>
    </row>
    <row r="967" ht="15" customHeight="1" s="15">
      <c r="A967" s="27" t="inlineStr">
        <is>
          <t>LEAD-0963</t>
        </is>
      </c>
      <c r="B967" s="27" t="inlineStr">
        <is>
          <t>Daphne Radcliffe</t>
        </is>
      </c>
      <c r="C967" s="27" t="inlineStr">
        <is>
          <t>YouTuber</t>
        </is>
      </c>
      <c r="D967" s="27" t="inlineStr">
        <is>
          <t>DE</t>
        </is>
      </c>
      <c r="E967" s="27" t="inlineStr">
        <is>
          <t>English</t>
        </is>
      </c>
      <c r="F967" s="27" t="inlineStr">
        <is>
          <t>YouTube</t>
        </is>
      </c>
      <c r="G967" s="27" t="inlineStr">
        <is>
          <t>https://www.youtube.com/@daphneradcliffe</t>
        </is>
      </c>
      <c r="H967" s="27" t="inlineStr">
        <is>
          <t>UCDE00963867315</t>
        </is>
      </c>
      <c r="I967" s="27" t="inlineStr">
        <is>
          <t>380,000</t>
        </is>
      </c>
      <c r="J967" s="27" t="inlineStr">
        <is>
          <t>2026-10-13</t>
        </is>
      </c>
      <c r="K967" s="27" t="inlineStr">
        <is>
          <t>https://www.youtube.com/watch?v=de00963</t>
        </is>
      </c>
      <c r="L967" s="27" t="n">
        <v>11</v>
      </c>
      <c r="M967" s="27" t="n">
        <v>25</v>
      </c>
      <c r="N967" s="27" t="inlineStr">
        <is>
          <t>Consulting</t>
        </is>
      </c>
      <c r="O967" s="27" t="inlineStr">
        <is>
          <t>https://daphneradcliffe.com/advisory</t>
        </is>
      </c>
      <c r="P967" s="27" t="inlineStr">
        <is>
          <t>Shorts Repurposing Bottleneck</t>
        </is>
      </c>
      <c r="Q967" s="27" t="inlineStr">
        <is>
          <t>https://daphneradcliffe.com/highlights</t>
        </is>
      </c>
      <c r="R967" s="27" t="inlineStr">
        <is>
          <t>Email</t>
        </is>
      </c>
      <c r="S967" s="27" t="inlineStr">
        <is>
          <t>hello@daphneradcliffe.com</t>
        </is>
      </c>
      <c r="T967" s="27" t="inlineStr">
        <is>
          <t>https://daphneradcliffe.com/work-with-me</t>
        </is>
      </c>
      <c r="U967" s="27" t="inlineStr">
        <is>
          <t>LinkedIn</t>
        </is>
      </c>
      <c r="V967" s="27" t="inlineStr">
        <is>
          <t>productivity &amp; personal systems frameworks, specifically regarding episode 14 on Productivity &amp; Personal Systems workflow optimization</t>
        </is>
      </c>
      <c r="W967" s="27" t="inlineStr">
        <is>
          <t>Hi Daphne, loved your recent piece on 'productivity &amp; personal systems frameworks, specifically regarding episode 14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67" s="27" t="inlineStr">
        <is>
          <t>2026-10-18</t>
        </is>
      </c>
      <c r="Y967" s="27" t="inlineStr">
        <is>
          <t>C</t>
        </is>
      </c>
      <c r="Z967" s="27" t="n">
        <v>74.2</v>
      </c>
      <c r="AA967" s="27" t="inlineStr">
        <is>
          <t>Qualified</t>
        </is>
      </c>
      <c r="AB967" s="27" t="inlineStr"/>
      <c r="AC967" s="28">
        <f>IF(A967="","",IF(COUNTIF($H$5:$H$1004,H967)&gt;1,"DUPLICATE","UNIQUE"))</f>
        <v/>
      </c>
      <c r="AD967" s="28">
        <f>IF(A967="","",IF(AA967="Rejected",IF(AB967&lt;&gt;"","REJECTED","ADD REASON"),IF(AND(B967&lt;&gt;"",C967&lt;&gt;"",D967&lt;&gt;"",E967&lt;&gt;"",F967&lt;&gt;"",G967&lt;&gt;"",H967&lt;&gt;"",J967&lt;&gt;"",K967&lt;&gt;"",N967&lt;&gt;"",O967&lt;&gt;"",P967&lt;&gt;"",Q967&lt;&gt;"",R967&lt;&gt;"",S967&lt;&gt;"",T967&lt;&gt;"",V967&lt;&gt;"",W967&lt;&gt;"",X967&lt;&gt;"",Y967&lt;&gt;""),"COMPLETE","MISSING FIELDS")))</f>
        <v/>
      </c>
    </row>
    <row r="968" ht="15" customHeight="1" s="15">
      <c r="A968" s="27" t="inlineStr">
        <is>
          <t>LEAD-0964</t>
        </is>
      </c>
      <c r="B968" s="27" t="inlineStr">
        <is>
          <t>Daphne Stanhope</t>
        </is>
      </c>
      <c r="C968" s="27" t="inlineStr">
        <is>
          <t>Podcaster</t>
        </is>
      </c>
      <c r="D968" s="27" t="inlineStr">
        <is>
          <t>DE</t>
        </is>
      </c>
      <c r="E968" s="27" t="inlineStr">
        <is>
          <t>English</t>
        </is>
      </c>
      <c r="F968" s="27" t="inlineStr">
        <is>
          <t>Apple Podcasts</t>
        </is>
      </c>
      <c r="G968" s="27" t="inlineStr">
        <is>
          <t>https://podcasts.apple.com/de/podcast/daphnestanhope/id1000964</t>
        </is>
      </c>
      <c r="H968" s="27" t="inlineStr">
        <is>
          <t>AP-DE-1000964</t>
        </is>
      </c>
      <c r="I968" s="27" t="inlineStr">
        <is>
          <t>180,000</t>
        </is>
      </c>
      <c r="J968" s="27" t="inlineStr">
        <is>
          <t>2026-10-14</t>
        </is>
      </c>
      <c r="K968" s="27" t="inlineStr">
        <is>
          <t>https://daphnestanhope.com/episodes/165</t>
        </is>
      </c>
      <c r="L968" s="27" t="n">
        <v>12</v>
      </c>
      <c r="M968" s="27" t="n">
        <v>26</v>
      </c>
      <c r="N968" s="27" t="inlineStr">
        <is>
          <t>Newsletter Subscription</t>
        </is>
      </c>
      <c r="O968" s="27" t="inlineStr">
        <is>
          <t>https://daphnestanhope.com/subscribe</t>
        </is>
      </c>
      <c r="P968" s="27" t="inlineStr">
        <is>
          <t>Inconsistent Cross-Platform Publishing</t>
        </is>
      </c>
      <c r="Q968" s="27" t="inlineStr">
        <is>
          <t>https://daphnestanhope.com/highlights</t>
        </is>
      </c>
      <c r="R968" s="27" t="inlineStr">
        <is>
          <t>Email</t>
        </is>
      </c>
      <c r="S968" s="27" t="inlineStr">
        <is>
          <t>contact@daphnestanhope.com</t>
        </is>
      </c>
      <c r="T968" s="27" t="inlineStr">
        <is>
          <t>https://daphnestanhope.com/contact</t>
        </is>
      </c>
      <c r="U968" s="27" t="inlineStr">
        <is>
          <t>LinkedIn</t>
        </is>
      </c>
      <c r="V968" s="27" t="inlineStr">
        <is>
          <t>leadership &amp; team ops frameworks, specifically regarding episode 15 on Leadership &amp; Team Ops workflow optimization</t>
        </is>
      </c>
      <c r="W968" s="27" t="inlineStr">
        <is>
          <t>Hi Daphne, loved your recent piece on 'leadership &amp; team ops frameworks, specifically regarding episode 15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68" s="27" t="inlineStr">
        <is>
          <t>2026-10-18</t>
        </is>
      </c>
      <c r="Y968" s="27" t="inlineStr">
        <is>
          <t>C</t>
        </is>
      </c>
      <c r="Z968" s="27" t="n">
        <v>74.2</v>
      </c>
      <c r="AA968" s="27" t="inlineStr">
        <is>
          <t>Qualified</t>
        </is>
      </c>
      <c r="AB968" s="27" t="inlineStr"/>
      <c r="AC968" s="28">
        <f>IF(A968="","",IF(COUNTIF($H$5:$H$1004,H968)&gt;1,"DUPLICATE","UNIQUE"))</f>
        <v/>
      </c>
      <c r="AD968" s="28">
        <f>IF(A968="","",IF(AA968="Rejected",IF(AB968&lt;&gt;"","REJECTED","ADD REASON"),IF(AND(B968&lt;&gt;"",C968&lt;&gt;"",D968&lt;&gt;"",E968&lt;&gt;"",F968&lt;&gt;"",G968&lt;&gt;"",H968&lt;&gt;"",J968&lt;&gt;"",K968&lt;&gt;"",N968&lt;&gt;"",O968&lt;&gt;"",P968&lt;&gt;"",Q968&lt;&gt;"",R968&lt;&gt;"",S968&lt;&gt;"",T968&lt;&gt;"",V968&lt;&gt;"",W968&lt;&gt;"",X968&lt;&gt;"",Y968&lt;&gt;""),"COMPLETE","MISSING FIELDS")))</f>
        <v/>
      </c>
    </row>
    <row r="969" ht="15" customHeight="1" s="15">
      <c r="A969" s="27" t="inlineStr">
        <is>
          <t>LEAD-0965</t>
        </is>
      </c>
      <c r="B969" s="27" t="inlineStr">
        <is>
          <t>Daphne Thackery</t>
        </is>
      </c>
      <c r="C969" s="27" t="inlineStr">
        <is>
          <t>Expert-Led Creator</t>
        </is>
      </c>
      <c r="D969" s="27" t="inlineStr">
        <is>
          <t>DE</t>
        </is>
      </c>
      <c r="E969" s="27" t="inlineStr">
        <is>
          <t>English</t>
        </is>
      </c>
      <c r="F969" s="27" t="inlineStr">
        <is>
          <t>LinkedIn</t>
        </is>
      </c>
      <c r="G969" s="27" t="inlineStr">
        <is>
          <t>https://www.linkedin.com/in/daphnethackery</t>
        </is>
      </c>
      <c r="H969" s="27" t="inlineStr">
        <is>
          <t>LI-daphnethackery-0965</t>
        </is>
      </c>
      <c r="I969" s="27" t="inlineStr">
        <is>
          <t>36,000</t>
        </is>
      </c>
      <c r="J969" s="27" t="inlineStr">
        <is>
          <t>2026-10-15</t>
        </is>
      </c>
      <c r="K969" s="27" t="inlineStr">
        <is>
          <t>https://daphnethackery.com/posts/66</t>
        </is>
      </c>
      <c r="L969" s="27" t="n">
        <v>13</v>
      </c>
      <c r="M969" s="27" t="n">
        <v>27</v>
      </c>
      <c r="N969" s="27" t="inlineStr">
        <is>
          <t>Affiliate</t>
        </is>
      </c>
      <c r="O969" s="27" t="inlineStr">
        <is>
          <t>https://daphnethackery.com/resources</t>
        </is>
      </c>
      <c r="P969" s="27" t="inlineStr">
        <is>
          <t>Editing Backlog &amp; Team Workflow Overhead</t>
        </is>
      </c>
      <c r="Q969" s="27" t="inlineStr">
        <is>
          <t>https://daphnethackery.com/highlights</t>
        </is>
      </c>
      <c r="R969" s="27" t="inlineStr">
        <is>
          <t>LinkedIn</t>
        </is>
      </c>
      <c r="S969" s="27" t="inlineStr">
        <is>
          <t>https://linkedin.com/in/daphnethackery</t>
        </is>
      </c>
      <c r="T969" s="27" t="inlineStr">
        <is>
          <t>https://daphnethackery.com/about</t>
        </is>
      </c>
      <c r="U969" s="27" t="inlineStr">
        <is>
          <t>Email</t>
        </is>
      </c>
      <c r="V969" s="27" t="inlineStr">
        <is>
          <t>b2b marketing &amp; sales frameworks, specifically regarding episode 16 on B2B Marketing &amp; Sales workflow optimization</t>
        </is>
      </c>
      <c r="W969" s="27" t="inlineStr">
        <is>
          <t>Hi Daphne, loved your recent piece on 'b2b marketing &amp; sales frameworks, specifically regarding episode 16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69" s="27" t="inlineStr">
        <is>
          <t>2026-10-18</t>
        </is>
      </c>
      <c r="Y969" s="27" t="inlineStr">
        <is>
          <t>C</t>
        </is>
      </c>
      <c r="Z969" s="27" t="n">
        <v>74.09999999999999</v>
      </c>
      <c r="AA969" s="27" t="inlineStr">
        <is>
          <t>Qualified</t>
        </is>
      </c>
      <c r="AB969" s="27" t="inlineStr"/>
      <c r="AC969" s="28">
        <f>IF(A969="","",IF(COUNTIF($H$5:$H$1004,H969)&gt;1,"DUPLICATE","UNIQUE"))</f>
        <v/>
      </c>
      <c r="AD969" s="28">
        <f>IF(A969="","",IF(AA969="Rejected",IF(AB969&lt;&gt;"","REJECTED","ADD REASON"),IF(AND(B969&lt;&gt;"",C969&lt;&gt;"",D969&lt;&gt;"",E969&lt;&gt;"",F969&lt;&gt;"",G969&lt;&gt;"",H969&lt;&gt;"",J969&lt;&gt;"",K969&lt;&gt;"",N969&lt;&gt;"",O969&lt;&gt;"",P969&lt;&gt;"",Q969&lt;&gt;"",R969&lt;&gt;"",S969&lt;&gt;"",T969&lt;&gt;"",V969&lt;&gt;"",W969&lt;&gt;"",X969&lt;&gt;"",Y969&lt;&gt;""),"COMPLETE","MISSING FIELDS")))</f>
        <v/>
      </c>
    </row>
    <row r="970" ht="15" customHeight="1" s="15">
      <c r="A970" s="27" t="inlineStr">
        <is>
          <t>LEAD-0966</t>
        </is>
      </c>
      <c r="B970" s="27" t="inlineStr">
        <is>
          <t>Daphne Underwood</t>
        </is>
      </c>
      <c r="C970" s="27" t="inlineStr">
        <is>
          <t>YouTuber</t>
        </is>
      </c>
      <c r="D970" s="27" t="inlineStr">
        <is>
          <t>DE</t>
        </is>
      </c>
      <c r="E970" s="27" t="inlineStr">
        <is>
          <t>English</t>
        </is>
      </c>
      <c r="F970" s="27" t="inlineStr">
        <is>
          <t>YouTube</t>
        </is>
      </c>
      <c r="G970" s="27" t="inlineStr">
        <is>
          <t>https://www.youtube.com/@daphneunderwood</t>
        </is>
      </c>
      <c r="H970" s="27" t="inlineStr">
        <is>
          <t>UCDE00966197472</t>
        </is>
      </c>
      <c r="I970" s="27" t="inlineStr">
        <is>
          <t>440,000</t>
        </is>
      </c>
      <c r="J970" s="27" t="inlineStr">
        <is>
          <t>2026-10-16</t>
        </is>
      </c>
      <c r="K970" s="27" t="inlineStr">
        <is>
          <t>https://www.youtube.com/watch?v=de00966</t>
        </is>
      </c>
      <c r="L970" s="27" t="n">
        <v>14</v>
      </c>
      <c r="M970" s="27" t="n">
        <v>28</v>
      </c>
      <c r="N970" s="27" t="inlineStr">
        <is>
          <t>Course</t>
        </is>
      </c>
      <c r="O970" s="27" t="inlineStr">
        <is>
          <t>https://daphneunderwood.com/academy</t>
        </is>
      </c>
      <c r="P970" s="27" t="inlineStr">
        <is>
          <t>Multilingual Audio Dubbing</t>
        </is>
      </c>
      <c r="Q970" s="27" t="inlineStr">
        <is>
          <t>https://daphneunderwood.com/highlights</t>
        </is>
      </c>
      <c r="R970" s="27" t="inlineStr">
        <is>
          <t>X (Twitter)</t>
        </is>
      </c>
      <c r="S970" s="27" t="inlineStr">
        <is>
          <t>https://x.com/daphneunderwood</t>
        </is>
      </c>
      <c r="T970" s="27" t="inlineStr">
        <is>
          <t>https://daphneunderwood.com/links</t>
        </is>
      </c>
      <c r="U970" s="27" t="inlineStr">
        <is>
          <t>LinkedIn</t>
        </is>
      </c>
      <c r="V970" s="27" t="inlineStr">
        <is>
          <t>finance &amp; wealth engineering frameworks, specifically regarding episode 17 on Finance &amp; Wealth Engineering workflow optimization</t>
        </is>
      </c>
      <c r="W970" s="27" t="inlineStr">
        <is>
          <t>Hi Daphne, loved your recent piece on 'finance &amp; wealth engineering frameworks, specifically regarding episode 17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70" s="27" t="inlineStr">
        <is>
          <t>2026-10-18</t>
        </is>
      </c>
      <c r="Y970" s="27" t="inlineStr">
        <is>
          <t>C</t>
        </is>
      </c>
      <c r="Z970" s="27" t="n">
        <v>74</v>
      </c>
      <c r="AA970" s="27" t="inlineStr">
        <is>
          <t>Qualified</t>
        </is>
      </c>
      <c r="AB970" s="27" t="inlineStr"/>
      <c r="AC970" s="28">
        <f>IF(A970="","",IF(COUNTIF($H$5:$H$1004,H970)&gt;1,"DUPLICATE","UNIQUE"))</f>
        <v/>
      </c>
      <c r="AD970" s="28">
        <f>IF(A970="","",IF(AA970="Rejected",IF(AB970&lt;&gt;"","REJECTED","ADD REASON"),IF(AND(B970&lt;&gt;"",C970&lt;&gt;"",D970&lt;&gt;"",E970&lt;&gt;"",F970&lt;&gt;"",G970&lt;&gt;"",H970&lt;&gt;"",J970&lt;&gt;"",K970&lt;&gt;"",N970&lt;&gt;"",O970&lt;&gt;"",P970&lt;&gt;"",Q970&lt;&gt;"",R970&lt;&gt;"",S970&lt;&gt;"",T970&lt;&gt;"",V970&lt;&gt;"",W970&lt;&gt;"",X970&lt;&gt;"",Y970&lt;&gt;""),"COMPLETE","MISSING FIELDS")))</f>
        <v/>
      </c>
    </row>
    <row r="971" ht="15" customHeight="1" s="15">
      <c r="A971" s="27" t="inlineStr">
        <is>
          <t>LEAD-0967</t>
        </is>
      </c>
      <c r="B971" s="27" t="inlineStr">
        <is>
          <t>Daphne Vanguard</t>
        </is>
      </c>
      <c r="C971" s="27" t="inlineStr">
        <is>
          <t>Podcaster</t>
        </is>
      </c>
      <c r="D971" s="27" t="inlineStr">
        <is>
          <t>DE</t>
        </is>
      </c>
      <c r="E971" s="27" t="inlineStr">
        <is>
          <t>English</t>
        </is>
      </c>
      <c r="F971" s="27" t="inlineStr">
        <is>
          <t>Apple Podcasts</t>
        </is>
      </c>
      <c r="G971" s="27" t="inlineStr">
        <is>
          <t>https://podcasts.apple.com/de/podcast/daphnevanguard/id1000967</t>
        </is>
      </c>
      <c r="H971" s="27" t="inlineStr">
        <is>
          <t>AP-DE-1000967</t>
        </is>
      </c>
      <c r="I971" s="27" t="inlineStr">
        <is>
          <t>216,000</t>
        </is>
      </c>
      <c r="J971" s="27" t="inlineStr">
        <is>
          <t>2026-10-17</t>
        </is>
      </c>
      <c r="K971" s="27" t="inlineStr">
        <is>
          <t>https://daphnevanguard.com/episodes/168</t>
        </is>
      </c>
      <c r="L971" s="27" t="n">
        <v>15</v>
      </c>
      <c r="M971" s="27" t="n">
        <v>29</v>
      </c>
      <c r="N971" s="27" t="inlineStr">
        <is>
          <t>Sponsor</t>
        </is>
      </c>
      <c r="O971" s="27" t="inlineStr">
        <is>
          <t>https://daphnevanguard.com/partners</t>
        </is>
      </c>
      <c r="P971" s="27" t="inlineStr">
        <is>
          <t>Multilingual Audio Dubbing</t>
        </is>
      </c>
      <c r="Q971" s="27" t="inlineStr">
        <is>
          <t>https://daphnevanguard.com/highlights</t>
        </is>
      </c>
      <c r="R971" s="27" t="inlineStr">
        <is>
          <t>Email</t>
        </is>
      </c>
      <c r="S971" s="27" t="inlineStr">
        <is>
          <t>hello@daphnevanguard.com</t>
        </is>
      </c>
      <c r="T971" s="27" t="inlineStr">
        <is>
          <t>https://daphnevanguard.com/work-with-me</t>
        </is>
      </c>
      <c r="U971" s="27" t="inlineStr">
        <is>
          <t>LinkedIn</t>
        </is>
      </c>
      <c r="V971" s="27" t="inlineStr">
        <is>
          <t>health &amp; longevity science frameworks, specifically regarding episode 18 on Health &amp; Longevity Science workflow optimization</t>
        </is>
      </c>
      <c r="W971" s="27" t="inlineStr">
        <is>
          <t>Hi Daphne, loved your recent piece on 'health &amp; longevity science frameworks, specifically regarding episode 18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71" s="27" t="inlineStr">
        <is>
          <t>2026-10-18</t>
        </is>
      </c>
      <c r="Y971" s="27" t="inlineStr">
        <is>
          <t>C</t>
        </is>
      </c>
      <c r="Z971" s="27" t="n">
        <v>74</v>
      </c>
      <c r="AA971" s="27" t="inlineStr">
        <is>
          <t>Qualified</t>
        </is>
      </c>
      <c r="AB971" s="27" t="inlineStr"/>
      <c r="AC971" s="28">
        <f>IF(A971="","",IF(COUNTIF($H$5:$H$1004,H971)&gt;1,"DUPLICATE","UNIQUE"))</f>
        <v/>
      </c>
      <c r="AD971" s="28">
        <f>IF(A971="","",IF(AA971="Rejected",IF(AB971&lt;&gt;"","REJECTED","ADD REASON"),IF(AND(B971&lt;&gt;"",C971&lt;&gt;"",D971&lt;&gt;"",E971&lt;&gt;"",F971&lt;&gt;"",G971&lt;&gt;"",H971&lt;&gt;"",J971&lt;&gt;"",K971&lt;&gt;"",N971&lt;&gt;"",O971&lt;&gt;"",P971&lt;&gt;"",Q971&lt;&gt;"",R971&lt;&gt;"",S971&lt;&gt;"",T971&lt;&gt;"",V971&lt;&gt;"",W971&lt;&gt;"",X971&lt;&gt;"",Y971&lt;&gt;""),"COMPLETE","MISSING FIELDS")))</f>
        <v/>
      </c>
    </row>
    <row r="972" ht="15" customHeight="1" s="15">
      <c r="A972" s="27" t="inlineStr">
        <is>
          <t>LEAD-0968</t>
        </is>
      </c>
      <c r="B972" s="27" t="inlineStr">
        <is>
          <t>Daphne Waverly</t>
        </is>
      </c>
      <c r="C972" s="27" t="inlineStr">
        <is>
          <t>YouTuber</t>
        </is>
      </c>
      <c r="D972" s="27" t="inlineStr">
        <is>
          <t>DE</t>
        </is>
      </c>
      <c r="E972" s="27" t="inlineStr">
        <is>
          <t>English</t>
        </is>
      </c>
      <c r="F972" s="27" t="inlineStr">
        <is>
          <t>YouTube</t>
        </is>
      </c>
      <c r="G972" s="27" t="inlineStr">
        <is>
          <t>https://www.youtube.com/@daphnewaverly</t>
        </is>
      </c>
      <c r="H972" s="27" t="inlineStr">
        <is>
          <t>UCDE00968110154</t>
        </is>
      </c>
      <c r="I972" s="27" t="inlineStr">
        <is>
          <t>480,000</t>
        </is>
      </c>
      <c r="J972" s="27" t="inlineStr">
        <is>
          <t>2026-10-10</t>
        </is>
      </c>
      <c r="K972" s="27" t="inlineStr">
        <is>
          <t>https://www.youtube.com/watch?v=de00968</t>
        </is>
      </c>
      <c r="L972" s="27" t="n">
        <v>16</v>
      </c>
      <c r="M972" s="27" t="n">
        <v>30</v>
      </c>
      <c r="N972" s="27" t="inlineStr">
        <is>
          <t>Membership</t>
        </is>
      </c>
      <c r="O972" s="27" t="inlineStr">
        <is>
          <t>https://daphnewaverly.com/community</t>
        </is>
      </c>
      <c r="P972" s="27" t="inlineStr">
        <is>
          <t>Missing Video Captions &amp; Retention Clips</t>
        </is>
      </c>
      <c r="Q972" s="27" t="inlineStr">
        <is>
          <t>https://daphnewaverly.com/highlights</t>
        </is>
      </c>
      <c r="R972" s="27" t="inlineStr">
        <is>
          <t>Email</t>
        </is>
      </c>
      <c r="S972" s="27" t="inlineStr">
        <is>
          <t>contact@daphnewaverly.com</t>
        </is>
      </c>
      <c r="T972" s="27" t="inlineStr">
        <is>
          <t>https://daphnewaverly.com/contact</t>
        </is>
      </c>
      <c r="U972" s="27" t="inlineStr">
        <is>
          <t>LinkedIn</t>
        </is>
      </c>
      <c r="V972" s="27" t="inlineStr">
        <is>
          <t>education &amp; applied coding frameworks, specifically regarding episode 19 on Education &amp; Applied Coding workflow optimization</t>
        </is>
      </c>
      <c r="W972" s="27" t="inlineStr">
        <is>
          <t>Hi Daphne, loved your recent piece on 'education &amp; applied coding frameworks, specifically regarding episode 19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72" s="27" t="inlineStr">
        <is>
          <t>2026-10-18</t>
        </is>
      </c>
      <c r="Y972" s="27" t="inlineStr">
        <is>
          <t>C</t>
        </is>
      </c>
      <c r="Z972" s="27" t="n">
        <v>73.90000000000001</v>
      </c>
      <c r="AA972" s="27" t="inlineStr">
        <is>
          <t>Qualified</t>
        </is>
      </c>
      <c r="AB972" s="27" t="inlineStr"/>
      <c r="AC972" s="28">
        <f>IF(A972="","",IF(COUNTIF($H$5:$H$1004,H972)&gt;1,"DUPLICATE","UNIQUE"))</f>
        <v/>
      </c>
      <c r="AD972" s="28">
        <f>IF(A972="","",IF(AA972="Rejected",IF(AB972&lt;&gt;"","REJECTED","ADD REASON"),IF(AND(B972&lt;&gt;"",C972&lt;&gt;"",D972&lt;&gt;"",E972&lt;&gt;"",F972&lt;&gt;"",G972&lt;&gt;"",H972&lt;&gt;"",J972&lt;&gt;"",K972&lt;&gt;"",N972&lt;&gt;"",O972&lt;&gt;"",P972&lt;&gt;"",Q972&lt;&gt;"",R972&lt;&gt;"",S972&lt;&gt;"",T972&lt;&gt;"",V972&lt;&gt;"",W972&lt;&gt;"",X972&lt;&gt;"",Y972&lt;&gt;""),"COMPLETE","MISSING FIELDS")))</f>
        <v/>
      </c>
    </row>
    <row r="973" ht="15" customHeight="1" s="15">
      <c r="A973" s="27" t="inlineStr">
        <is>
          <t>LEAD-0969</t>
        </is>
      </c>
      <c r="B973" s="27" t="inlineStr">
        <is>
          <t>Daphne Yardley</t>
        </is>
      </c>
      <c r="C973" s="27" t="inlineStr">
        <is>
          <t>Podcaster</t>
        </is>
      </c>
      <c r="D973" s="27" t="inlineStr">
        <is>
          <t>DE</t>
        </is>
      </c>
      <c r="E973" s="27" t="inlineStr">
        <is>
          <t>English</t>
        </is>
      </c>
      <c r="F973" s="27" t="inlineStr">
        <is>
          <t>Apple Podcasts</t>
        </is>
      </c>
      <c r="G973" s="27" t="inlineStr">
        <is>
          <t>https://podcasts.apple.com/de/podcast/daphneyardley/id1000969</t>
        </is>
      </c>
      <c r="H973" s="27" t="inlineStr">
        <is>
          <t>AP-DE-1000969</t>
        </is>
      </c>
      <c r="I973" s="27" t="inlineStr">
        <is>
          <t>240,000</t>
        </is>
      </c>
      <c r="J973" s="27" t="inlineStr">
        <is>
          <t>2026-10-11</t>
        </is>
      </c>
      <c r="K973" s="27" t="inlineStr">
        <is>
          <t>https://daphneyardley.com/episodes/170</t>
        </is>
      </c>
      <c r="L973" s="27" t="n">
        <v>17</v>
      </c>
      <c r="M973" s="27" t="n">
        <v>31</v>
      </c>
      <c r="N973" s="27" t="inlineStr">
        <is>
          <t>Product</t>
        </is>
      </c>
      <c r="O973" s="27" t="inlineStr">
        <is>
          <t>https://daphneyardley.com/shop</t>
        </is>
      </c>
      <c r="P973" s="27" t="inlineStr">
        <is>
          <t>Shorts Repurposing Bottleneck</t>
        </is>
      </c>
      <c r="Q973" s="27" t="inlineStr">
        <is>
          <t>https://daphneyardley.com/highlights</t>
        </is>
      </c>
      <c r="R973" s="27" t="inlineStr">
        <is>
          <t>LinkedIn</t>
        </is>
      </c>
      <c r="S973" s="27" t="inlineStr">
        <is>
          <t>https://linkedin.com/in/daphneyardley</t>
        </is>
      </c>
      <c r="T973" s="27" t="inlineStr">
        <is>
          <t>https://daphneyardley.com/about</t>
        </is>
      </c>
      <c r="U973" s="27" t="inlineStr">
        <is>
          <t>Email</t>
        </is>
      </c>
      <c r="V973" s="27" t="inlineStr">
        <is>
          <t>e-commerce &amp; digital brands frameworks, specifically regarding episode 20 on E-Commerce &amp; Digital Brands workflow optimization</t>
        </is>
      </c>
      <c r="W973" s="27" t="inlineStr">
        <is>
          <t>Hi Daphne, loved your recent piece on 'e-commerce &amp; digital brands frameworks, specifically regarding episode 20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73" s="27" t="inlineStr">
        <is>
          <t>2026-10-18</t>
        </is>
      </c>
      <c r="Y973" s="27" t="inlineStr">
        <is>
          <t>C</t>
        </is>
      </c>
      <c r="Z973" s="27" t="n">
        <v>73.90000000000001</v>
      </c>
      <c r="AA973" s="27" t="inlineStr">
        <is>
          <t>Qualified</t>
        </is>
      </c>
      <c r="AB973" s="27" t="inlineStr"/>
      <c r="AC973" s="28">
        <f>IF(A973="","",IF(COUNTIF($H$5:$H$1004,H973)&gt;1,"DUPLICATE","UNIQUE"))</f>
        <v/>
      </c>
      <c r="AD973" s="28">
        <f>IF(A973="","",IF(AA973="Rejected",IF(AB973&lt;&gt;"","REJECTED","ADD REASON"),IF(AND(B973&lt;&gt;"",C973&lt;&gt;"",D973&lt;&gt;"",E973&lt;&gt;"",F973&lt;&gt;"",G973&lt;&gt;"",H973&lt;&gt;"",J973&lt;&gt;"",K973&lt;&gt;"",N973&lt;&gt;"",O973&lt;&gt;"",P973&lt;&gt;"",Q973&lt;&gt;"",R973&lt;&gt;"",S973&lt;&gt;"",T973&lt;&gt;"",V973&lt;&gt;"",W973&lt;&gt;"",X973&lt;&gt;"",Y973&lt;&gt;""),"COMPLETE","MISSING FIELDS")))</f>
        <v/>
      </c>
    </row>
    <row r="974" ht="15" customHeight="1" s="15">
      <c r="A974" s="27" t="inlineStr">
        <is>
          <t>LEAD-0970</t>
        </is>
      </c>
      <c r="B974" s="27" t="inlineStr">
        <is>
          <t>Daphne Zimmerman</t>
        </is>
      </c>
      <c r="C974" s="27" t="inlineStr">
        <is>
          <t>YouTuber</t>
        </is>
      </c>
      <c r="D974" s="27" t="inlineStr">
        <is>
          <t>DE</t>
        </is>
      </c>
      <c r="E974" s="27" t="inlineStr">
        <is>
          <t>English</t>
        </is>
      </c>
      <c r="F974" s="27" t="inlineStr">
        <is>
          <t>YouTube</t>
        </is>
      </c>
      <c r="G974" s="27" t="inlineStr">
        <is>
          <t>https://www.youtube.com/@daphnezimmerman</t>
        </is>
      </c>
      <c r="H974" s="27" t="inlineStr">
        <is>
          <t>UCDE00970272041</t>
        </is>
      </c>
      <c r="I974" s="27" t="inlineStr">
        <is>
          <t>520,000</t>
        </is>
      </c>
      <c r="J974" s="27" t="inlineStr">
        <is>
          <t>2026-10-12</t>
        </is>
      </c>
      <c r="K974" s="27" t="inlineStr">
        <is>
          <t>https://www.youtube.com/watch?v=de00970</t>
        </is>
      </c>
      <c r="L974" s="27" t="n">
        <v>8</v>
      </c>
      <c r="M974" s="27" t="n">
        <v>32</v>
      </c>
      <c r="N974" s="27" t="inlineStr">
        <is>
          <t>Consulting</t>
        </is>
      </c>
      <c r="O974" s="27" t="inlineStr">
        <is>
          <t>https://daphnezimmerman.com/advisory</t>
        </is>
      </c>
      <c r="P974" s="27" t="inlineStr">
        <is>
          <t>Shorts Repurposing Bottleneck</t>
        </is>
      </c>
      <c r="Q974" s="27" t="inlineStr">
        <is>
          <t>https://daphnezimmerman.com/highlights</t>
        </is>
      </c>
      <c r="R974" s="27" t="inlineStr">
        <is>
          <t>X (Twitter)</t>
        </is>
      </c>
      <c r="S974" s="27" t="inlineStr">
        <is>
          <t>https://x.com/daphnezimmerman</t>
        </is>
      </c>
      <c r="T974" s="27" t="inlineStr">
        <is>
          <t>https://daphnezimmerman.com/links</t>
        </is>
      </c>
      <c r="U974" s="27" t="inlineStr">
        <is>
          <t>LinkedIn</t>
        </is>
      </c>
      <c r="V974" s="27" t="inlineStr">
        <is>
          <t>tech &amp; ai frameworks, specifically regarding episode 21 on Tech &amp; AI workflow optimization</t>
        </is>
      </c>
      <c r="W974" s="27" t="inlineStr">
        <is>
          <t>Hi Daphne, loved your recent piece on 'tech &amp; ai frameworks, specifically regarding episode 21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74" s="27" t="inlineStr">
        <is>
          <t>2026-10-18</t>
        </is>
      </c>
      <c r="Y974" s="27" t="inlineStr">
        <is>
          <t>C</t>
        </is>
      </c>
      <c r="Z974" s="27" t="n">
        <v>73.8</v>
      </c>
      <c r="AA974" s="27" t="inlineStr">
        <is>
          <t>Qualified</t>
        </is>
      </c>
      <c r="AB974" s="27" t="inlineStr"/>
      <c r="AC974" s="28">
        <f>IF(A974="","",IF(COUNTIF($H$5:$H$1004,H974)&gt;1,"DUPLICATE","UNIQUE"))</f>
        <v/>
      </c>
      <c r="AD974" s="28">
        <f>IF(A974="","",IF(AA974="Rejected",IF(AB974&lt;&gt;"","REJECTED","ADD REASON"),IF(AND(B974&lt;&gt;"",C974&lt;&gt;"",D974&lt;&gt;"",E974&lt;&gt;"",F974&lt;&gt;"",G974&lt;&gt;"",H974&lt;&gt;"",J974&lt;&gt;"",K974&lt;&gt;"",N974&lt;&gt;"",O974&lt;&gt;"",P974&lt;&gt;"",Q974&lt;&gt;"",R974&lt;&gt;"",S974&lt;&gt;"",T974&lt;&gt;"",V974&lt;&gt;"",W974&lt;&gt;"",X974&lt;&gt;"",Y974&lt;&gt;""),"COMPLETE","MISSING FIELDS")))</f>
        <v/>
      </c>
    </row>
    <row r="975" ht="15" customHeight="1" s="15">
      <c r="A975" s="27" t="inlineStr">
        <is>
          <t>LEAD-0971</t>
        </is>
      </c>
      <c r="B975" s="27" t="inlineStr">
        <is>
          <t>Daphne Sterling</t>
        </is>
      </c>
      <c r="C975" s="27" t="inlineStr">
        <is>
          <t>Podcaster</t>
        </is>
      </c>
      <c r="D975" s="27" t="inlineStr">
        <is>
          <t>DE</t>
        </is>
      </c>
      <c r="E975" s="27" t="inlineStr">
        <is>
          <t>English</t>
        </is>
      </c>
      <c r="F975" s="27" t="inlineStr">
        <is>
          <t>Apple Podcasts</t>
        </is>
      </c>
      <c r="G975" s="27" t="inlineStr">
        <is>
          <t>https://podcasts.apple.com/de/podcast/daphnesterling/id1000971</t>
        </is>
      </c>
      <c r="H975" s="27" t="inlineStr">
        <is>
          <t>AP-DE-1000971</t>
        </is>
      </c>
      <c r="I975" s="27" t="inlineStr">
        <is>
          <t>264,000</t>
        </is>
      </c>
      <c r="J975" s="27" t="inlineStr">
        <is>
          <t>2026-10-13</t>
        </is>
      </c>
      <c r="K975" s="27" t="inlineStr">
        <is>
          <t>https://daphnesterling.com/episodes/172</t>
        </is>
      </c>
      <c r="L975" s="27" t="n">
        <v>9</v>
      </c>
      <c r="M975" s="27" t="n">
        <v>33</v>
      </c>
      <c r="N975" s="27" t="inlineStr">
        <is>
          <t>Newsletter Subscription</t>
        </is>
      </c>
      <c r="O975" s="27" t="inlineStr">
        <is>
          <t>https://daphnesterling.com/subscribe</t>
        </is>
      </c>
      <c r="P975" s="27" t="inlineStr">
        <is>
          <t>Missing Video Captions &amp; Retention Clips</t>
        </is>
      </c>
      <c r="Q975" s="27" t="inlineStr">
        <is>
          <t>https://daphnesterling.com/highlights</t>
        </is>
      </c>
      <c r="R975" s="27" t="inlineStr">
        <is>
          <t>Email</t>
        </is>
      </c>
      <c r="S975" s="27" t="inlineStr">
        <is>
          <t>hello@daphnesterling.com</t>
        </is>
      </c>
      <c r="T975" s="27" t="inlineStr">
        <is>
          <t>https://daphnesterling.com/work-with-me</t>
        </is>
      </c>
      <c r="U975" s="27" t="inlineStr">
        <is>
          <t>LinkedIn</t>
        </is>
      </c>
      <c r="V975" s="27" t="inlineStr">
        <is>
          <t>saas &amp; product growth frameworks, specifically regarding episode 22 on SaaS &amp; Product Growth workflow optimization</t>
        </is>
      </c>
      <c r="W975" s="27" t="inlineStr">
        <is>
          <t>Hi Daphne, loved your recent piece on 'saas &amp; product growth frameworks, specifically regarding episode 22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75" s="27" t="inlineStr">
        <is>
          <t>2026-10-18</t>
        </is>
      </c>
      <c r="Y975" s="27" t="inlineStr">
        <is>
          <t>C</t>
        </is>
      </c>
      <c r="Z975" s="27" t="n">
        <v>73.7</v>
      </c>
      <c r="AA975" s="27" t="inlineStr">
        <is>
          <t>Qualified</t>
        </is>
      </c>
      <c r="AB975" s="27" t="inlineStr"/>
      <c r="AC975" s="28">
        <f>IF(A975="","",IF(COUNTIF($H$5:$H$1004,H975)&gt;1,"DUPLICATE","UNIQUE"))</f>
        <v/>
      </c>
      <c r="AD975" s="28">
        <f>IF(A975="","",IF(AA975="Rejected",IF(AB975&lt;&gt;"","REJECTED","ADD REASON"),IF(AND(B975&lt;&gt;"",C975&lt;&gt;"",D975&lt;&gt;"",E975&lt;&gt;"",F975&lt;&gt;"",G975&lt;&gt;"",H975&lt;&gt;"",J975&lt;&gt;"",K975&lt;&gt;"",N975&lt;&gt;"",O975&lt;&gt;"",P975&lt;&gt;"",Q975&lt;&gt;"",R975&lt;&gt;"",S975&lt;&gt;"",T975&lt;&gt;"",V975&lt;&gt;"",W975&lt;&gt;"",X975&lt;&gt;"",Y975&lt;&gt;""),"COMPLETE","MISSING FIELDS")))</f>
        <v/>
      </c>
    </row>
    <row r="976" ht="15" customHeight="1" s="15">
      <c r="A976" s="27" t="inlineStr">
        <is>
          <t>LEAD-0972</t>
        </is>
      </c>
      <c r="B976" s="27" t="inlineStr">
        <is>
          <t>Daphne Cross</t>
        </is>
      </c>
      <c r="C976" s="27" t="inlineStr">
        <is>
          <t>Expert-Led Creator</t>
        </is>
      </c>
      <c r="D976" s="27" t="inlineStr">
        <is>
          <t>DE</t>
        </is>
      </c>
      <c r="E976" s="27" t="inlineStr">
        <is>
          <t>English</t>
        </is>
      </c>
      <c r="F976" s="27" t="inlineStr">
        <is>
          <t>YouTube</t>
        </is>
      </c>
      <c r="G976" s="27" t="inlineStr">
        <is>
          <t>https://www.youtube.com/@daphnecross</t>
        </is>
      </c>
      <c r="H976" s="27" t="inlineStr">
        <is>
          <t>UCDE00972520268</t>
        </is>
      </c>
      <c r="I976" s="27" t="inlineStr">
        <is>
          <t>560,000</t>
        </is>
      </c>
      <c r="J976" s="27" t="inlineStr">
        <is>
          <t>2026-10-14</t>
        </is>
      </c>
      <c r="K976" s="27" t="inlineStr">
        <is>
          <t>https://www.youtube.com/watch?v=de00972</t>
        </is>
      </c>
      <c r="L976" s="27" t="n">
        <v>10</v>
      </c>
      <c r="M976" s="27" t="n">
        <v>16</v>
      </c>
      <c r="N976" s="27" t="inlineStr">
        <is>
          <t>Affiliate</t>
        </is>
      </c>
      <c r="O976" s="27" t="inlineStr">
        <is>
          <t>https://daphnecross.com/resources</t>
        </is>
      </c>
      <c r="P976" s="27" t="inlineStr">
        <is>
          <t>Editing Backlog &amp; Team Workflow Overhead</t>
        </is>
      </c>
      <c r="Q976" s="27" t="inlineStr">
        <is>
          <t>https://daphnecross.com/highlights</t>
        </is>
      </c>
      <c r="R976" s="27" t="inlineStr">
        <is>
          <t>Email</t>
        </is>
      </c>
      <c r="S976" s="27" t="inlineStr">
        <is>
          <t>contact@daphnecross.com</t>
        </is>
      </c>
      <c r="T976" s="27" t="inlineStr">
        <is>
          <t>https://daphnecross.com/contact</t>
        </is>
      </c>
      <c r="U976" s="27" t="inlineStr">
        <is>
          <t>LinkedIn</t>
        </is>
      </c>
      <c r="V976" s="27" t="inlineStr">
        <is>
          <t>creator business &amp; monetization frameworks, specifically regarding episode 23 on Creator Business &amp; Monetization workflow optimization</t>
        </is>
      </c>
      <c r="W976" s="27" t="inlineStr">
        <is>
          <t>Hi Daphne, loved your recent piece on 'creator business &amp; monetization frameworks, specifically regarding episode 23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76" s="27" t="inlineStr">
        <is>
          <t>2026-10-18</t>
        </is>
      </c>
      <c r="Y976" s="27" t="inlineStr">
        <is>
          <t>C</t>
        </is>
      </c>
      <c r="Z976" s="27" t="n">
        <v>73.7</v>
      </c>
      <c r="AA976" s="27" t="inlineStr">
        <is>
          <t>Qualified</t>
        </is>
      </c>
      <c r="AB976" s="27" t="inlineStr"/>
      <c r="AC976" s="28">
        <f>IF(A976="","",IF(COUNTIF($H$5:$H$1004,H976)&gt;1,"DUPLICATE","UNIQUE"))</f>
        <v/>
      </c>
      <c r="AD976" s="28">
        <f>IF(A976="","",IF(AA976="Rejected",IF(AB976&lt;&gt;"","REJECTED","ADD REASON"),IF(AND(B976&lt;&gt;"",C976&lt;&gt;"",D976&lt;&gt;"",E976&lt;&gt;"",F976&lt;&gt;"",G976&lt;&gt;"",H976&lt;&gt;"",J976&lt;&gt;"",K976&lt;&gt;"",N976&lt;&gt;"",O976&lt;&gt;"",P976&lt;&gt;"",Q976&lt;&gt;"",R976&lt;&gt;"",S976&lt;&gt;"",T976&lt;&gt;"",V976&lt;&gt;"",W976&lt;&gt;"",X976&lt;&gt;"",Y976&lt;&gt;""),"COMPLETE","MISSING FIELDS")))</f>
        <v/>
      </c>
    </row>
    <row r="977" ht="15" customHeight="1" s="15">
      <c r="A977" s="27" t="inlineStr">
        <is>
          <t>LEAD-0973</t>
        </is>
      </c>
      <c r="B977" s="27" t="inlineStr">
        <is>
          <t>Daphne Vance</t>
        </is>
      </c>
      <c r="C977" s="27" t="inlineStr">
        <is>
          <t>YouTuber</t>
        </is>
      </c>
      <c r="D977" s="27" t="inlineStr">
        <is>
          <t>NL</t>
        </is>
      </c>
      <c r="E977" s="27" t="inlineStr">
        <is>
          <t>English</t>
        </is>
      </c>
      <c r="F977" s="27" t="inlineStr">
        <is>
          <t>YouTube</t>
        </is>
      </c>
      <c r="G977" s="27" t="inlineStr">
        <is>
          <t>https://www.youtube.com/@daphnevance</t>
        </is>
      </c>
      <c r="H977" s="27" t="inlineStr">
        <is>
          <t>UCNL00973280293</t>
        </is>
      </c>
      <c r="I977" s="27" t="inlineStr">
        <is>
          <t>580,000</t>
        </is>
      </c>
      <c r="J977" s="27" t="inlineStr">
        <is>
          <t>2026-10-15</t>
        </is>
      </c>
      <c r="K977" s="27" t="inlineStr">
        <is>
          <t>https://www.youtube.com/watch?v=nl00973</t>
        </is>
      </c>
      <c r="L977" s="27" t="n">
        <v>11</v>
      </c>
      <c r="M977" s="27" t="n">
        <v>17</v>
      </c>
      <c r="N977" s="27" t="inlineStr">
        <is>
          <t>Course</t>
        </is>
      </c>
      <c r="O977" s="27" t="inlineStr">
        <is>
          <t>https://daphnevance.com/academy</t>
        </is>
      </c>
      <c r="P977" s="27" t="inlineStr">
        <is>
          <t>Shorts Repurposing Bottleneck</t>
        </is>
      </c>
      <c r="Q977" s="27" t="inlineStr">
        <is>
          <t>https://daphnevance.com/highlights</t>
        </is>
      </c>
      <c r="R977" s="27" t="inlineStr">
        <is>
          <t>LinkedIn</t>
        </is>
      </c>
      <c r="S977" s="27" t="inlineStr">
        <is>
          <t>https://linkedin.com/in/daphnevance</t>
        </is>
      </c>
      <c r="T977" s="27" t="inlineStr">
        <is>
          <t>https://daphnevance.com/about</t>
        </is>
      </c>
      <c r="U977" s="27" t="inlineStr">
        <is>
          <t>Email</t>
        </is>
      </c>
      <c r="V977" s="27" t="inlineStr">
        <is>
          <t>productivity &amp; personal systems frameworks, specifically regarding episode 24 on Productivity &amp; Personal Systems workflow optimization</t>
        </is>
      </c>
      <c r="W977" s="27" t="inlineStr">
        <is>
          <t>Hi Daphne, loved your recent piece on 'productivity &amp; personal systems frameworks, specifically regarding episode 24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77" s="27" t="inlineStr">
        <is>
          <t>2026-10-18</t>
        </is>
      </c>
      <c r="Y977" s="27" t="inlineStr">
        <is>
          <t>C</t>
        </is>
      </c>
      <c r="Z977" s="27" t="n">
        <v>73.59999999999999</v>
      </c>
      <c r="AA977" s="27" t="inlineStr">
        <is>
          <t>Qualified</t>
        </is>
      </c>
      <c r="AB977" s="27" t="inlineStr"/>
      <c r="AC977" s="28">
        <f>IF(A977="","",IF(COUNTIF($H$5:$H$1004,H977)&gt;1,"DUPLICATE","UNIQUE"))</f>
        <v/>
      </c>
      <c r="AD977" s="28">
        <f>IF(A977="","",IF(AA977="Rejected",IF(AB977&lt;&gt;"","REJECTED","ADD REASON"),IF(AND(B977&lt;&gt;"",C977&lt;&gt;"",D977&lt;&gt;"",E977&lt;&gt;"",F977&lt;&gt;"",G977&lt;&gt;"",H977&lt;&gt;"",J977&lt;&gt;"",K977&lt;&gt;"",N977&lt;&gt;"",O977&lt;&gt;"",P977&lt;&gt;"",Q977&lt;&gt;"",R977&lt;&gt;"",S977&lt;&gt;"",T977&lt;&gt;"",V977&lt;&gt;"",W977&lt;&gt;"",X977&lt;&gt;"",Y977&lt;&gt;""),"COMPLETE","MISSING FIELDS")))</f>
        <v/>
      </c>
    </row>
    <row r="978" ht="15" customHeight="1" s="15">
      <c r="A978" s="27" t="inlineStr">
        <is>
          <t>LEAD-0974</t>
        </is>
      </c>
      <c r="B978" s="27" t="inlineStr">
        <is>
          <t>Daphne Mercer</t>
        </is>
      </c>
      <c r="C978" s="27" t="inlineStr">
        <is>
          <t>Podcaster</t>
        </is>
      </c>
      <c r="D978" s="27" t="inlineStr">
        <is>
          <t>NL</t>
        </is>
      </c>
      <c r="E978" s="27" t="inlineStr">
        <is>
          <t>English</t>
        </is>
      </c>
      <c r="F978" s="27" t="inlineStr">
        <is>
          <t>Apple Podcasts</t>
        </is>
      </c>
      <c r="G978" s="27" t="inlineStr">
        <is>
          <t>https://podcasts.apple.com/nl/podcast/daphnemercer/id1000974</t>
        </is>
      </c>
      <c r="H978" s="27" t="inlineStr">
        <is>
          <t>AP-NL-1000974</t>
        </is>
      </c>
      <c r="I978" s="27" t="inlineStr">
        <is>
          <t>300,000</t>
        </is>
      </c>
      <c r="J978" s="27" t="inlineStr">
        <is>
          <t>2026-10-16</t>
        </is>
      </c>
      <c r="K978" s="27" t="inlineStr">
        <is>
          <t>https://daphnemercer.com/episodes/175</t>
        </is>
      </c>
      <c r="L978" s="27" t="n">
        <v>12</v>
      </c>
      <c r="M978" s="27" t="n">
        <v>18</v>
      </c>
      <c r="N978" s="27" t="inlineStr">
        <is>
          <t>Sponsor</t>
        </is>
      </c>
      <c r="O978" s="27" t="inlineStr">
        <is>
          <t>https://daphnemercer.com/partners</t>
        </is>
      </c>
      <c r="P978" s="27" t="inlineStr">
        <is>
          <t>Inconsistent Cross-Platform Publishing</t>
        </is>
      </c>
      <c r="Q978" s="27" t="inlineStr">
        <is>
          <t>https://daphnemercer.com/highlights</t>
        </is>
      </c>
      <c r="R978" s="27" t="inlineStr">
        <is>
          <t>X (Twitter)</t>
        </is>
      </c>
      <c r="S978" s="27" t="inlineStr">
        <is>
          <t>https://x.com/daphnemercer</t>
        </is>
      </c>
      <c r="T978" s="27" t="inlineStr">
        <is>
          <t>https://daphnemercer.com/links</t>
        </is>
      </c>
      <c r="U978" s="27" t="inlineStr">
        <is>
          <t>LinkedIn</t>
        </is>
      </c>
      <c r="V978" s="27" t="inlineStr">
        <is>
          <t>leadership &amp; team ops frameworks, specifically regarding episode 25 on Leadership &amp; Team Ops workflow optimization</t>
        </is>
      </c>
      <c r="W978" s="27" t="inlineStr">
        <is>
          <t>Hi Daphne, loved your recent piece on 'leadership &amp; team ops frameworks, specifically regarding episode 25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78" s="27" t="inlineStr">
        <is>
          <t>2026-10-18</t>
        </is>
      </c>
      <c r="Y978" s="27" t="inlineStr">
        <is>
          <t>C</t>
        </is>
      </c>
      <c r="Z978" s="27" t="n">
        <v>73.59999999999999</v>
      </c>
      <c r="AA978" s="27" t="inlineStr">
        <is>
          <t>Qualified</t>
        </is>
      </c>
      <c r="AB978" s="27" t="inlineStr"/>
      <c r="AC978" s="28">
        <f>IF(A978="","",IF(COUNTIF($H$5:$H$1004,H978)&gt;1,"DUPLICATE","UNIQUE"))</f>
        <v/>
      </c>
      <c r="AD978" s="28">
        <f>IF(A978="","",IF(AA978="Rejected",IF(AB978&lt;&gt;"","REJECTED","ADD REASON"),IF(AND(B978&lt;&gt;"",C978&lt;&gt;"",D978&lt;&gt;"",E978&lt;&gt;"",F978&lt;&gt;"",G978&lt;&gt;"",H978&lt;&gt;"",J978&lt;&gt;"",K978&lt;&gt;"",N978&lt;&gt;"",O978&lt;&gt;"",P978&lt;&gt;"",Q978&lt;&gt;"",R978&lt;&gt;"",S978&lt;&gt;"",T978&lt;&gt;"",V978&lt;&gt;"",W978&lt;&gt;"",X978&lt;&gt;"",Y978&lt;&gt;""),"COMPLETE","MISSING FIELDS")))</f>
        <v/>
      </c>
    </row>
    <row r="979" ht="15" customHeight="1" s="15">
      <c r="A979" s="27" t="inlineStr">
        <is>
          <t>LEAD-0975</t>
        </is>
      </c>
      <c r="B979" s="27" t="inlineStr">
        <is>
          <t>Daphne Sinclair</t>
        </is>
      </c>
      <c r="C979" s="27" t="inlineStr">
        <is>
          <t>Expert-Led Creator</t>
        </is>
      </c>
      <c r="D979" s="27" t="inlineStr">
        <is>
          <t>NL</t>
        </is>
      </c>
      <c r="E979" s="27" t="inlineStr">
        <is>
          <t>English</t>
        </is>
      </c>
      <c r="F979" s="27" t="inlineStr">
        <is>
          <t>LinkedIn</t>
        </is>
      </c>
      <c r="G979" s="27" t="inlineStr">
        <is>
          <t>https://www.linkedin.com/in/daphnesinclair</t>
        </is>
      </c>
      <c r="H979" s="27" t="inlineStr">
        <is>
          <t>LI-daphnesinclair-0975</t>
        </is>
      </c>
      <c r="I979" s="27" t="inlineStr">
        <is>
          <t>96,000</t>
        </is>
      </c>
      <c r="J979" s="27" t="inlineStr">
        <is>
          <t>2026-10-17</t>
        </is>
      </c>
      <c r="K979" s="27" t="inlineStr">
        <is>
          <t>https://daphnesinclair.com/posts/76</t>
        </is>
      </c>
      <c r="L979" s="27" t="n">
        <v>13</v>
      </c>
      <c r="M979" s="27" t="n">
        <v>19</v>
      </c>
      <c r="N979" s="27" t="inlineStr">
        <is>
          <t>Membership</t>
        </is>
      </c>
      <c r="O979" s="27" t="inlineStr">
        <is>
          <t>https://daphnesinclair.com/community</t>
        </is>
      </c>
      <c r="P979" s="27" t="inlineStr">
        <is>
          <t>Editing Backlog &amp; Team Workflow Overhead</t>
        </is>
      </c>
      <c r="Q979" s="27" t="inlineStr">
        <is>
          <t>https://daphnesinclair.com/highlights</t>
        </is>
      </c>
      <c r="R979" s="27" t="inlineStr">
        <is>
          <t>Email</t>
        </is>
      </c>
      <c r="S979" s="27" t="inlineStr">
        <is>
          <t>hello@daphnesinclair.com</t>
        </is>
      </c>
      <c r="T979" s="27" t="inlineStr">
        <is>
          <t>https://daphnesinclair.com/work-with-me</t>
        </is>
      </c>
      <c r="U979" s="27" t="inlineStr">
        <is>
          <t>LinkedIn</t>
        </is>
      </c>
      <c r="V979" s="27" t="inlineStr">
        <is>
          <t>b2b marketing &amp; sales frameworks, specifically regarding episode 26 on B2B Marketing &amp; Sales workflow optimization</t>
        </is>
      </c>
      <c r="W979" s="27" t="inlineStr">
        <is>
          <t>Hi Daphne, loved your recent piece on 'b2b marketing &amp; sales frameworks, specifically regarding episode 26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79" s="27" t="inlineStr">
        <is>
          <t>2026-10-18</t>
        </is>
      </c>
      <c r="Y979" s="27" t="inlineStr">
        <is>
          <t>C</t>
        </is>
      </c>
      <c r="Z979" s="27" t="n">
        <v>73.5</v>
      </c>
      <c r="AA979" s="27" t="inlineStr">
        <is>
          <t>Qualified</t>
        </is>
      </c>
      <c r="AB979" s="27" t="inlineStr"/>
      <c r="AC979" s="28">
        <f>IF(A979="","",IF(COUNTIF($H$5:$H$1004,H979)&gt;1,"DUPLICATE","UNIQUE"))</f>
        <v/>
      </c>
      <c r="AD979" s="28">
        <f>IF(A979="","",IF(AA979="Rejected",IF(AB979&lt;&gt;"","REJECTED","ADD REASON"),IF(AND(B979&lt;&gt;"",C979&lt;&gt;"",D979&lt;&gt;"",E979&lt;&gt;"",F979&lt;&gt;"",G979&lt;&gt;"",H979&lt;&gt;"",J979&lt;&gt;"",K979&lt;&gt;"",N979&lt;&gt;"",O979&lt;&gt;"",P979&lt;&gt;"",Q979&lt;&gt;"",R979&lt;&gt;"",S979&lt;&gt;"",T979&lt;&gt;"",V979&lt;&gt;"",W979&lt;&gt;"",X979&lt;&gt;"",Y979&lt;&gt;""),"COMPLETE","MISSING FIELDS")))</f>
        <v/>
      </c>
    </row>
    <row r="980" ht="15" customHeight="1" s="15">
      <c r="A980" s="27" t="inlineStr">
        <is>
          <t>LEAD-0976</t>
        </is>
      </c>
      <c r="B980" s="27" t="inlineStr">
        <is>
          <t>Daphne Carrington</t>
        </is>
      </c>
      <c r="C980" s="27" t="inlineStr">
        <is>
          <t>YouTuber</t>
        </is>
      </c>
      <c r="D980" s="27" t="inlineStr">
        <is>
          <t>NL</t>
        </is>
      </c>
      <c r="E980" s="27" t="inlineStr">
        <is>
          <t>English</t>
        </is>
      </c>
      <c r="F980" s="27" t="inlineStr">
        <is>
          <t>YouTube</t>
        </is>
      </c>
      <c r="G980" s="27" t="inlineStr">
        <is>
          <t>https://www.youtube.com/@daphnecarrington</t>
        </is>
      </c>
      <c r="H980" s="27" t="inlineStr">
        <is>
          <t>UCNL00976440511</t>
        </is>
      </c>
      <c r="I980" s="27" t="inlineStr">
        <is>
          <t>640,000</t>
        </is>
      </c>
      <c r="J980" s="27" t="inlineStr">
        <is>
          <t>2026-10-10</t>
        </is>
      </c>
      <c r="K980" s="27" t="inlineStr">
        <is>
          <t>https://www.youtube.com/watch?v=nl00976</t>
        </is>
      </c>
      <c r="L980" s="27" t="n">
        <v>14</v>
      </c>
      <c r="M980" s="27" t="n">
        <v>20</v>
      </c>
      <c r="N980" s="27" t="inlineStr">
        <is>
          <t>Product</t>
        </is>
      </c>
      <c r="O980" s="27" t="inlineStr">
        <is>
          <t>https://daphnecarrington.com/shop</t>
        </is>
      </c>
      <c r="P980" s="27" t="inlineStr">
        <is>
          <t>Multilingual Audio Dubbing</t>
        </is>
      </c>
      <c r="Q980" s="27" t="inlineStr">
        <is>
          <t>https://daphnecarrington.com/highlights</t>
        </is>
      </c>
      <c r="R980" s="27" t="inlineStr">
        <is>
          <t>Email</t>
        </is>
      </c>
      <c r="S980" s="27" t="inlineStr">
        <is>
          <t>contact@daphnecarrington.com</t>
        </is>
      </c>
      <c r="T980" s="27" t="inlineStr">
        <is>
          <t>https://daphnecarrington.com/contact</t>
        </is>
      </c>
      <c r="U980" s="27" t="inlineStr">
        <is>
          <t>LinkedIn</t>
        </is>
      </c>
      <c r="V980" s="27" t="inlineStr">
        <is>
          <t>finance &amp; wealth engineering frameworks, specifically regarding episode 27 on Finance &amp; Wealth Engineering workflow optimization</t>
        </is>
      </c>
      <c r="W980" s="27" t="inlineStr">
        <is>
          <t>Hi Daphne, loved your recent piece on 'finance &amp; wealth engineering frameworks, specifically regarding episode 27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80" s="27" t="inlineStr">
        <is>
          <t>2026-10-18</t>
        </is>
      </c>
      <c r="Y980" s="27" t="inlineStr">
        <is>
          <t>C</t>
        </is>
      </c>
      <c r="Z980" s="27" t="n">
        <v>73.40000000000001</v>
      </c>
      <c r="AA980" s="27" t="inlineStr">
        <is>
          <t>Qualified</t>
        </is>
      </c>
      <c r="AB980" s="27" t="inlineStr"/>
      <c r="AC980" s="28">
        <f>IF(A980="","",IF(COUNTIF($H$5:$H$1004,H980)&gt;1,"DUPLICATE","UNIQUE"))</f>
        <v/>
      </c>
      <c r="AD980" s="28">
        <f>IF(A980="","",IF(AA980="Rejected",IF(AB980&lt;&gt;"","REJECTED","ADD REASON"),IF(AND(B980&lt;&gt;"",C980&lt;&gt;"",D980&lt;&gt;"",E980&lt;&gt;"",F980&lt;&gt;"",G980&lt;&gt;"",H980&lt;&gt;"",J980&lt;&gt;"",K980&lt;&gt;"",N980&lt;&gt;"",O980&lt;&gt;"",P980&lt;&gt;"",Q980&lt;&gt;"",R980&lt;&gt;"",S980&lt;&gt;"",T980&lt;&gt;"",V980&lt;&gt;"",W980&lt;&gt;"",X980&lt;&gt;"",Y980&lt;&gt;""),"COMPLETE","MISSING FIELDS")))</f>
        <v/>
      </c>
    </row>
    <row r="981" ht="15" customHeight="1" s="15">
      <c r="A981" s="27" t="inlineStr">
        <is>
          <t>LEAD-0977</t>
        </is>
      </c>
      <c r="B981" s="27" t="inlineStr">
        <is>
          <t>Daphne Prescott</t>
        </is>
      </c>
      <c r="C981" s="27" t="inlineStr">
        <is>
          <t>Podcaster</t>
        </is>
      </c>
      <c r="D981" s="27" t="inlineStr">
        <is>
          <t>NL</t>
        </is>
      </c>
      <c r="E981" s="27" t="inlineStr">
        <is>
          <t>English</t>
        </is>
      </c>
      <c r="F981" s="27" t="inlineStr">
        <is>
          <t>Apple Podcasts</t>
        </is>
      </c>
      <c r="G981" s="27" t="inlineStr">
        <is>
          <t>https://podcasts.apple.com/nl/podcast/daphneprescott/id1000977</t>
        </is>
      </c>
      <c r="H981" s="27" t="inlineStr">
        <is>
          <t>AP-NL-1000977</t>
        </is>
      </c>
      <c r="I981" s="27" t="inlineStr">
        <is>
          <t>36,000</t>
        </is>
      </c>
      <c r="J981" s="27" t="inlineStr">
        <is>
          <t>2026-10-11</t>
        </is>
      </c>
      <c r="K981" s="27" t="inlineStr">
        <is>
          <t>https://daphneprescott.com/episodes/178</t>
        </is>
      </c>
      <c r="L981" s="27" t="n">
        <v>15</v>
      </c>
      <c r="M981" s="27" t="n">
        <v>21</v>
      </c>
      <c r="N981" s="27" t="inlineStr">
        <is>
          <t>Consulting</t>
        </is>
      </c>
      <c r="O981" s="27" t="inlineStr">
        <is>
          <t>https://daphneprescott.com/advisory</t>
        </is>
      </c>
      <c r="P981" s="27" t="inlineStr">
        <is>
          <t>Multilingual Audio Dubbing</t>
        </is>
      </c>
      <c r="Q981" s="27" t="inlineStr">
        <is>
          <t>https://daphneprescott.com/highlights</t>
        </is>
      </c>
      <c r="R981" s="27" t="inlineStr">
        <is>
          <t>LinkedIn</t>
        </is>
      </c>
      <c r="S981" s="27" t="inlineStr">
        <is>
          <t>https://linkedin.com/in/daphneprescott</t>
        </is>
      </c>
      <c r="T981" s="27" t="inlineStr">
        <is>
          <t>https://daphneprescott.com/about</t>
        </is>
      </c>
      <c r="U981" s="27" t="inlineStr">
        <is>
          <t>Email</t>
        </is>
      </c>
      <c r="V981" s="27" t="inlineStr">
        <is>
          <t>health &amp; longevity science frameworks, specifically regarding episode 28 on Health &amp; Longevity Science workflow optimization</t>
        </is>
      </c>
      <c r="W981" s="27" t="inlineStr">
        <is>
          <t>Hi Daphne, loved your recent piece on 'health &amp; longevity science frameworks, specifically regarding episode 28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81" s="27" t="inlineStr">
        <is>
          <t>2026-10-18</t>
        </is>
      </c>
      <c r="Y981" s="27" t="inlineStr">
        <is>
          <t>C</t>
        </is>
      </c>
      <c r="Z981" s="27" t="n">
        <v>73.40000000000001</v>
      </c>
      <c r="AA981" s="27" t="inlineStr">
        <is>
          <t>Qualified</t>
        </is>
      </c>
      <c r="AB981" s="27" t="inlineStr"/>
      <c r="AC981" s="28">
        <f>IF(A981="","",IF(COUNTIF($H$5:$H$1004,H981)&gt;1,"DUPLICATE","UNIQUE"))</f>
        <v/>
      </c>
      <c r="AD981" s="28">
        <f>IF(A981="","",IF(AA981="Rejected",IF(AB981&lt;&gt;"","REJECTED","ADD REASON"),IF(AND(B981&lt;&gt;"",C981&lt;&gt;"",D981&lt;&gt;"",E981&lt;&gt;"",F981&lt;&gt;"",G981&lt;&gt;"",H981&lt;&gt;"",J981&lt;&gt;"",K981&lt;&gt;"",N981&lt;&gt;"",O981&lt;&gt;"",P981&lt;&gt;"",Q981&lt;&gt;"",R981&lt;&gt;"",S981&lt;&gt;"",T981&lt;&gt;"",V981&lt;&gt;"",W981&lt;&gt;"",X981&lt;&gt;"",Y981&lt;&gt;""),"COMPLETE","MISSING FIELDS")))</f>
        <v/>
      </c>
    </row>
    <row r="982" ht="15" customHeight="1" s="15">
      <c r="A982" s="27" t="inlineStr">
        <is>
          <t>LEAD-0978</t>
        </is>
      </c>
      <c r="B982" s="27" t="inlineStr">
        <is>
          <t>Daphne Winslow</t>
        </is>
      </c>
      <c r="C982" s="27" t="inlineStr">
        <is>
          <t>YouTuber</t>
        </is>
      </c>
      <c r="D982" s="27" t="inlineStr">
        <is>
          <t>NL</t>
        </is>
      </c>
      <c r="E982" s="27" t="inlineStr">
        <is>
          <t>English</t>
        </is>
      </c>
      <c r="F982" s="27" t="inlineStr">
        <is>
          <t>YouTube</t>
        </is>
      </c>
      <c r="G982" s="27" t="inlineStr">
        <is>
          <t>https://www.youtube.com/@daphnewinslow</t>
        </is>
      </c>
      <c r="H982" s="27" t="inlineStr">
        <is>
          <t>UCNL00978704191</t>
        </is>
      </c>
      <c r="I982" s="27" t="inlineStr">
        <is>
          <t>680,000</t>
        </is>
      </c>
      <c r="J982" s="27" t="inlineStr">
        <is>
          <t>2026-10-12</t>
        </is>
      </c>
      <c r="K982" s="27" t="inlineStr">
        <is>
          <t>https://www.youtube.com/watch?v=nl00978</t>
        </is>
      </c>
      <c r="L982" s="27" t="n">
        <v>16</v>
      </c>
      <c r="M982" s="27" t="n">
        <v>22</v>
      </c>
      <c r="N982" s="27" t="inlineStr">
        <is>
          <t>Newsletter Subscription</t>
        </is>
      </c>
      <c r="O982" s="27" t="inlineStr">
        <is>
          <t>https://daphnewinslow.com/subscribe</t>
        </is>
      </c>
      <c r="P982" s="27" t="inlineStr">
        <is>
          <t>Missing Video Captions &amp; Retention Clips</t>
        </is>
      </c>
      <c r="Q982" s="27" t="inlineStr">
        <is>
          <t>https://daphnewinslow.com/highlights</t>
        </is>
      </c>
      <c r="R982" s="27" t="inlineStr">
        <is>
          <t>X (Twitter)</t>
        </is>
      </c>
      <c r="S982" s="27" t="inlineStr">
        <is>
          <t>https://x.com/daphnewinslow</t>
        </is>
      </c>
      <c r="T982" s="27" t="inlineStr">
        <is>
          <t>https://daphnewinslow.com/links</t>
        </is>
      </c>
      <c r="U982" s="27" t="inlineStr">
        <is>
          <t>LinkedIn</t>
        </is>
      </c>
      <c r="V982" s="27" t="inlineStr">
        <is>
          <t>education &amp; applied coding frameworks, specifically regarding episode 29 on Education &amp; Applied Coding workflow optimization</t>
        </is>
      </c>
      <c r="W982" s="27" t="inlineStr">
        <is>
          <t>Hi Daphne, loved your recent piece on 'education &amp; applied coding frameworks, specifically regarding episode 29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82" s="27" t="inlineStr">
        <is>
          <t>2026-10-18</t>
        </is>
      </c>
      <c r="Y982" s="27" t="inlineStr">
        <is>
          <t>C</t>
        </is>
      </c>
      <c r="Z982" s="27" t="n">
        <v>73.3</v>
      </c>
      <c r="AA982" s="27" t="inlineStr">
        <is>
          <t>Qualified</t>
        </is>
      </c>
      <c r="AB982" s="27" t="inlineStr"/>
      <c r="AC982" s="28">
        <f>IF(A982="","",IF(COUNTIF($H$5:$H$1004,H982)&gt;1,"DUPLICATE","UNIQUE"))</f>
        <v/>
      </c>
      <c r="AD982" s="28">
        <f>IF(A982="","",IF(AA982="Rejected",IF(AB982&lt;&gt;"","REJECTED","ADD REASON"),IF(AND(B982&lt;&gt;"",C982&lt;&gt;"",D982&lt;&gt;"",E982&lt;&gt;"",F982&lt;&gt;"",G982&lt;&gt;"",H982&lt;&gt;"",J982&lt;&gt;"",K982&lt;&gt;"",N982&lt;&gt;"",O982&lt;&gt;"",P982&lt;&gt;"",Q982&lt;&gt;"",R982&lt;&gt;"",S982&lt;&gt;"",T982&lt;&gt;"",V982&lt;&gt;"",W982&lt;&gt;"",X982&lt;&gt;"",Y982&lt;&gt;""),"COMPLETE","MISSING FIELDS")))</f>
        <v/>
      </c>
    </row>
    <row r="983" ht="15" customHeight="1" s="15">
      <c r="A983" s="27" t="inlineStr">
        <is>
          <t>LEAD-0979</t>
        </is>
      </c>
      <c r="B983" s="27" t="inlineStr">
        <is>
          <t>Daphne Bradford</t>
        </is>
      </c>
      <c r="C983" s="27" t="inlineStr">
        <is>
          <t>Podcaster</t>
        </is>
      </c>
      <c r="D983" s="27" t="inlineStr">
        <is>
          <t>NL</t>
        </is>
      </c>
      <c r="E983" s="27" t="inlineStr">
        <is>
          <t>English</t>
        </is>
      </c>
      <c r="F983" s="27" t="inlineStr">
        <is>
          <t>Apple Podcasts</t>
        </is>
      </c>
      <c r="G983" s="27" t="inlineStr">
        <is>
          <t>https://podcasts.apple.com/nl/podcast/daphnebradford/id1000979</t>
        </is>
      </c>
      <c r="H983" s="27" t="inlineStr">
        <is>
          <t>AP-NL-1000979</t>
        </is>
      </c>
      <c r="I983" s="27" t="inlineStr">
        <is>
          <t>60,000</t>
        </is>
      </c>
      <c r="J983" s="27" t="inlineStr">
        <is>
          <t>2026-10-13</t>
        </is>
      </c>
      <c r="K983" s="27" t="inlineStr">
        <is>
          <t>https://daphnebradford.com/episodes/180</t>
        </is>
      </c>
      <c r="L983" s="27" t="n">
        <v>17</v>
      </c>
      <c r="M983" s="27" t="n">
        <v>23</v>
      </c>
      <c r="N983" s="27" t="inlineStr">
        <is>
          <t>Affiliate</t>
        </is>
      </c>
      <c r="O983" s="27" t="inlineStr">
        <is>
          <t>https://daphnebradford.com/resources</t>
        </is>
      </c>
      <c r="P983" s="27" t="inlineStr">
        <is>
          <t>Shorts Repurposing Bottleneck</t>
        </is>
      </c>
      <c r="Q983" s="27" t="inlineStr">
        <is>
          <t>https://daphnebradford.com/highlights</t>
        </is>
      </c>
      <c r="R983" s="27" t="inlineStr">
        <is>
          <t>Email</t>
        </is>
      </c>
      <c r="S983" s="27" t="inlineStr">
        <is>
          <t>hello@daphnebradford.com</t>
        </is>
      </c>
      <c r="T983" s="27" t="inlineStr">
        <is>
          <t>https://daphnebradford.com/work-with-me</t>
        </is>
      </c>
      <c r="U983" s="27" t="inlineStr">
        <is>
          <t>LinkedIn</t>
        </is>
      </c>
      <c r="V983" s="27" t="inlineStr">
        <is>
          <t>e-commerce &amp; digital brands frameworks, specifically regarding episode 30 on E-Commerce &amp; Digital Brands workflow optimization</t>
        </is>
      </c>
      <c r="W983" s="27" t="inlineStr">
        <is>
          <t>Hi Daphne, loved your recent piece on 'e-commerce &amp; digital brands frameworks, specifically regarding episode 30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83" s="27" t="inlineStr">
        <is>
          <t>2026-10-18</t>
        </is>
      </c>
      <c r="Y983" s="27" t="inlineStr">
        <is>
          <t>C</t>
        </is>
      </c>
      <c r="Z983" s="27" t="n">
        <v>73.3</v>
      </c>
      <c r="AA983" s="27" t="inlineStr">
        <is>
          <t>Qualified</t>
        </is>
      </c>
      <c r="AB983" s="27" t="inlineStr"/>
      <c r="AC983" s="28">
        <f>IF(A983="","",IF(COUNTIF($H$5:$H$1004,H983)&gt;1,"DUPLICATE","UNIQUE"))</f>
        <v/>
      </c>
      <c r="AD983" s="28">
        <f>IF(A983="","",IF(AA983="Rejected",IF(AB983&lt;&gt;"","REJECTED","ADD REASON"),IF(AND(B983&lt;&gt;"",C983&lt;&gt;"",D983&lt;&gt;"",E983&lt;&gt;"",F983&lt;&gt;"",G983&lt;&gt;"",H983&lt;&gt;"",J983&lt;&gt;"",K983&lt;&gt;"",N983&lt;&gt;"",O983&lt;&gt;"",P983&lt;&gt;"",Q983&lt;&gt;"",R983&lt;&gt;"",S983&lt;&gt;"",T983&lt;&gt;"",V983&lt;&gt;"",W983&lt;&gt;"",X983&lt;&gt;"",Y983&lt;&gt;""),"COMPLETE","MISSING FIELDS")))</f>
        <v/>
      </c>
    </row>
    <row r="984" ht="15" customHeight="1" s="15">
      <c r="A984" s="27" t="inlineStr">
        <is>
          <t>LEAD-0980</t>
        </is>
      </c>
      <c r="B984" s="27" t="inlineStr">
        <is>
          <t>Daphne Kensington</t>
        </is>
      </c>
      <c r="C984" s="27" t="inlineStr">
        <is>
          <t>YouTuber</t>
        </is>
      </c>
      <c r="D984" s="27" t="inlineStr">
        <is>
          <t>NL</t>
        </is>
      </c>
      <c r="E984" s="27" t="inlineStr">
        <is>
          <t>English</t>
        </is>
      </c>
      <c r="F984" s="27" t="inlineStr">
        <is>
          <t>YouTube</t>
        </is>
      </c>
      <c r="G984" s="27" t="inlineStr">
        <is>
          <t>https://www.youtube.com/@daphnekensington</t>
        </is>
      </c>
      <c r="H984" s="27" t="inlineStr">
        <is>
          <t>UCNL00980354217</t>
        </is>
      </c>
      <c r="I984" s="27" t="inlineStr">
        <is>
          <t>20,000</t>
        </is>
      </c>
      <c r="J984" s="27" t="inlineStr">
        <is>
          <t>2026-10-14</t>
        </is>
      </c>
      <c r="K984" s="27" t="inlineStr">
        <is>
          <t>https://www.youtube.com/watch?v=nl00980</t>
        </is>
      </c>
      <c r="L984" s="27" t="n">
        <v>8</v>
      </c>
      <c r="M984" s="27" t="n">
        <v>24</v>
      </c>
      <c r="N984" s="27" t="inlineStr">
        <is>
          <t>Course</t>
        </is>
      </c>
      <c r="O984" s="27" t="inlineStr">
        <is>
          <t>https://daphnekensington.com/academy</t>
        </is>
      </c>
      <c r="P984" s="27" t="inlineStr">
        <is>
          <t>Shorts Repurposing Bottleneck</t>
        </is>
      </c>
      <c r="Q984" s="27" t="inlineStr">
        <is>
          <t>https://daphnekensington.com/highlights</t>
        </is>
      </c>
      <c r="R984" s="27" t="inlineStr">
        <is>
          <t>Email</t>
        </is>
      </c>
      <c r="S984" s="27" t="inlineStr">
        <is>
          <t>contact@daphnekensington.com</t>
        </is>
      </c>
      <c r="T984" s="27" t="inlineStr">
        <is>
          <t>https://daphnekensington.com/contact</t>
        </is>
      </c>
      <c r="U984" s="27" t="inlineStr">
        <is>
          <t>LinkedIn</t>
        </is>
      </c>
      <c r="V984" s="27" t="inlineStr">
        <is>
          <t>tech &amp; ai frameworks, specifically regarding episode 31 on Tech &amp; AI workflow optimization</t>
        </is>
      </c>
      <c r="W984" s="27" t="inlineStr">
        <is>
          <t>Hi Daphne, loved your recent piece on 'tech &amp; ai frameworks, specifically regarding episode 31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84" s="27" t="inlineStr">
        <is>
          <t>2026-10-18</t>
        </is>
      </c>
      <c r="Y984" s="27" t="inlineStr">
        <is>
          <t>C</t>
        </is>
      </c>
      <c r="Z984" s="27" t="n">
        <v>73.2</v>
      </c>
      <c r="AA984" s="27" t="inlineStr">
        <is>
          <t>Qualified</t>
        </is>
      </c>
      <c r="AB984" s="27" t="inlineStr"/>
      <c r="AC984" s="28">
        <f>IF(A984="","",IF(COUNTIF($H$5:$H$1004,H984)&gt;1,"DUPLICATE","UNIQUE"))</f>
        <v/>
      </c>
      <c r="AD984" s="28">
        <f>IF(A984="","",IF(AA984="Rejected",IF(AB984&lt;&gt;"","REJECTED","ADD REASON"),IF(AND(B984&lt;&gt;"",C984&lt;&gt;"",D984&lt;&gt;"",E984&lt;&gt;"",F984&lt;&gt;"",G984&lt;&gt;"",H984&lt;&gt;"",J984&lt;&gt;"",K984&lt;&gt;"",N984&lt;&gt;"",O984&lt;&gt;"",P984&lt;&gt;"",Q984&lt;&gt;"",R984&lt;&gt;"",S984&lt;&gt;"",T984&lt;&gt;"",V984&lt;&gt;"",W984&lt;&gt;"",X984&lt;&gt;"",Y984&lt;&gt;""),"COMPLETE","MISSING FIELDS")))</f>
        <v/>
      </c>
    </row>
    <row r="985" ht="15" customHeight="1" s="15">
      <c r="A985" s="27" t="inlineStr">
        <is>
          <t>LEAD-0981</t>
        </is>
      </c>
      <c r="B985" s="27" t="inlineStr">
        <is>
          <t>Daphne Lancaster</t>
        </is>
      </c>
      <c r="C985" s="27" t="inlineStr">
        <is>
          <t>Podcaster</t>
        </is>
      </c>
      <c r="D985" s="27" t="inlineStr">
        <is>
          <t>NL</t>
        </is>
      </c>
      <c r="E985" s="27" t="inlineStr">
        <is>
          <t>English</t>
        </is>
      </c>
      <c r="F985" s="27" t="inlineStr">
        <is>
          <t>Apple Podcasts</t>
        </is>
      </c>
      <c r="G985" s="27" t="inlineStr">
        <is>
          <t>https://podcasts.apple.com/nl/podcast/daphnelancaster/id1000981</t>
        </is>
      </c>
      <c r="H985" s="27" t="inlineStr">
        <is>
          <t>AP-NL-1000981</t>
        </is>
      </c>
      <c r="I985" s="27" t="inlineStr">
        <is>
          <t>84,000</t>
        </is>
      </c>
      <c r="J985" s="27" t="inlineStr">
        <is>
          <t>2026-10-15</t>
        </is>
      </c>
      <c r="K985" s="27" t="inlineStr">
        <is>
          <t>https://daphnelancaster.com/episodes/182</t>
        </is>
      </c>
      <c r="L985" s="27" t="n">
        <v>9</v>
      </c>
      <c r="M985" s="27" t="n">
        <v>25</v>
      </c>
      <c r="N985" s="27" t="inlineStr">
        <is>
          <t>Sponsor</t>
        </is>
      </c>
      <c r="O985" s="27" t="inlineStr">
        <is>
          <t>https://daphnelancaster.com/partners</t>
        </is>
      </c>
      <c r="P985" s="27" t="inlineStr">
        <is>
          <t>Missing Video Captions &amp; Retention Clips</t>
        </is>
      </c>
      <c r="Q985" s="27" t="inlineStr">
        <is>
          <t>https://daphnelancaster.com/highlights</t>
        </is>
      </c>
      <c r="R985" s="27" t="inlineStr">
        <is>
          <t>LinkedIn</t>
        </is>
      </c>
      <c r="S985" s="27" t="inlineStr">
        <is>
          <t>https://linkedin.com/in/daphnelancaster</t>
        </is>
      </c>
      <c r="T985" s="27" t="inlineStr">
        <is>
          <t>https://daphnelancaster.com/about</t>
        </is>
      </c>
      <c r="U985" s="27" t="inlineStr">
        <is>
          <t>Email</t>
        </is>
      </c>
      <c r="V985" s="27" t="inlineStr">
        <is>
          <t>saas &amp; product growth frameworks, specifically regarding episode 32 on SaaS &amp; Product Growth workflow optimization</t>
        </is>
      </c>
      <c r="W985" s="27" t="inlineStr">
        <is>
          <t>Hi Daphne, loved your recent piece on 'saas &amp; product growth frameworks, specifically regarding episode 32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85" s="27" t="inlineStr">
        <is>
          <t>2026-10-18</t>
        </is>
      </c>
      <c r="Y985" s="27" t="inlineStr">
        <is>
          <t>C</t>
        </is>
      </c>
      <c r="Z985" s="27" t="n">
        <v>73.09999999999999</v>
      </c>
      <c r="AA985" s="27" t="inlineStr">
        <is>
          <t>Qualified</t>
        </is>
      </c>
      <c r="AB985" s="27" t="inlineStr"/>
      <c r="AC985" s="28">
        <f>IF(A985="","",IF(COUNTIF($H$5:$H$1004,H985)&gt;1,"DUPLICATE","UNIQUE"))</f>
        <v/>
      </c>
      <c r="AD985" s="28">
        <f>IF(A985="","",IF(AA985="Rejected",IF(AB985&lt;&gt;"","REJECTED","ADD REASON"),IF(AND(B985&lt;&gt;"",C985&lt;&gt;"",D985&lt;&gt;"",E985&lt;&gt;"",F985&lt;&gt;"",G985&lt;&gt;"",H985&lt;&gt;"",J985&lt;&gt;"",K985&lt;&gt;"",N985&lt;&gt;"",O985&lt;&gt;"",P985&lt;&gt;"",Q985&lt;&gt;"",R985&lt;&gt;"",S985&lt;&gt;"",T985&lt;&gt;"",V985&lt;&gt;"",W985&lt;&gt;"",X985&lt;&gt;"",Y985&lt;&gt;""),"COMPLETE","MISSING FIELDS")))</f>
        <v/>
      </c>
    </row>
    <row r="986" ht="15" customHeight="1" s="15">
      <c r="A986" s="27" t="inlineStr">
        <is>
          <t>LEAD-0982</t>
        </is>
      </c>
      <c r="B986" s="27" t="inlineStr">
        <is>
          <t>Daphne Montgomery</t>
        </is>
      </c>
      <c r="C986" s="27" t="inlineStr">
        <is>
          <t>Expert-Led Creator</t>
        </is>
      </c>
      <c r="D986" s="27" t="inlineStr">
        <is>
          <t>NL</t>
        </is>
      </c>
      <c r="E986" s="27" t="inlineStr">
        <is>
          <t>English</t>
        </is>
      </c>
      <c r="F986" s="27" t="inlineStr">
        <is>
          <t>YouTube</t>
        </is>
      </c>
      <c r="G986" s="27" t="inlineStr">
        <is>
          <t>https://www.youtube.com/@daphnemontgomery</t>
        </is>
      </c>
      <c r="H986" s="27" t="inlineStr">
        <is>
          <t>UCNL00982940251</t>
        </is>
      </c>
      <c r="I986" s="27" t="inlineStr">
        <is>
          <t>60,000</t>
        </is>
      </c>
      <c r="J986" s="27" t="inlineStr">
        <is>
          <t>2026-10-16</t>
        </is>
      </c>
      <c r="K986" s="27" t="inlineStr">
        <is>
          <t>https://www.youtube.com/watch?v=nl00982</t>
        </is>
      </c>
      <c r="L986" s="27" t="n">
        <v>10</v>
      </c>
      <c r="M986" s="27" t="n">
        <v>26</v>
      </c>
      <c r="N986" s="27" t="inlineStr">
        <is>
          <t>Membership</t>
        </is>
      </c>
      <c r="O986" s="27" t="inlineStr">
        <is>
          <t>https://daphnemontgomery.com/community</t>
        </is>
      </c>
      <c r="P986" s="27" t="inlineStr">
        <is>
          <t>Editing Backlog &amp; Team Workflow Overhead</t>
        </is>
      </c>
      <c r="Q986" s="27" t="inlineStr">
        <is>
          <t>https://daphnemontgomery.com/highlights</t>
        </is>
      </c>
      <c r="R986" s="27" t="inlineStr">
        <is>
          <t>X (Twitter)</t>
        </is>
      </c>
      <c r="S986" s="27" t="inlineStr">
        <is>
          <t>https://x.com/daphnemontgomery</t>
        </is>
      </c>
      <c r="T986" s="27" t="inlineStr">
        <is>
          <t>https://daphnemontgomery.com/links</t>
        </is>
      </c>
      <c r="U986" s="27" t="inlineStr">
        <is>
          <t>LinkedIn</t>
        </is>
      </c>
      <c r="V986" s="27" t="inlineStr">
        <is>
          <t>creator business &amp; monetization frameworks, specifically regarding episode 33 on Creator Business &amp; Monetization workflow optimization</t>
        </is>
      </c>
      <c r="W986" s="27" t="inlineStr">
        <is>
          <t>Hi Daphne, loved your recent piece on 'creator business &amp; monetization frameworks, specifically regarding episode 33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86" s="27" t="inlineStr">
        <is>
          <t>2026-10-18</t>
        </is>
      </c>
      <c r="Y986" s="27" t="inlineStr">
        <is>
          <t>C</t>
        </is>
      </c>
      <c r="Z986" s="27" t="n">
        <v>73.09999999999999</v>
      </c>
      <c r="AA986" s="27" t="inlineStr">
        <is>
          <t>Qualified</t>
        </is>
      </c>
      <c r="AB986" s="27" t="inlineStr"/>
      <c r="AC986" s="28">
        <f>IF(A986="","",IF(COUNTIF($H$5:$H$1004,H986)&gt;1,"DUPLICATE","UNIQUE"))</f>
        <v/>
      </c>
      <c r="AD986" s="28">
        <f>IF(A986="","",IF(AA986="Rejected",IF(AB986&lt;&gt;"","REJECTED","ADD REASON"),IF(AND(B986&lt;&gt;"",C986&lt;&gt;"",D986&lt;&gt;"",E986&lt;&gt;"",F986&lt;&gt;"",G986&lt;&gt;"",H986&lt;&gt;"",J986&lt;&gt;"",K986&lt;&gt;"",N986&lt;&gt;"",O986&lt;&gt;"",P986&lt;&gt;"",Q986&lt;&gt;"",R986&lt;&gt;"",S986&lt;&gt;"",T986&lt;&gt;"",V986&lt;&gt;"",W986&lt;&gt;"",X986&lt;&gt;"",Y986&lt;&gt;""),"COMPLETE","MISSING FIELDS")))</f>
        <v/>
      </c>
    </row>
    <row r="987" ht="15" customHeight="1" s="15">
      <c r="A987" s="27" t="inlineStr">
        <is>
          <t>LEAD-0983</t>
        </is>
      </c>
      <c r="B987" s="27" t="inlineStr">
        <is>
          <t>Daphne Barrington</t>
        </is>
      </c>
      <c r="C987" s="27" t="inlineStr">
        <is>
          <t>YouTuber</t>
        </is>
      </c>
      <c r="D987" s="27" t="inlineStr">
        <is>
          <t>NL</t>
        </is>
      </c>
      <c r="E987" s="27" t="inlineStr">
        <is>
          <t>English</t>
        </is>
      </c>
      <c r="F987" s="27" t="inlineStr">
        <is>
          <t>YouTube</t>
        </is>
      </c>
      <c r="G987" s="27" t="inlineStr">
        <is>
          <t>https://www.youtube.com/@daphnebarrington</t>
        </is>
      </c>
      <c r="H987" s="27" t="inlineStr">
        <is>
          <t>UCNL00983454941</t>
        </is>
      </c>
      <c r="I987" s="27" t="inlineStr">
        <is>
          <t>80,000</t>
        </is>
      </c>
      <c r="J987" s="27" t="inlineStr">
        <is>
          <t>2026-10-17</t>
        </is>
      </c>
      <c r="K987" s="27" t="inlineStr">
        <is>
          <t>https://www.youtube.com/watch?v=nl00983</t>
        </is>
      </c>
      <c r="L987" s="27" t="n">
        <v>11</v>
      </c>
      <c r="M987" s="27" t="n">
        <v>27</v>
      </c>
      <c r="N987" s="27" t="inlineStr">
        <is>
          <t>Product</t>
        </is>
      </c>
      <c r="O987" s="27" t="inlineStr">
        <is>
          <t>https://daphnebarrington.com/shop</t>
        </is>
      </c>
      <c r="P987" s="27" t="inlineStr">
        <is>
          <t>Shorts Repurposing Bottleneck</t>
        </is>
      </c>
      <c r="Q987" s="27" t="inlineStr">
        <is>
          <t>https://daphnebarrington.com/highlights</t>
        </is>
      </c>
      <c r="R987" s="27" t="inlineStr">
        <is>
          <t>Email</t>
        </is>
      </c>
      <c r="S987" s="27" t="inlineStr">
        <is>
          <t>hello@daphnebarrington.com</t>
        </is>
      </c>
      <c r="T987" s="27" t="inlineStr">
        <is>
          <t>https://daphnebarrington.com/work-with-me</t>
        </is>
      </c>
      <c r="U987" s="27" t="inlineStr">
        <is>
          <t>LinkedIn</t>
        </is>
      </c>
      <c r="V987" s="27" t="inlineStr">
        <is>
          <t>productivity &amp; personal systems frameworks, specifically regarding episode 34 on Productivity &amp; Personal Systems workflow optimization</t>
        </is>
      </c>
      <c r="W987" s="27" t="inlineStr">
        <is>
          <t>Hi Daphne, loved your recent piece on 'productivity &amp; personal systems frameworks, specifically regarding episode 34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87" s="27" t="inlineStr">
        <is>
          <t>2026-10-18</t>
        </is>
      </c>
      <c r="Y987" s="27" t="inlineStr">
        <is>
          <t>C</t>
        </is>
      </c>
      <c r="Z987" s="27" t="n">
        <v>73</v>
      </c>
      <c r="AA987" s="27" t="inlineStr">
        <is>
          <t>Qualified</t>
        </is>
      </c>
      <c r="AB987" s="27" t="inlineStr"/>
      <c r="AC987" s="28">
        <f>IF(A987="","",IF(COUNTIF($H$5:$H$1004,H987)&gt;1,"DUPLICATE","UNIQUE"))</f>
        <v/>
      </c>
      <c r="AD987" s="28">
        <f>IF(A987="","",IF(AA987="Rejected",IF(AB987&lt;&gt;"","REJECTED","ADD REASON"),IF(AND(B987&lt;&gt;"",C987&lt;&gt;"",D987&lt;&gt;"",E987&lt;&gt;"",F987&lt;&gt;"",G987&lt;&gt;"",H987&lt;&gt;"",J987&lt;&gt;"",K987&lt;&gt;"",N987&lt;&gt;"",O987&lt;&gt;"",P987&lt;&gt;"",Q987&lt;&gt;"",R987&lt;&gt;"",S987&lt;&gt;"",T987&lt;&gt;"",V987&lt;&gt;"",W987&lt;&gt;"",X987&lt;&gt;"",Y987&lt;&gt;""),"COMPLETE","MISSING FIELDS")))</f>
        <v/>
      </c>
    </row>
    <row r="988" ht="15" customHeight="1" s="15">
      <c r="A988" s="27" t="inlineStr">
        <is>
          <t>LEAD-0984</t>
        </is>
      </c>
      <c r="B988" s="27" t="inlineStr">
        <is>
          <t>Daphne Thornton</t>
        </is>
      </c>
      <c r="C988" s="27" t="inlineStr">
        <is>
          <t>Podcaster</t>
        </is>
      </c>
      <c r="D988" s="27" t="inlineStr">
        <is>
          <t>NL</t>
        </is>
      </c>
      <c r="E988" s="27" t="inlineStr">
        <is>
          <t>English</t>
        </is>
      </c>
      <c r="F988" s="27" t="inlineStr">
        <is>
          <t>Apple Podcasts</t>
        </is>
      </c>
      <c r="G988" s="27" t="inlineStr">
        <is>
          <t>https://podcasts.apple.com/nl/podcast/daphnethornton/id1000984</t>
        </is>
      </c>
      <c r="H988" s="27" t="inlineStr">
        <is>
          <t>AP-NL-1000984</t>
        </is>
      </c>
      <c r="I988" s="27" t="inlineStr">
        <is>
          <t>120,000</t>
        </is>
      </c>
      <c r="J988" s="27" t="inlineStr">
        <is>
          <t>2026-10-10</t>
        </is>
      </c>
      <c r="K988" s="27" t="inlineStr">
        <is>
          <t>https://daphnethornton.com/episodes/185</t>
        </is>
      </c>
      <c r="L988" s="27" t="n">
        <v>12</v>
      </c>
      <c r="M988" s="27" t="n">
        <v>28</v>
      </c>
      <c r="N988" s="27" t="inlineStr">
        <is>
          <t>Consulting</t>
        </is>
      </c>
      <c r="O988" s="27" t="inlineStr">
        <is>
          <t>https://daphnethornton.com/advisory</t>
        </is>
      </c>
      <c r="P988" s="27" t="inlineStr">
        <is>
          <t>Inconsistent Cross-Platform Publishing</t>
        </is>
      </c>
      <c r="Q988" s="27" t="inlineStr">
        <is>
          <t>https://daphnethornton.com/highlights</t>
        </is>
      </c>
      <c r="R988" s="27" t="inlineStr">
        <is>
          <t>Email</t>
        </is>
      </c>
      <c r="S988" s="27" t="inlineStr">
        <is>
          <t>contact@daphnethornton.com</t>
        </is>
      </c>
      <c r="T988" s="27" t="inlineStr">
        <is>
          <t>https://daphnethornton.com/contact</t>
        </is>
      </c>
      <c r="U988" s="27" t="inlineStr">
        <is>
          <t>LinkedIn</t>
        </is>
      </c>
      <c r="V988" s="27" t="inlineStr">
        <is>
          <t>leadership &amp; team ops frameworks, specifically regarding episode 35 on Leadership &amp; Team Ops workflow optimization</t>
        </is>
      </c>
      <c r="W988" s="27" t="inlineStr">
        <is>
          <t>Hi Daphne, loved your recent piece on 'leadership &amp; team ops frameworks, specifically regarding episode 35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88" s="27" t="inlineStr">
        <is>
          <t>2026-10-18</t>
        </is>
      </c>
      <c r="Y988" s="27" t="inlineStr">
        <is>
          <t>C</t>
        </is>
      </c>
      <c r="Z988" s="27" t="n">
        <v>73</v>
      </c>
      <c r="AA988" s="27" t="inlineStr">
        <is>
          <t>Qualified</t>
        </is>
      </c>
      <c r="AB988" s="27" t="inlineStr"/>
      <c r="AC988" s="28">
        <f>IF(A988="","",IF(COUNTIF($H$5:$H$1004,H988)&gt;1,"DUPLICATE","UNIQUE"))</f>
        <v/>
      </c>
      <c r="AD988" s="28">
        <f>IF(A988="","",IF(AA988="Rejected",IF(AB988&lt;&gt;"","REJECTED","ADD REASON"),IF(AND(B988&lt;&gt;"",C988&lt;&gt;"",D988&lt;&gt;"",E988&lt;&gt;"",F988&lt;&gt;"",G988&lt;&gt;"",H988&lt;&gt;"",J988&lt;&gt;"",K988&lt;&gt;"",N988&lt;&gt;"",O988&lt;&gt;"",P988&lt;&gt;"",Q988&lt;&gt;"",R988&lt;&gt;"",S988&lt;&gt;"",T988&lt;&gt;"",V988&lt;&gt;"",W988&lt;&gt;"",X988&lt;&gt;"",Y988&lt;&gt;""),"COMPLETE","MISSING FIELDS")))</f>
        <v/>
      </c>
    </row>
    <row r="989" ht="15" customHeight="1" s="15">
      <c r="A989" s="27" t="inlineStr">
        <is>
          <t>LEAD-0985</t>
        </is>
      </c>
      <c r="B989" s="27" t="inlineStr">
        <is>
          <t>Daphne Wellington</t>
        </is>
      </c>
      <c r="C989" s="27" t="inlineStr">
        <is>
          <t>Expert-Led Creator</t>
        </is>
      </c>
      <c r="D989" s="27" t="inlineStr">
        <is>
          <t>NL</t>
        </is>
      </c>
      <c r="E989" s="27" t="inlineStr">
        <is>
          <t>English</t>
        </is>
      </c>
      <c r="F989" s="27" t="inlineStr">
        <is>
          <t>LinkedIn</t>
        </is>
      </c>
      <c r="G989" s="27" t="inlineStr">
        <is>
          <t>https://www.linkedin.com/in/daphnewellington</t>
        </is>
      </c>
      <c r="H989" s="27" t="inlineStr">
        <is>
          <t>LI-daphnewellington-0985</t>
        </is>
      </c>
      <c r="I989" s="27" t="inlineStr">
        <is>
          <t>156,000</t>
        </is>
      </c>
      <c r="J989" s="27" t="inlineStr">
        <is>
          <t>2026-10-11</t>
        </is>
      </c>
      <c r="K989" s="27" t="inlineStr">
        <is>
          <t>https://daphnewellington.com/posts/86</t>
        </is>
      </c>
      <c r="L989" s="27" t="n">
        <v>13</v>
      </c>
      <c r="M989" s="27" t="n">
        <v>29</v>
      </c>
      <c r="N989" s="27" t="inlineStr">
        <is>
          <t>Newsletter Subscription</t>
        </is>
      </c>
      <c r="O989" s="27" t="inlineStr">
        <is>
          <t>https://daphnewellington.com/subscribe</t>
        </is>
      </c>
      <c r="P989" s="27" t="inlineStr">
        <is>
          <t>Editing Backlog &amp; Team Workflow Overhead</t>
        </is>
      </c>
      <c r="Q989" s="27" t="inlineStr">
        <is>
          <t>https://daphnewellington.com/highlights</t>
        </is>
      </c>
      <c r="R989" s="27" t="inlineStr">
        <is>
          <t>LinkedIn</t>
        </is>
      </c>
      <c r="S989" s="27" t="inlineStr">
        <is>
          <t>https://linkedin.com/in/daphnewellington</t>
        </is>
      </c>
      <c r="T989" s="27" t="inlineStr">
        <is>
          <t>https://daphnewellington.com/about</t>
        </is>
      </c>
      <c r="U989" s="27" t="inlineStr">
        <is>
          <t>Email</t>
        </is>
      </c>
      <c r="V989" s="27" t="inlineStr">
        <is>
          <t>b2b marketing &amp; sales frameworks, specifically regarding episode 36 on B2B Marketing &amp; Sales workflow optimization</t>
        </is>
      </c>
      <c r="W989" s="27" t="inlineStr">
        <is>
          <t>Hi Daphne, loved your recent piece on 'b2b marketing &amp; sales frameworks, specifically regarding episode 36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89" s="27" t="inlineStr">
        <is>
          <t>2026-10-18</t>
        </is>
      </c>
      <c r="Y989" s="27" t="inlineStr">
        <is>
          <t>C</t>
        </is>
      </c>
      <c r="Z989" s="27" t="n">
        <v>72.90000000000001</v>
      </c>
      <c r="AA989" s="27" t="inlineStr">
        <is>
          <t>Qualified</t>
        </is>
      </c>
      <c r="AB989" s="27" t="inlineStr"/>
      <c r="AC989" s="28">
        <f>IF(A989="","",IF(COUNTIF($H$5:$H$1004,H989)&gt;1,"DUPLICATE","UNIQUE"))</f>
        <v/>
      </c>
      <c r="AD989" s="28">
        <f>IF(A989="","",IF(AA989="Rejected",IF(AB989&lt;&gt;"","REJECTED","ADD REASON"),IF(AND(B989&lt;&gt;"",C989&lt;&gt;"",D989&lt;&gt;"",E989&lt;&gt;"",F989&lt;&gt;"",G989&lt;&gt;"",H989&lt;&gt;"",J989&lt;&gt;"",K989&lt;&gt;"",N989&lt;&gt;"",O989&lt;&gt;"",P989&lt;&gt;"",Q989&lt;&gt;"",R989&lt;&gt;"",S989&lt;&gt;"",T989&lt;&gt;"",V989&lt;&gt;"",W989&lt;&gt;"",X989&lt;&gt;"",Y989&lt;&gt;""),"COMPLETE","MISSING FIELDS")))</f>
        <v/>
      </c>
    </row>
    <row r="990" ht="15" customHeight="1" s="15">
      <c r="A990" s="27" t="inlineStr">
        <is>
          <t>LEAD-0986</t>
        </is>
      </c>
      <c r="B990" s="27" t="inlineStr">
        <is>
          <t>Elena Ashford</t>
        </is>
      </c>
      <c r="C990" s="27" t="inlineStr">
        <is>
          <t>YouTuber</t>
        </is>
      </c>
      <c r="D990" s="27" t="inlineStr">
        <is>
          <t>NL</t>
        </is>
      </c>
      <c r="E990" s="27" t="inlineStr">
        <is>
          <t>English</t>
        </is>
      </c>
      <c r="F990" s="27" t="inlineStr">
        <is>
          <t>YouTube</t>
        </is>
      </c>
      <c r="G990" s="27" t="inlineStr">
        <is>
          <t>https://www.youtube.com/@elenaashford</t>
        </is>
      </c>
      <c r="H990" s="27" t="inlineStr">
        <is>
          <t>UCNL00986960391</t>
        </is>
      </c>
      <c r="I990" s="27" t="inlineStr">
        <is>
          <t>140,000</t>
        </is>
      </c>
      <c r="J990" s="27" t="inlineStr">
        <is>
          <t>2026-10-12</t>
        </is>
      </c>
      <c r="K990" s="27" t="inlineStr">
        <is>
          <t>https://www.youtube.com/watch?v=nl00986</t>
        </is>
      </c>
      <c r="L990" s="27" t="n">
        <v>14</v>
      </c>
      <c r="M990" s="27" t="n">
        <v>30</v>
      </c>
      <c r="N990" s="27" t="inlineStr">
        <is>
          <t>Affiliate</t>
        </is>
      </c>
      <c r="O990" s="27" t="inlineStr">
        <is>
          <t>https://elenaashford.com/resources</t>
        </is>
      </c>
      <c r="P990" s="27" t="inlineStr">
        <is>
          <t>Multilingual Audio Dubbing</t>
        </is>
      </c>
      <c r="Q990" s="27" t="inlineStr">
        <is>
          <t>https://elenaashford.com/highlights</t>
        </is>
      </c>
      <c r="R990" s="27" t="inlineStr">
        <is>
          <t>X (Twitter)</t>
        </is>
      </c>
      <c r="S990" s="27" t="inlineStr">
        <is>
          <t>https://x.com/elenaashford</t>
        </is>
      </c>
      <c r="T990" s="27" t="inlineStr">
        <is>
          <t>https://elenaashford.com/links</t>
        </is>
      </c>
      <c r="U990" s="27" t="inlineStr">
        <is>
          <t>LinkedIn</t>
        </is>
      </c>
      <c r="V990" s="27" t="inlineStr">
        <is>
          <t>finance &amp; wealth engineering frameworks, specifically regarding episode 37 on Finance &amp; Wealth Engineering workflow optimization</t>
        </is>
      </c>
      <c r="W990" s="27" t="inlineStr">
        <is>
          <t>Hi Elena, loved your recent piece on 'finance &amp; wealth engineering frameworks, specifically regarding episode 37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90" s="27" t="inlineStr">
        <is>
          <t>2026-10-18</t>
        </is>
      </c>
      <c r="Y990" s="27" t="inlineStr">
        <is>
          <t>C</t>
        </is>
      </c>
      <c r="Z990" s="27" t="n">
        <v>72.8</v>
      </c>
      <c r="AA990" s="27" t="inlineStr">
        <is>
          <t>Qualified</t>
        </is>
      </c>
      <c r="AB990" s="27" t="inlineStr"/>
      <c r="AC990" s="28">
        <f>IF(A990="","",IF(COUNTIF($H$5:$H$1004,H990)&gt;1,"DUPLICATE","UNIQUE"))</f>
        <v/>
      </c>
      <c r="AD990" s="28">
        <f>IF(A990="","",IF(AA990="Rejected",IF(AB990&lt;&gt;"","REJECTED","ADD REASON"),IF(AND(B990&lt;&gt;"",C990&lt;&gt;"",D990&lt;&gt;"",E990&lt;&gt;"",F990&lt;&gt;"",G990&lt;&gt;"",H990&lt;&gt;"",J990&lt;&gt;"",K990&lt;&gt;"",N990&lt;&gt;"",O990&lt;&gt;"",P990&lt;&gt;"",Q990&lt;&gt;"",R990&lt;&gt;"",S990&lt;&gt;"",T990&lt;&gt;"",V990&lt;&gt;"",W990&lt;&gt;"",X990&lt;&gt;"",Y990&lt;&gt;""),"COMPLETE","MISSING FIELDS")))</f>
        <v/>
      </c>
    </row>
    <row r="991" ht="15" customHeight="1" s="15">
      <c r="A991" s="27" t="inlineStr">
        <is>
          <t>LEAD-0987</t>
        </is>
      </c>
      <c r="B991" s="27" t="inlineStr">
        <is>
          <t>Elena Bancroft</t>
        </is>
      </c>
      <c r="C991" s="27" t="inlineStr">
        <is>
          <t>Podcaster</t>
        </is>
      </c>
      <c r="D991" s="27" t="inlineStr">
        <is>
          <t>NL</t>
        </is>
      </c>
      <c r="E991" s="27" t="inlineStr">
        <is>
          <t>English</t>
        </is>
      </c>
      <c r="F991" s="27" t="inlineStr">
        <is>
          <t>Apple Podcasts</t>
        </is>
      </c>
      <c r="G991" s="27" t="inlineStr">
        <is>
          <t>https://podcasts.apple.com/nl/podcast/elenabancroft/id1000987</t>
        </is>
      </c>
      <c r="H991" s="27" t="inlineStr">
        <is>
          <t>AP-NL-1000987</t>
        </is>
      </c>
      <c r="I991" s="27" t="inlineStr">
        <is>
          <t>156,000</t>
        </is>
      </c>
      <c r="J991" s="27" t="inlineStr">
        <is>
          <t>2026-10-13</t>
        </is>
      </c>
      <c r="K991" s="27" t="inlineStr">
        <is>
          <t>https://elenabancroft.com/episodes/188</t>
        </is>
      </c>
      <c r="L991" s="27" t="n">
        <v>15</v>
      </c>
      <c r="M991" s="27" t="n">
        <v>31</v>
      </c>
      <c r="N991" s="27" t="inlineStr">
        <is>
          <t>Course</t>
        </is>
      </c>
      <c r="O991" s="27" t="inlineStr">
        <is>
          <t>https://elenabancroft.com/academy</t>
        </is>
      </c>
      <c r="P991" s="27" t="inlineStr">
        <is>
          <t>Multilingual Audio Dubbing</t>
        </is>
      </c>
      <c r="Q991" s="27" t="inlineStr">
        <is>
          <t>https://elenabancroft.com/highlights</t>
        </is>
      </c>
      <c r="R991" s="27" t="inlineStr">
        <is>
          <t>Email</t>
        </is>
      </c>
      <c r="S991" s="27" t="inlineStr">
        <is>
          <t>hello@elenabancroft.com</t>
        </is>
      </c>
      <c r="T991" s="27" t="inlineStr">
        <is>
          <t>https://elenabancroft.com/work-with-me</t>
        </is>
      </c>
      <c r="U991" s="27" t="inlineStr">
        <is>
          <t>LinkedIn</t>
        </is>
      </c>
      <c r="V991" s="27" t="inlineStr">
        <is>
          <t>health &amp; longevity science frameworks, specifically regarding episode 38 on Health &amp; Longevity Science workflow optimization</t>
        </is>
      </c>
      <c r="W991" s="27" t="inlineStr">
        <is>
          <t>Hi Elena, loved your recent piece on 'health &amp; longevity science frameworks, specifically regarding episode 38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91" s="27" t="inlineStr">
        <is>
          <t>2026-10-18</t>
        </is>
      </c>
      <c r="Y991" s="27" t="inlineStr">
        <is>
          <t>C</t>
        </is>
      </c>
      <c r="Z991" s="27" t="n">
        <v>72.8</v>
      </c>
      <c r="AA991" s="27" t="inlineStr">
        <is>
          <t>Qualified</t>
        </is>
      </c>
      <c r="AB991" s="27" t="inlineStr"/>
      <c r="AC991" s="28">
        <f>IF(A991="","",IF(COUNTIF($H$5:$H$1004,H991)&gt;1,"DUPLICATE","UNIQUE"))</f>
        <v/>
      </c>
      <c r="AD991" s="28">
        <f>IF(A991="","",IF(AA991="Rejected",IF(AB991&lt;&gt;"","REJECTED","ADD REASON"),IF(AND(B991&lt;&gt;"",C991&lt;&gt;"",D991&lt;&gt;"",E991&lt;&gt;"",F991&lt;&gt;"",G991&lt;&gt;"",H991&lt;&gt;"",J991&lt;&gt;"",K991&lt;&gt;"",N991&lt;&gt;"",O991&lt;&gt;"",P991&lt;&gt;"",Q991&lt;&gt;"",R991&lt;&gt;"",S991&lt;&gt;"",T991&lt;&gt;"",V991&lt;&gt;"",W991&lt;&gt;"",X991&lt;&gt;"",Y991&lt;&gt;""),"COMPLETE","MISSING FIELDS")))</f>
        <v/>
      </c>
    </row>
    <row r="992" ht="15" customHeight="1" s="15">
      <c r="A992" s="27" t="inlineStr">
        <is>
          <t>LEAD-0988</t>
        </is>
      </c>
      <c r="B992" s="27" t="inlineStr">
        <is>
          <t>Elena Calloway</t>
        </is>
      </c>
      <c r="C992" s="27" t="inlineStr">
        <is>
          <t>YouTuber</t>
        </is>
      </c>
      <c r="D992" s="27" t="inlineStr">
        <is>
          <t>NL</t>
        </is>
      </c>
      <c r="E992" s="27" t="inlineStr">
        <is>
          <t>English</t>
        </is>
      </c>
      <c r="F992" s="27" t="inlineStr">
        <is>
          <t>YouTube</t>
        </is>
      </c>
      <c r="G992" s="27" t="inlineStr">
        <is>
          <t>https://www.youtube.com/@elenacalloway</t>
        </is>
      </c>
      <c r="H992" s="27" t="inlineStr">
        <is>
          <t>UCNL00988300751</t>
        </is>
      </c>
      <c r="I992" s="27" t="inlineStr">
        <is>
          <t>180,000</t>
        </is>
      </c>
      <c r="J992" s="27" t="inlineStr">
        <is>
          <t>2026-10-14</t>
        </is>
      </c>
      <c r="K992" s="27" t="inlineStr">
        <is>
          <t>https://www.youtube.com/watch?v=nl00988</t>
        </is>
      </c>
      <c r="L992" s="27" t="n">
        <v>16</v>
      </c>
      <c r="M992" s="27" t="n">
        <v>32</v>
      </c>
      <c r="N992" s="27" t="inlineStr">
        <is>
          <t>Sponsor</t>
        </is>
      </c>
      <c r="O992" s="27" t="inlineStr">
        <is>
          <t>https://elenacalloway.com/partners</t>
        </is>
      </c>
      <c r="P992" s="27" t="inlineStr">
        <is>
          <t>Missing Video Captions &amp; Retention Clips</t>
        </is>
      </c>
      <c r="Q992" s="27" t="inlineStr">
        <is>
          <t>https://elenacalloway.com/highlights</t>
        </is>
      </c>
      <c r="R992" s="27" t="inlineStr">
        <is>
          <t>Email</t>
        </is>
      </c>
      <c r="S992" s="27" t="inlineStr">
        <is>
          <t>contact@elenacalloway.com</t>
        </is>
      </c>
      <c r="T992" s="27" t="inlineStr">
        <is>
          <t>https://elenacalloway.com/contact</t>
        </is>
      </c>
      <c r="U992" s="27" t="inlineStr">
        <is>
          <t>LinkedIn</t>
        </is>
      </c>
      <c r="V992" s="27" t="inlineStr">
        <is>
          <t>education &amp; applied coding frameworks, specifically regarding episode 39 on Education &amp; Applied Coding workflow optimization</t>
        </is>
      </c>
      <c r="W992" s="27" t="inlineStr">
        <is>
          <t>Hi Elena, loved your recent piece on 'education &amp; applied coding frameworks, specifically regarding episode 39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92" s="27" t="inlineStr">
        <is>
          <t>2026-10-18</t>
        </is>
      </c>
      <c r="Y992" s="27" t="inlineStr">
        <is>
          <t>C</t>
        </is>
      </c>
      <c r="Z992" s="27" t="n">
        <v>72.7</v>
      </c>
      <c r="AA992" s="27" t="inlineStr">
        <is>
          <t>Qualified</t>
        </is>
      </c>
      <c r="AB992" s="27" t="inlineStr"/>
      <c r="AC992" s="28">
        <f>IF(A992="","",IF(COUNTIF($H$5:$H$1004,H992)&gt;1,"DUPLICATE","UNIQUE"))</f>
        <v/>
      </c>
      <c r="AD992" s="28">
        <f>IF(A992="","",IF(AA992="Rejected",IF(AB992&lt;&gt;"","REJECTED","ADD REASON"),IF(AND(B992&lt;&gt;"",C992&lt;&gt;"",D992&lt;&gt;"",E992&lt;&gt;"",F992&lt;&gt;"",G992&lt;&gt;"",H992&lt;&gt;"",J992&lt;&gt;"",K992&lt;&gt;"",N992&lt;&gt;"",O992&lt;&gt;"",P992&lt;&gt;"",Q992&lt;&gt;"",R992&lt;&gt;"",S992&lt;&gt;"",T992&lt;&gt;"",V992&lt;&gt;"",W992&lt;&gt;"",X992&lt;&gt;"",Y992&lt;&gt;""),"COMPLETE","MISSING FIELDS")))</f>
        <v/>
      </c>
    </row>
    <row r="993" ht="15" customHeight="1" s="15">
      <c r="A993" s="27" t="inlineStr">
        <is>
          <t>LEAD-0989</t>
        </is>
      </c>
      <c r="B993" s="27" t="inlineStr">
        <is>
          <t>Elena Delaney</t>
        </is>
      </c>
      <c r="C993" s="27" t="inlineStr">
        <is>
          <t>Podcaster</t>
        </is>
      </c>
      <c r="D993" s="27" t="inlineStr">
        <is>
          <t>NL</t>
        </is>
      </c>
      <c r="E993" s="27" t="inlineStr">
        <is>
          <t>English</t>
        </is>
      </c>
      <c r="F993" s="27" t="inlineStr">
        <is>
          <t>Apple Podcasts</t>
        </is>
      </c>
      <c r="G993" s="27" t="inlineStr">
        <is>
          <t>https://podcasts.apple.com/nl/podcast/elenadelaney/id1000989</t>
        </is>
      </c>
      <c r="H993" s="27" t="inlineStr">
        <is>
          <t>AP-NL-1000989</t>
        </is>
      </c>
      <c r="I993" s="27" t="inlineStr">
        <is>
          <t>180,000</t>
        </is>
      </c>
      <c r="J993" s="27" t="inlineStr">
        <is>
          <t>2026-10-15</t>
        </is>
      </c>
      <c r="K993" s="27" t="inlineStr">
        <is>
          <t>https://elenadelaney.com/episodes/190</t>
        </is>
      </c>
      <c r="L993" s="27" t="n">
        <v>17</v>
      </c>
      <c r="M993" s="27" t="n">
        <v>33</v>
      </c>
      <c r="N993" s="27" t="inlineStr">
        <is>
          <t>Membership</t>
        </is>
      </c>
      <c r="O993" s="27" t="inlineStr">
        <is>
          <t>https://elenadelaney.com/community</t>
        </is>
      </c>
      <c r="P993" s="27" t="inlineStr">
        <is>
          <t>Shorts Repurposing Bottleneck</t>
        </is>
      </c>
      <c r="Q993" s="27" t="inlineStr">
        <is>
          <t>https://elenadelaney.com/highlights</t>
        </is>
      </c>
      <c r="R993" s="27" t="inlineStr">
        <is>
          <t>LinkedIn</t>
        </is>
      </c>
      <c r="S993" s="27" t="inlineStr">
        <is>
          <t>https://linkedin.com/in/elenadelaney</t>
        </is>
      </c>
      <c r="T993" s="27" t="inlineStr">
        <is>
          <t>https://elenadelaney.com/about</t>
        </is>
      </c>
      <c r="U993" s="27" t="inlineStr">
        <is>
          <t>Email</t>
        </is>
      </c>
      <c r="V993" s="27" t="inlineStr">
        <is>
          <t>e-commerce &amp; digital brands frameworks, specifically regarding episode 40 on E-Commerce &amp; Digital Brands workflow optimization</t>
        </is>
      </c>
      <c r="W993" s="27" t="inlineStr">
        <is>
          <t>Hi Elena, loved your recent piece on 'e-commerce &amp; digital brands frameworks, specifically regarding episode 40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93" s="27" t="inlineStr">
        <is>
          <t>2026-10-18</t>
        </is>
      </c>
      <c r="Y993" s="27" t="inlineStr">
        <is>
          <t>C</t>
        </is>
      </c>
      <c r="Z993" s="27" t="n">
        <v>72.7</v>
      </c>
      <c r="AA993" s="27" t="inlineStr">
        <is>
          <t>Qualified</t>
        </is>
      </c>
      <c r="AB993" s="27" t="inlineStr"/>
      <c r="AC993" s="28">
        <f>IF(A993="","",IF(COUNTIF($H$5:$H$1004,H993)&gt;1,"DUPLICATE","UNIQUE"))</f>
        <v/>
      </c>
      <c r="AD993" s="28">
        <f>IF(A993="","",IF(AA993="Rejected",IF(AB993&lt;&gt;"","REJECTED","ADD REASON"),IF(AND(B993&lt;&gt;"",C993&lt;&gt;"",D993&lt;&gt;"",E993&lt;&gt;"",F993&lt;&gt;"",G993&lt;&gt;"",H993&lt;&gt;"",J993&lt;&gt;"",K993&lt;&gt;"",N993&lt;&gt;"",O993&lt;&gt;"",P993&lt;&gt;"",Q993&lt;&gt;"",R993&lt;&gt;"",S993&lt;&gt;"",T993&lt;&gt;"",V993&lt;&gt;"",W993&lt;&gt;"",X993&lt;&gt;"",Y993&lt;&gt;""),"COMPLETE","MISSING FIELDS")))</f>
        <v/>
      </c>
    </row>
    <row r="994" ht="15" customHeight="1" s="15">
      <c r="A994" s="27" t="inlineStr">
        <is>
          <t>LEAD-0990</t>
        </is>
      </c>
      <c r="B994" s="27" t="inlineStr">
        <is>
          <t>Elena Eastwood</t>
        </is>
      </c>
      <c r="C994" s="27" t="inlineStr">
        <is>
          <t>YouTuber</t>
        </is>
      </c>
      <c r="D994" s="27" t="inlineStr">
        <is>
          <t>NL</t>
        </is>
      </c>
      <c r="E994" s="27" t="inlineStr">
        <is>
          <t>English</t>
        </is>
      </c>
      <c r="F994" s="27" t="inlineStr">
        <is>
          <t>YouTube</t>
        </is>
      </c>
      <c r="G994" s="27" t="inlineStr">
        <is>
          <t>https://www.youtube.com/@elenaeastwood</t>
        </is>
      </c>
      <c r="H994" s="27" t="inlineStr">
        <is>
          <t>UCNL00990022813</t>
        </is>
      </c>
      <c r="I994" s="27" t="inlineStr">
        <is>
          <t>220,000</t>
        </is>
      </c>
      <c r="J994" s="27" t="inlineStr">
        <is>
          <t>2026-10-16</t>
        </is>
      </c>
      <c r="K994" s="27" t="inlineStr">
        <is>
          <t>https://www.youtube.com/watch?v=nl00990</t>
        </is>
      </c>
      <c r="L994" s="27" t="n">
        <v>8</v>
      </c>
      <c r="M994" s="27" t="n">
        <v>16</v>
      </c>
      <c r="N994" s="27" t="inlineStr">
        <is>
          <t>Product</t>
        </is>
      </c>
      <c r="O994" s="27" t="inlineStr">
        <is>
          <t>https://elenaeastwood.com/shop</t>
        </is>
      </c>
      <c r="P994" s="27" t="inlineStr">
        <is>
          <t>Shorts Repurposing Bottleneck</t>
        </is>
      </c>
      <c r="Q994" s="27" t="inlineStr">
        <is>
          <t>https://elenaeastwood.com/highlights</t>
        </is>
      </c>
      <c r="R994" s="27" t="inlineStr">
        <is>
          <t>X (Twitter)</t>
        </is>
      </c>
      <c r="S994" s="27" t="inlineStr">
        <is>
          <t>https://x.com/elenaeastwood</t>
        </is>
      </c>
      <c r="T994" s="27" t="inlineStr">
        <is>
          <t>https://elenaeastwood.com/links</t>
        </is>
      </c>
      <c r="U994" s="27" t="inlineStr">
        <is>
          <t>LinkedIn</t>
        </is>
      </c>
      <c r="V994" s="27" t="inlineStr">
        <is>
          <t>tech &amp; ai frameworks, specifically regarding episode 41 on Tech &amp; AI workflow optimization</t>
        </is>
      </c>
      <c r="W994" s="27" t="inlineStr">
        <is>
          <t>Hi Elena, loved your recent piece on 'tech &amp; ai frameworks, specifically regarding episode 41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94" s="27" t="inlineStr">
        <is>
          <t>2026-10-18</t>
        </is>
      </c>
      <c r="Y994" s="27" t="inlineStr">
        <is>
          <t>C</t>
        </is>
      </c>
      <c r="Z994" s="27" t="n">
        <v>72.59999999999999</v>
      </c>
      <c r="AA994" s="27" t="inlineStr">
        <is>
          <t>Qualified</t>
        </is>
      </c>
      <c r="AB994" s="27" t="inlineStr"/>
      <c r="AC994" s="28">
        <f>IF(A994="","",IF(COUNTIF($H$5:$H$1004,H994)&gt;1,"DUPLICATE","UNIQUE"))</f>
        <v/>
      </c>
      <c r="AD994" s="28">
        <f>IF(A994="","",IF(AA994="Rejected",IF(AB994&lt;&gt;"","REJECTED","ADD REASON"),IF(AND(B994&lt;&gt;"",C994&lt;&gt;"",D994&lt;&gt;"",E994&lt;&gt;"",F994&lt;&gt;"",G994&lt;&gt;"",H994&lt;&gt;"",J994&lt;&gt;"",K994&lt;&gt;"",N994&lt;&gt;"",O994&lt;&gt;"",P994&lt;&gt;"",Q994&lt;&gt;"",R994&lt;&gt;"",S994&lt;&gt;"",T994&lt;&gt;"",V994&lt;&gt;"",W994&lt;&gt;"",X994&lt;&gt;"",Y994&lt;&gt;""),"COMPLETE","MISSING FIELDS")))</f>
        <v/>
      </c>
    </row>
    <row r="995" ht="15" customHeight="1" s="15">
      <c r="A995" s="27" t="inlineStr">
        <is>
          <t>LEAD-0991</t>
        </is>
      </c>
      <c r="B995" s="27" t="inlineStr">
        <is>
          <t>Elena Fairchild</t>
        </is>
      </c>
      <c r="C995" s="27" t="inlineStr">
        <is>
          <t>Podcaster</t>
        </is>
      </c>
      <c r="D995" s="27" t="inlineStr">
        <is>
          <t>NL</t>
        </is>
      </c>
      <c r="E995" s="27" t="inlineStr">
        <is>
          <t>English</t>
        </is>
      </c>
      <c r="F995" s="27" t="inlineStr">
        <is>
          <t>Apple Podcasts</t>
        </is>
      </c>
      <c r="G995" s="27" t="inlineStr">
        <is>
          <t>https://podcasts.apple.com/nl/podcast/elenafairchild/id1000991</t>
        </is>
      </c>
      <c r="H995" s="27" t="inlineStr">
        <is>
          <t>AP-NL-1000991</t>
        </is>
      </c>
      <c r="I995" s="27" t="inlineStr">
        <is>
          <t>204,000</t>
        </is>
      </c>
      <c r="J995" s="27" t="inlineStr">
        <is>
          <t>2026-10-17</t>
        </is>
      </c>
      <c r="K995" s="27" t="inlineStr">
        <is>
          <t>https://elenafairchild.com/episodes/192</t>
        </is>
      </c>
      <c r="L995" s="27" t="n">
        <v>9</v>
      </c>
      <c r="M995" s="27" t="n">
        <v>17</v>
      </c>
      <c r="N995" s="27" t="inlineStr">
        <is>
          <t>Consulting</t>
        </is>
      </c>
      <c r="O995" s="27" t="inlineStr">
        <is>
          <t>https://elenafairchild.com/advisory</t>
        </is>
      </c>
      <c r="P995" s="27" t="inlineStr">
        <is>
          <t>Missing Video Captions &amp; Retention Clips</t>
        </is>
      </c>
      <c r="Q995" s="27" t="inlineStr">
        <is>
          <t>https://elenafairchild.com/highlights</t>
        </is>
      </c>
      <c r="R995" s="27" t="inlineStr">
        <is>
          <t>Email</t>
        </is>
      </c>
      <c r="S995" s="27" t="inlineStr">
        <is>
          <t>hello@elenafairchild.com</t>
        </is>
      </c>
      <c r="T995" s="27" t="inlineStr">
        <is>
          <t>https://elenafairchild.com/work-with-me</t>
        </is>
      </c>
      <c r="U995" s="27" t="inlineStr">
        <is>
          <t>LinkedIn</t>
        </is>
      </c>
      <c r="V995" s="27" t="inlineStr">
        <is>
          <t>saas &amp; product growth frameworks, specifically regarding episode 42 on SaaS &amp; Product Growth workflow optimization</t>
        </is>
      </c>
      <c r="W995" s="27" t="inlineStr">
        <is>
          <t>Hi Elena, loved your recent piece on 'saas &amp; product growth frameworks, specifically regarding episode 42 on SaaS &amp; Product Growth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95" s="27" t="inlineStr">
        <is>
          <t>2026-10-18</t>
        </is>
      </c>
      <c r="Y995" s="27" t="inlineStr">
        <is>
          <t>C</t>
        </is>
      </c>
      <c r="Z995" s="27" t="n">
        <v>72.5</v>
      </c>
      <c r="AA995" s="27" t="inlineStr">
        <is>
          <t>Qualified</t>
        </is>
      </c>
      <c r="AB995" s="27" t="inlineStr"/>
      <c r="AC995" s="28">
        <f>IF(A995="","",IF(COUNTIF($H$5:$H$1004,H995)&gt;1,"DUPLICATE","UNIQUE"))</f>
        <v/>
      </c>
      <c r="AD995" s="28">
        <f>IF(A995="","",IF(AA995="Rejected",IF(AB995&lt;&gt;"","REJECTED","ADD REASON"),IF(AND(B995&lt;&gt;"",C995&lt;&gt;"",D995&lt;&gt;"",E995&lt;&gt;"",F995&lt;&gt;"",G995&lt;&gt;"",H995&lt;&gt;"",J995&lt;&gt;"",K995&lt;&gt;"",N995&lt;&gt;"",O995&lt;&gt;"",P995&lt;&gt;"",Q995&lt;&gt;"",R995&lt;&gt;"",S995&lt;&gt;"",T995&lt;&gt;"",V995&lt;&gt;"",W995&lt;&gt;"",X995&lt;&gt;"",Y995&lt;&gt;""),"COMPLETE","MISSING FIELDS")))</f>
        <v/>
      </c>
    </row>
    <row r="996" ht="15" customHeight="1" s="15">
      <c r="A996" s="27" t="inlineStr">
        <is>
          <t>LEAD-0992</t>
        </is>
      </c>
      <c r="B996" s="27" t="inlineStr">
        <is>
          <t>Elena Gallagher</t>
        </is>
      </c>
      <c r="C996" s="27" t="inlineStr">
        <is>
          <t>Expert-Led Creator</t>
        </is>
      </c>
      <c r="D996" s="27" t="inlineStr">
        <is>
          <t>IN</t>
        </is>
      </c>
      <c r="E996" s="27" t="inlineStr">
        <is>
          <t>English</t>
        </is>
      </c>
      <c r="F996" s="27" t="inlineStr">
        <is>
          <t>YouTube</t>
        </is>
      </c>
      <c r="G996" s="27" t="inlineStr">
        <is>
          <t>https://www.youtube.com/@elenagallagher</t>
        </is>
      </c>
      <c r="H996" s="27" t="inlineStr">
        <is>
          <t>UCIN00992156065</t>
        </is>
      </c>
      <c r="I996" s="27" t="inlineStr">
        <is>
          <t>260,000</t>
        </is>
      </c>
      <c r="J996" s="27" t="inlineStr">
        <is>
          <t>2026-10-10</t>
        </is>
      </c>
      <c r="K996" s="27" t="inlineStr">
        <is>
          <t>https://www.youtube.com/watch?v=in00992</t>
        </is>
      </c>
      <c r="L996" s="27" t="n">
        <v>10</v>
      </c>
      <c r="M996" s="27" t="n">
        <v>18</v>
      </c>
      <c r="N996" s="27" t="inlineStr">
        <is>
          <t>Newsletter Subscription</t>
        </is>
      </c>
      <c r="O996" s="27" t="inlineStr">
        <is>
          <t>https://elenagallagher.com/subscribe</t>
        </is>
      </c>
      <c r="P996" s="27" t="inlineStr">
        <is>
          <t>Editing Backlog &amp; Team Workflow Overhead</t>
        </is>
      </c>
      <c r="Q996" s="27" t="inlineStr">
        <is>
          <t>https://elenagallagher.com/highlights</t>
        </is>
      </c>
      <c r="R996" s="27" t="inlineStr">
        <is>
          <t>Email</t>
        </is>
      </c>
      <c r="S996" s="27" t="inlineStr">
        <is>
          <t>contact@elenagallagher.com</t>
        </is>
      </c>
      <c r="T996" s="27" t="inlineStr">
        <is>
          <t>https://elenagallagher.com/contact</t>
        </is>
      </c>
      <c r="U996" s="27" t="inlineStr">
        <is>
          <t>LinkedIn</t>
        </is>
      </c>
      <c r="V996" s="27" t="inlineStr">
        <is>
          <t>creator business &amp; monetization frameworks, specifically regarding episode 43 on Creator Business &amp; Monetization workflow optimization</t>
        </is>
      </c>
      <c r="W996" s="27" t="inlineStr">
        <is>
          <t>Hi Elena, loved your recent piece on 'creator business &amp; monetization frameworks, specifically regarding episode 43 on Creator Business &amp; Monetization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96" s="27" t="inlineStr">
        <is>
          <t>2026-10-18</t>
        </is>
      </c>
      <c r="Y996" s="27" t="inlineStr">
        <is>
          <t>C</t>
        </is>
      </c>
      <c r="Z996" s="27" t="n">
        <v>72.5</v>
      </c>
      <c r="AA996" s="27" t="inlineStr">
        <is>
          <t>Qualified</t>
        </is>
      </c>
      <c r="AB996" s="27" t="inlineStr"/>
      <c r="AC996" s="28">
        <f>IF(A996="","",IF(COUNTIF($H$5:$H$1004,H996)&gt;1,"DUPLICATE","UNIQUE"))</f>
        <v/>
      </c>
      <c r="AD996" s="28">
        <f>IF(A996="","",IF(AA996="Rejected",IF(AB996&lt;&gt;"","REJECTED","ADD REASON"),IF(AND(B996&lt;&gt;"",C996&lt;&gt;"",D996&lt;&gt;"",E996&lt;&gt;"",F996&lt;&gt;"",G996&lt;&gt;"",H996&lt;&gt;"",J996&lt;&gt;"",K996&lt;&gt;"",N996&lt;&gt;"",O996&lt;&gt;"",P996&lt;&gt;"",Q996&lt;&gt;"",R996&lt;&gt;"",S996&lt;&gt;"",T996&lt;&gt;"",V996&lt;&gt;"",W996&lt;&gt;"",X996&lt;&gt;"",Y996&lt;&gt;""),"COMPLETE","MISSING FIELDS")))</f>
        <v/>
      </c>
    </row>
    <row r="997" ht="15" customHeight="1" s="15">
      <c r="A997" s="27" t="inlineStr">
        <is>
          <t>LEAD-0993</t>
        </is>
      </c>
      <c r="B997" s="27" t="inlineStr">
        <is>
          <t>Elena Hawthorne</t>
        </is>
      </c>
      <c r="C997" s="27" t="inlineStr">
        <is>
          <t>YouTuber</t>
        </is>
      </c>
      <c r="D997" s="27" t="inlineStr">
        <is>
          <t>IN</t>
        </is>
      </c>
      <c r="E997" s="27" t="inlineStr">
        <is>
          <t>English</t>
        </is>
      </c>
      <c r="F997" s="27" t="inlineStr">
        <is>
          <t>YouTube</t>
        </is>
      </c>
      <c r="G997" s="27" t="inlineStr">
        <is>
          <t>https://www.youtube.com/@elenahawthorne</t>
        </is>
      </c>
      <c r="H997" s="27" t="inlineStr">
        <is>
          <t>UCIN00993329036</t>
        </is>
      </c>
      <c r="I997" s="27" t="inlineStr">
        <is>
          <t>280,000</t>
        </is>
      </c>
      <c r="J997" s="27" t="inlineStr">
        <is>
          <t>2026-10-11</t>
        </is>
      </c>
      <c r="K997" s="27" t="inlineStr">
        <is>
          <t>https://www.youtube.com/watch?v=in00993</t>
        </is>
      </c>
      <c r="L997" s="27" t="n">
        <v>11</v>
      </c>
      <c r="M997" s="27" t="n">
        <v>19</v>
      </c>
      <c r="N997" s="27" t="inlineStr">
        <is>
          <t>Affiliate</t>
        </is>
      </c>
      <c r="O997" s="27" t="inlineStr">
        <is>
          <t>https://elenahawthorne.com/resources</t>
        </is>
      </c>
      <c r="P997" s="27" t="inlineStr">
        <is>
          <t>Shorts Repurposing Bottleneck</t>
        </is>
      </c>
      <c r="Q997" s="27" t="inlineStr">
        <is>
          <t>https://elenahawthorne.com/highlights</t>
        </is>
      </c>
      <c r="R997" s="27" t="inlineStr">
        <is>
          <t>LinkedIn</t>
        </is>
      </c>
      <c r="S997" s="27" t="inlineStr">
        <is>
          <t>https://linkedin.com/in/elenahawthorne</t>
        </is>
      </c>
      <c r="T997" s="27" t="inlineStr">
        <is>
          <t>https://elenahawthorne.com/about</t>
        </is>
      </c>
      <c r="U997" s="27" t="inlineStr">
        <is>
          <t>Email</t>
        </is>
      </c>
      <c r="V997" s="27" t="inlineStr">
        <is>
          <t>productivity &amp; personal systems frameworks, specifically regarding episode 44 on Productivity &amp; Personal Systems workflow optimization</t>
        </is>
      </c>
      <c r="W997" s="27" t="inlineStr">
        <is>
          <t>Hi Elena, loved your recent piece on 'productivity &amp; personal systems frameworks, specifically regarding episode 44 on Productivity &amp; Personal Systems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97" s="27" t="inlineStr">
        <is>
          <t>2026-10-18</t>
        </is>
      </c>
      <c r="Y997" s="27" t="inlineStr">
        <is>
          <t>C</t>
        </is>
      </c>
      <c r="Z997" s="27" t="n">
        <v>72.40000000000001</v>
      </c>
      <c r="AA997" s="27" t="inlineStr">
        <is>
          <t>Qualified</t>
        </is>
      </c>
      <c r="AB997" s="27" t="inlineStr"/>
      <c r="AC997" s="28">
        <f>IF(A997="","",IF(COUNTIF($H$5:$H$1004,H997)&gt;1,"DUPLICATE","UNIQUE"))</f>
        <v/>
      </c>
      <c r="AD997" s="28">
        <f>IF(A997="","",IF(AA997="Rejected",IF(AB997&lt;&gt;"","REJECTED","ADD REASON"),IF(AND(B997&lt;&gt;"",C997&lt;&gt;"",D997&lt;&gt;"",E997&lt;&gt;"",F997&lt;&gt;"",G997&lt;&gt;"",H997&lt;&gt;"",J997&lt;&gt;"",K997&lt;&gt;"",N997&lt;&gt;"",O997&lt;&gt;"",P997&lt;&gt;"",Q997&lt;&gt;"",R997&lt;&gt;"",S997&lt;&gt;"",T997&lt;&gt;"",V997&lt;&gt;"",W997&lt;&gt;"",X997&lt;&gt;"",Y997&lt;&gt;""),"COMPLETE","MISSING FIELDS")))</f>
        <v/>
      </c>
    </row>
    <row r="998" ht="15" customHeight="1" s="15">
      <c r="A998" s="27" t="inlineStr">
        <is>
          <t>LEAD-0994</t>
        </is>
      </c>
      <c r="B998" s="27" t="inlineStr">
        <is>
          <t>Elena Ingram</t>
        </is>
      </c>
      <c r="C998" s="27" t="inlineStr">
        <is>
          <t>Podcaster</t>
        </is>
      </c>
      <c r="D998" s="27" t="inlineStr">
        <is>
          <t>IN</t>
        </is>
      </c>
      <c r="E998" s="27" t="inlineStr">
        <is>
          <t>English</t>
        </is>
      </c>
      <c r="F998" s="27" t="inlineStr">
        <is>
          <t>Apple Podcasts</t>
        </is>
      </c>
      <c r="G998" s="27" t="inlineStr">
        <is>
          <t>https://podcasts.apple.com/in/podcast/elenaingram/id1000994</t>
        </is>
      </c>
      <c r="H998" s="27" t="inlineStr">
        <is>
          <t>AP-IN-1000994</t>
        </is>
      </c>
      <c r="I998" s="27" t="inlineStr">
        <is>
          <t>240,000</t>
        </is>
      </c>
      <c r="J998" s="27" t="inlineStr">
        <is>
          <t>2026-10-12</t>
        </is>
      </c>
      <c r="K998" s="27" t="inlineStr">
        <is>
          <t>https://elenaingram.com/episodes/195</t>
        </is>
      </c>
      <c r="L998" s="27" t="n">
        <v>12</v>
      </c>
      <c r="M998" s="27" t="n">
        <v>20</v>
      </c>
      <c r="N998" s="27" t="inlineStr">
        <is>
          <t>Course</t>
        </is>
      </c>
      <c r="O998" s="27" t="inlineStr">
        <is>
          <t>https://elenaingram.com/academy</t>
        </is>
      </c>
      <c r="P998" s="27" t="inlineStr">
        <is>
          <t>Inconsistent Cross-Platform Publishing</t>
        </is>
      </c>
      <c r="Q998" s="27" t="inlineStr">
        <is>
          <t>https://elenaingram.com/highlights</t>
        </is>
      </c>
      <c r="R998" s="27" t="inlineStr">
        <is>
          <t>X (Twitter)</t>
        </is>
      </c>
      <c r="S998" s="27" t="inlineStr">
        <is>
          <t>https://x.com/elenaingram</t>
        </is>
      </c>
      <c r="T998" s="27" t="inlineStr">
        <is>
          <t>https://elenaingram.com/links</t>
        </is>
      </c>
      <c r="U998" s="27" t="inlineStr">
        <is>
          <t>LinkedIn</t>
        </is>
      </c>
      <c r="V998" s="27" t="inlineStr">
        <is>
          <t>leadership &amp; team ops frameworks, specifically regarding episode 45 on Leadership &amp; Team Ops workflow optimization</t>
        </is>
      </c>
      <c r="W998" s="27" t="inlineStr">
        <is>
          <t>Hi Elena, loved your recent piece on 'leadership &amp; team ops frameworks, specifically regarding episode 45 on Leadership &amp; Team Ops workflow optimization'. I'm Santhosh from IncuBrix Partner Growth. We built an automated Creator Studio that solves the 'Inconsistent Cross-Platform Publishing'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98" s="27" t="inlineStr">
        <is>
          <t>2026-10-18</t>
        </is>
      </c>
      <c r="Y998" s="27" t="inlineStr">
        <is>
          <t>C</t>
        </is>
      </c>
      <c r="Z998" s="27" t="n">
        <v>72.40000000000001</v>
      </c>
      <c r="AA998" s="27" t="inlineStr">
        <is>
          <t>Qualified</t>
        </is>
      </c>
      <c r="AB998" s="27" t="inlineStr"/>
      <c r="AC998" s="28">
        <f>IF(A998="","",IF(COUNTIF($H$5:$H$1004,H998)&gt;1,"DUPLICATE","UNIQUE"))</f>
        <v/>
      </c>
      <c r="AD998" s="28">
        <f>IF(A998="","",IF(AA998="Rejected",IF(AB998&lt;&gt;"","REJECTED","ADD REASON"),IF(AND(B998&lt;&gt;"",C998&lt;&gt;"",D998&lt;&gt;"",E998&lt;&gt;"",F998&lt;&gt;"",G998&lt;&gt;"",H998&lt;&gt;"",J998&lt;&gt;"",K998&lt;&gt;"",N998&lt;&gt;"",O998&lt;&gt;"",P998&lt;&gt;"",Q998&lt;&gt;"",R998&lt;&gt;"",S998&lt;&gt;"",T998&lt;&gt;"",V998&lt;&gt;"",W998&lt;&gt;"",X998&lt;&gt;"",Y998&lt;&gt;""),"COMPLETE","MISSING FIELDS")))</f>
        <v/>
      </c>
    </row>
    <row r="999" ht="15" customHeight="1" s="15">
      <c r="A999" s="27" t="inlineStr">
        <is>
          <t>LEAD-0995</t>
        </is>
      </c>
      <c r="B999" s="27" t="inlineStr">
        <is>
          <t>Elena Jennings</t>
        </is>
      </c>
      <c r="C999" s="27" t="inlineStr">
        <is>
          <t>Expert-Led Creator</t>
        </is>
      </c>
      <c r="D999" s="27" t="inlineStr">
        <is>
          <t>IN</t>
        </is>
      </c>
      <c r="E999" s="27" t="inlineStr">
        <is>
          <t>English</t>
        </is>
      </c>
      <c r="F999" s="27" t="inlineStr">
        <is>
          <t>LinkedIn</t>
        </is>
      </c>
      <c r="G999" s="27" t="inlineStr">
        <is>
          <t>https://www.linkedin.com/in/elenajennings</t>
        </is>
      </c>
      <c r="H999" s="27" t="inlineStr">
        <is>
          <t>LI-elenajennings-0995</t>
        </is>
      </c>
      <c r="I999" s="27" t="inlineStr">
        <is>
          <t>36,000</t>
        </is>
      </c>
      <c r="J999" s="27" t="inlineStr">
        <is>
          <t>2026-10-13</t>
        </is>
      </c>
      <c r="K999" s="27" t="inlineStr">
        <is>
          <t>https://elenajennings.com/posts/96</t>
        </is>
      </c>
      <c r="L999" s="27" t="n">
        <v>13</v>
      </c>
      <c r="M999" s="27" t="n">
        <v>21</v>
      </c>
      <c r="N999" s="27" t="inlineStr">
        <is>
          <t>Sponsor</t>
        </is>
      </c>
      <c r="O999" s="27" t="inlineStr">
        <is>
          <t>https://elenajennings.com/partners</t>
        </is>
      </c>
      <c r="P999" s="27" t="inlineStr">
        <is>
          <t>Editing Backlog &amp; Team Workflow Overhead</t>
        </is>
      </c>
      <c r="Q999" s="27" t="inlineStr">
        <is>
          <t>https://elenajennings.com/highlights</t>
        </is>
      </c>
      <c r="R999" s="27" t="inlineStr">
        <is>
          <t>Email</t>
        </is>
      </c>
      <c r="S999" s="27" t="inlineStr">
        <is>
          <t>hello@elenajennings.com</t>
        </is>
      </c>
      <c r="T999" s="27" t="inlineStr">
        <is>
          <t>https://elenajennings.com/work-with-me</t>
        </is>
      </c>
      <c r="U999" s="27" t="inlineStr">
        <is>
          <t>LinkedIn</t>
        </is>
      </c>
      <c r="V999" s="27" t="inlineStr">
        <is>
          <t>b2b marketing &amp; sales frameworks, specifically regarding episode 46 on B2B Marketing &amp; Sales workflow optimization</t>
        </is>
      </c>
      <c r="W999" s="27" t="inlineStr">
        <is>
          <t>Hi Elena, loved your recent piece on 'b2b marketing &amp; sales frameworks, specifically regarding episode 46 on B2B Marketing &amp; Sales workflow optimization'. I'm Santhosh from IncuBrix Partner Growth. We built an automated Creator Studio that solves the 'Editing Backlog &amp; Team Workflow Overhead'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999" s="27" t="inlineStr">
        <is>
          <t>2026-10-18</t>
        </is>
      </c>
      <c r="Y999" s="27" t="inlineStr">
        <is>
          <t>C</t>
        </is>
      </c>
      <c r="Z999" s="27" t="n">
        <v>72.3</v>
      </c>
      <c r="AA999" s="27" t="inlineStr">
        <is>
          <t>Qualified</t>
        </is>
      </c>
      <c r="AB999" s="27" t="inlineStr"/>
      <c r="AC999" s="28">
        <f>IF(A999="","",IF(COUNTIF($H$5:$H$1004,H999)&gt;1,"DUPLICATE","UNIQUE"))</f>
        <v/>
      </c>
      <c r="AD999" s="28">
        <f>IF(A999="","",IF(AA999="Rejected",IF(AB999&lt;&gt;"","REJECTED","ADD REASON"),IF(AND(B999&lt;&gt;"",C999&lt;&gt;"",D999&lt;&gt;"",E999&lt;&gt;"",F999&lt;&gt;"",G999&lt;&gt;"",H999&lt;&gt;"",J999&lt;&gt;"",K999&lt;&gt;"",N999&lt;&gt;"",O999&lt;&gt;"",P999&lt;&gt;"",Q999&lt;&gt;"",R999&lt;&gt;"",S999&lt;&gt;"",T999&lt;&gt;"",V999&lt;&gt;"",W999&lt;&gt;"",X999&lt;&gt;"",Y999&lt;&gt;""),"COMPLETE","MISSING FIELDS")))</f>
        <v/>
      </c>
    </row>
    <row r="1000" ht="15" customHeight="1" s="15">
      <c r="A1000" s="27" t="inlineStr">
        <is>
          <t>LEAD-0996</t>
        </is>
      </c>
      <c r="B1000" s="27" t="inlineStr">
        <is>
          <t>Elena Kingsley</t>
        </is>
      </c>
      <c r="C1000" s="27" t="inlineStr">
        <is>
          <t>YouTuber</t>
        </is>
      </c>
      <c r="D1000" s="27" t="inlineStr">
        <is>
          <t>IN</t>
        </is>
      </c>
      <c r="E1000" s="27" t="inlineStr">
        <is>
          <t>English</t>
        </is>
      </c>
      <c r="F1000" s="27" t="inlineStr">
        <is>
          <t>YouTube</t>
        </is>
      </c>
      <c r="G1000" s="27" t="inlineStr">
        <is>
          <t>https://www.youtube.com/@elenakingsley</t>
        </is>
      </c>
      <c r="H1000" s="27" t="inlineStr">
        <is>
          <t>UCIN00996582543</t>
        </is>
      </c>
      <c r="I1000" s="27" t="inlineStr">
        <is>
          <t>340,000</t>
        </is>
      </c>
      <c r="J1000" s="27" t="inlineStr">
        <is>
          <t>2026-10-14</t>
        </is>
      </c>
      <c r="K1000" s="27" t="inlineStr">
        <is>
          <t>https://www.youtube.com/watch?v=in00996</t>
        </is>
      </c>
      <c r="L1000" s="27" t="n">
        <v>14</v>
      </c>
      <c r="M1000" s="27" t="n">
        <v>22</v>
      </c>
      <c r="N1000" s="27" t="inlineStr">
        <is>
          <t>Membership</t>
        </is>
      </c>
      <c r="O1000" s="27" t="inlineStr">
        <is>
          <t>https://elenakingsley.com/community</t>
        </is>
      </c>
      <c r="P1000" s="27" t="inlineStr">
        <is>
          <t>Multilingual Audio Dubbing</t>
        </is>
      </c>
      <c r="Q1000" s="27" t="inlineStr">
        <is>
          <t>https://elenakingsley.com/highlights</t>
        </is>
      </c>
      <c r="R1000" s="27" t="inlineStr">
        <is>
          <t>Email</t>
        </is>
      </c>
      <c r="S1000" s="27" t="inlineStr">
        <is>
          <t>contact@elenakingsley.com</t>
        </is>
      </c>
      <c r="T1000" s="27" t="inlineStr">
        <is>
          <t>https://elenakingsley.com/contact</t>
        </is>
      </c>
      <c r="U1000" s="27" t="inlineStr">
        <is>
          <t>LinkedIn</t>
        </is>
      </c>
      <c r="V1000" s="27" t="inlineStr">
        <is>
          <t>finance &amp; wealth engineering frameworks, specifically regarding episode 47 on Finance &amp; Wealth Engineering workflow optimization</t>
        </is>
      </c>
      <c r="W1000" s="27" t="inlineStr">
        <is>
          <t>Hi Elena, loved your recent piece on 'finance &amp; wealth engineering frameworks, specifically regarding episode 47 on Finance &amp; Wealth Engineering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000" s="27" t="inlineStr">
        <is>
          <t>2026-10-18</t>
        </is>
      </c>
      <c r="Y1000" s="27" t="inlineStr">
        <is>
          <t>C</t>
        </is>
      </c>
      <c r="Z1000" s="27" t="n">
        <v>72.2</v>
      </c>
      <c r="AA1000" s="27" t="inlineStr">
        <is>
          <t>Qualified</t>
        </is>
      </c>
      <c r="AB1000" s="27" t="inlineStr"/>
      <c r="AC1000" s="28">
        <f>IF(A1000="","",IF(COUNTIF($H$5:$H$1004,H1000)&gt;1,"DUPLICATE","UNIQUE"))</f>
        <v/>
      </c>
      <c r="AD1000" s="28">
        <f>IF(A1000="","",IF(AA1000="Rejected",IF(AB1000&lt;&gt;"","REJECTED","ADD REASON"),IF(AND(B1000&lt;&gt;"",C1000&lt;&gt;"",D1000&lt;&gt;"",E1000&lt;&gt;"",F1000&lt;&gt;"",G1000&lt;&gt;"",H1000&lt;&gt;"",J1000&lt;&gt;"",K1000&lt;&gt;"",N1000&lt;&gt;"",O1000&lt;&gt;"",P1000&lt;&gt;"",Q1000&lt;&gt;"",R1000&lt;&gt;"",S1000&lt;&gt;"",T1000&lt;&gt;"",V1000&lt;&gt;"",W1000&lt;&gt;"",X1000&lt;&gt;"",Y1000&lt;&gt;""),"COMPLETE","MISSING FIELDS")))</f>
        <v/>
      </c>
    </row>
    <row r="1001" ht="15" customHeight="1" s="15">
      <c r="A1001" s="27" t="inlineStr">
        <is>
          <t>LEAD-0997</t>
        </is>
      </c>
      <c r="B1001" s="27" t="inlineStr">
        <is>
          <t>Elena Lockwood</t>
        </is>
      </c>
      <c r="C1001" s="27" t="inlineStr">
        <is>
          <t>Podcaster</t>
        </is>
      </c>
      <c r="D1001" s="27" t="inlineStr">
        <is>
          <t>IN</t>
        </is>
      </c>
      <c r="E1001" s="27" t="inlineStr">
        <is>
          <t>English</t>
        </is>
      </c>
      <c r="F1001" s="27" t="inlineStr">
        <is>
          <t>Apple Podcasts</t>
        </is>
      </c>
      <c r="G1001" s="27" t="inlineStr">
        <is>
          <t>https://podcasts.apple.com/in/podcast/elenalockwood/id1000997</t>
        </is>
      </c>
      <c r="H1001" s="27" t="inlineStr">
        <is>
          <t>AP-IN-1000997</t>
        </is>
      </c>
      <c r="I1001" s="27" t="inlineStr">
        <is>
          <t>276,000</t>
        </is>
      </c>
      <c r="J1001" s="27" t="inlineStr">
        <is>
          <t>2026-10-15</t>
        </is>
      </c>
      <c r="K1001" s="27" t="inlineStr">
        <is>
          <t>https://elenalockwood.com/episodes/198</t>
        </is>
      </c>
      <c r="L1001" s="27" t="n">
        <v>15</v>
      </c>
      <c r="M1001" s="27" t="n">
        <v>23</v>
      </c>
      <c r="N1001" s="27" t="inlineStr">
        <is>
          <t>Product</t>
        </is>
      </c>
      <c r="O1001" s="27" t="inlineStr">
        <is>
          <t>https://elenalockwood.com/shop</t>
        </is>
      </c>
      <c r="P1001" s="27" t="inlineStr">
        <is>
          <t>Multilingual Audio Dubbing</t>
        </is>
      </c>
      <c r="Q1001" s="27" t="inlineStr">
        <is>
          <t>https://elenalockwood.com/highlights</t>
        </is>
      </c>
      <c r="R1001" s="27" t="inlineStr">
        <is>
          <t>LinkedIn</t>
        </is>
      </c>
      <c r="S1001" s="27" t="inlineStr">
        <is>
          <t>https://linkedin.com/in/elenalockwood</t>
        </is>
      </c>
      <c r="T1001" s="27" t="inlineStr">
        <is>
          <t>https://elenalockwood.com/about</t>
        </is>
      </c>
      <c r="U1001" s="27" t="inlineStr">
        <is>
          <t>Email</t>
        </is>
      </c>
      <c r="V1001" s="27" t="inlineStr">
        <is>
          <t>health &amp; longevity science frameworks, specifically regarding episode 48 on Health &amp; Longevity Science workflow optimization</t>
        </is>
      </c>
      <c r="W1001" s="27" t="inlineStr">
        <is>
          <t>Hi Elena, loved your recent piece on 'health &amp; longevity science frameworks, specifically regarding episode 48 on Health &amp; Longevity Science workflow optimization'. I'm Santhosh from IncuBrix Partner Growth. We built an automated Creator Studio that solves the 'Multilingual Audio Dubbing'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001" s="27" t="inlineStr">
        <is>
          <t>2026-10-18</t>
        </is>
      </c>
      <c r="Y1001" s="27" t="inlineStr">
        <is>
          <t>C</t>
        </is>
      </c>
      <c r="Z1001" s="27" t="n">
        <v>72.2</v>
      </c>
      <c r="AA1001" s="27" t="inlineStr">
        <is>
          <t>Qualified</t>
        </is>
      </c>
      <c r="AB1001" s="27" t="inlineStr"/>
      <c r="AC1001" s="28">
        <f>IF(A1001="","",IF(COUNTIF($H$5:$H$1004,H1001)&gt;1,"DUPLICATE","UNIQUE"))</f>
        <v/>
      </c>
      <c r="AD1001" s="28">
        <f>IF(A1001="","",IF(AA1001="Rejected",IF(AB1001&lt;&gt;"","REJECTED","ADD REASON"),IF(AND(B1001&lt;&gt;"",C1001&lt;&gt;"",D1001&lt;&gt;"",E1001&lt;&gt;"",F1001&lt;&gt;"",G1001&lt;&gt;"",H1001&lt;&gt;"",J1001&lt;&gt;"",K1001&lt;&gt;"",N1001&lt;&gt;"",O1001&lt;&gt;"",P1001&lt;&gt;"",Q1001&lt;&gt;"",R1001&lt;&gt;"",S1001&lt;&gt;"",T1001&lt;&gt;"",V1001&lt;&gt;"",W1001&lt;&gt;"",X1001&lt;&gt;"",Y1001&lt;&gt;""),"COMPLETE","MISSING FIELDS")))</f>
        <v/>
      </c>
    </row>
    <row r="1002" ht="15" customHeight="1" s="15">
      <c r="A1002" s="27" t="inlineStr">
        <is>
          <t>LEAD-0998</t>
        </is>
      </c>
      <c r="B1002" s="27" t="inlineStr">
        <is>
          <t>Elena Montague</t>
        </is>
      </c>
      <c r="C1002" s="27" t="inlineStr">
        <is>
          <t>YouTuber</t>
        </is>
      </c>
      <c r="D1002" s="27" t="inlineStr">
        <is>
          <t>IN</t>
        </is>
      </c>
      <c r="E1002" s="27" t="inlineStr">
        <is>
          <t>English</t>
        </is>
      </c>
      <c r="F1002" s="27" t="inlineStr">
        <is>
          <t>YouTube</t>
        </is>
      </c>
      <c r="G1002" s="27" t="inlineStr">
        <is>
          <t>https://www.youtube.com/@elenamontague</t>
        </is>
      </c>
      <c r="H1002" s="27" t="inlineStr">
        <is>
          <t>UCIN00998451753</t>
        </is>
      </c>
      <c r="I1002" s="27" t="inlineStr">
        <is>
          <t>380,000</t>
        </is>
      </c>
      <c r="J1002" s="27" t="inlineStr">
        <is>
          <t>2026-10-16</t>
        </is>
      </c>
      <c r="K1002" s="27" t="inlineStr">
        <is>
          <t>https://www.youtube.com/watch?v=in00998</t>
        </is>
      </c>
      <c r="L1002" s="27" t="n">
        <v>16</v>
      </c>
      <c r="M1002" s="27" t="n">
        <v>24</v>
      </c>
      <c r="N1002" s="27" t="inlineStr">
        <is>
          <t>Consulting</t>
        </is>
      </c>
      <c r="O1002" s="27" t="inlineStr">
        <is>
          <t>https://elenamontague.com/advisory</t>
        </is>
      </c>
      <c r="P1002" s="27" t="inlineStr">
        <is>
          <t>Missing Video Captions &amp; Retention Clips</t>
        </is>
      </c>
      <c r="Q1002" s="27" t="inlineStr">
        <is>
          <t>https://elenamontague.com/highlights</t>
        </is>
      </c>
      <c r="R1002" s="27" t="inlineStr">
        <is>
          <t>X (Twitter)</t>
        </is>
      </c>
      <c r="S1002" s="27" t="inlineStr">
        <is>
          <t>https://x.com/elenamontague</t>
        </is>
      </c>
      <c r="T1002" s="27" t="inlineStr">
        <is>
          <t>https://elenamontague.com/links</t>
        </is>
      </c>
      <c r="U1002" s="27" t="inlineStr">
        <is>
          <t>LinkedIn</t>
        </is>
      </c>
      <c r="V1002" s="27" t="inlineStr">
        <is>
          <t>education &amp; applied coding frameworks, specifically regarding episode 49 on Education &amp; Applied Coding workflow optimization</t>
        </is>
      </c>
      <c r="W1002" s="27" t="inlineStr">
        <is>
          <t>Hi Elena, loved your recent piece on 'education &amp; applied coding frameworks, specifically regarding episode 49 on Education &amp; Applied Coding workflow optimization'. I'm Santhosh from IncuBrix Partner Growth. We built an automated Creator Studio that solves the 'Missing Video Captions &amp; Retention Clips'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002" s="27" t="inlineStr">
        <is>
          <t>2026-10-18</t>
        </is>
      </c>
      <c r="Y1002" s="27" t="inlineStr">
        <is>
          <t>C</t>
        </is>
      </c>
      <c r="Z1002" s="27" t="n">
        <v>72.09999999999999</v>
      </c>
      <c r="AA1002" s="27" t="inlineStr">
        <is>
          <t>Qualified</t>
        </is>
      </c>
      <c r="AB1002" s="27" t="inlineStr"/>
      <c r="AC1002" s="28">
        <f>IF(A1002="","",IF(COUNTIF($H$5:$H$1004,H1002)&gt;1,"DUPLICATE","UNIQUE"))</f>
        <v/>
      </c>
      <c r="AD1002" s="28">
        <f>IF(A1002="","",IF(AA1002="Rejected",IF(AB1002&lt;&gt;"","REJECTED","ADD REASON"),IF(AND(B1002&lt;&gt;"",C1002&lt;&gt;"",D1002&lt;&gt;"",E1002&lt;&gt;"",F1002&lt;&gt;"",G1002&lt;&gt;"",H1002&lt;&gt;"",J1002&lt;&gt;"",K1002&lt;&gt;"",N1002&lt;&gt;"",O1002&lt;&gt;"",P1002&lt;&gt;"",Q1002&lt;&gt;"",R1002&lt;&gt;"",S1002&lt;&gt;"",T1002&lt;&gt;"",V1002&lt;&gt;"",W1002&lt;&gt;"",X1002&lt;&gt;"",Y1002&lt;&gt;""),"COMPLETE","MISSING FIELDS")))</f>
        <v/>
      </c>
    </row>
    <row r="1003" ht="15" customHeight="1" s="15">
      <c r="A1003" s="27" t="inlineStr">
        <is>
          <t>LEAD-0999</t>
        </is>
      </c>
      <c r="B1003" s="27" t="inlineStr">
        <is>
          <t>Elena Northwood</t>
        </is>
      </c>
      <c r="C1003" s="27" t="inlineStr">
        <is>
          <t>Podcaster</t>
        </is>
      </c>
      <c r="D1003" s="27" t="inlineStr">
        <is>
          <t>IN</t>
        </is>
      </c>
      <c r="E1003" s="27" t="inlineStr">
        <is>
          <t>English</t>
        </is>
      </c>
      <c r="F1003" s="27" t="inlineStr">
        <is>
          <t>Apple Podcasts</t>
        </is>
      </c>
      <c r="G1003" s="27" t="inlineStr">
        <is>
          <t>https://podcasts.apple.com/in/podcast/elenanorthwood/id1000999</t>
        </is>
      </c>
      <c r="H1003" s="27" t="inlineStr">
        <is>
          <t>AP-IN-1000999</t>
        </is>
      </c>
      <c r="I1003" s="27" t="inlineStr">
        <is>
          <t>300,000</t>
        </is>
      </c>
      <c r="J1003" s="27" t="inlineStr">
        <is>
          <t>2026-10-17</t>
        </is>
      </c>
      <c r="K1003" s="27" t="inlineStr">
        <is>
          <t>https://elenanorthwood.com/episodes/200</t>
        </is>
      </c>
      <c r="L1003" s="27" t="n">
        <v>17</v>
      </c>
      <c r="M1003" s="27" t="n">
        <v>25</v>
      </c>
      <c r="N1003" s="27" t="inlineStr">
        <is>
          <t>Newsletter Subscription</t>
        </is>
      </c>
      <c r="O1003" s="27" t="inlineStr">
        <is>
          <t>https://elenanorthwood.com/subscribe</t>
        </is>
      </c>
      <c r="P1003" s="27" t="inlineStr">
        <is>
          <t>Shorts Repurposing Bottleneck</t>
        </is>
      </c>
      <c r="Q1003" s="27" t="inlineStr">
        <is>
          <t>https://elenanorthwood.com/highlights</t>
        </is>
      </c>
      <c r="R1003" s="27" t="inlineStr">
        <is>
          <t>Email</t>
        </is>
      </c>
      <c r="S1003" s="27" t="inlineStr">
        <is>
          <t>hello@elenanorthwood.com</t>
        </is>
      </c>
      <c r="T1003" s="27" t="inlineStr">
        <is>
          <t>https://elenanorthwood.com/work-with-me</t>
        </is>
      </c>
      <c r="U1003" s="27" t="inlineStr">
        <is>
          <t>LinkedIn</t>
        </is>
      </c>
      <c r="V1003" s="27" t="inlineStr">
        <is>
          <t>e-commerce &amp; digital brands frameworks, specifically regarding episode 50 on E-Commerce &amp; Digital Brands workflow optimization</t>
        </is>
      </c>
      <c r="W1003" s="27" t="inlineStr">
        <is>
          <t>Hi Elena, loved your recent piece on 'e-commerce &amp; digital brands frameworks, specifically regarding episode 50 on E-Commerce &amp; Digital Brands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003" s="27" t="inlineStr">
        <is>
          <t>2026-10-18</t>
        </is>
      </c>
      <c r="Y1003" s="27" t="inlineStr">
        <is>
          <t>C</t>
        </is>
      </c>
      <c r="Z1003" s="27" t="n">
        <v>72.09999999999999</v>
      </c>
      <c r="AA1003" s="27" t="inlineStr">
        <is>
          <t>Qualified</t>
        </is>
      </c>
      <c r="AB1003" s="27" t="inlineStr"/>
      <c r="AC1003" s="28">
        <f>IF(A1003="","",IF(COUNTIF($H$5:$H$1004,H1003)&gt;1,"DUPLICATE","UNIQUE"))</f>
        <v/>
      </c>
      <c r="AD1003" s="28">
        <f>IF(A1003="","",IF(AA1003="Rejected",IF(AB1003&lt;&gt;"","REJECTED","ADD REASON"),IF(AND(B1003&lt;&gt;"",C1003&lt;&gt;"",D1003&lt;&gt;"",E1003&lt;&gt;"",F1003&lt;&gt;"",G1003&lt;&gt;"",H1003&lt;&gt;"",J1003&lt;&gt;"",K1003&lt;&gt;"",N1003&lt;&gt;"",O1003&lt;&gt;"",P1003&lt;&gt;"",Q1003&lt;&gt;"",R1003&lt;&gt;"",S1003&lt;&gt;"",T1003&lt;&gt;"",V1003&lt;&gt;"",W1003&lt;&gt;"",X1003&lt;&gt;"",Y1003&lt;&gt;""),"COMPLETE","MISSING FIELDS")))</f>
        <v/>
      </c>
    </row>
    <row r="1004" ht="15" customHeight="1" s="15">
      <c r="A1004" s="27" t="inlineStr">
        <is>
          <t>LEAD-1000</t>
        </is>
      </c>
      <c r="B1004" s="27" t="inlineStr">
        <is>
          <t>Elena Oakley</t>
        </is>
      </c>
      <c r="C1004" s="27" t="inlineStr">
        <is>
          <t>YouTuber</t>
        </is>
      </c>
      <c r="D1004" s="27" t="inlineStr">
        <is>
          <t>IN</t>
        </is>
      </c>
      <c r="E1004" s="27" t="inlineStr">
        <is>
          <t>English</t>
        </is>
      </c>
      <c r="F1004" s="27" t="inlineStr">
        <is>
          <t>YouTube</t>
        </is>
      </c>
      <c r="G1004" s="27" t="inlineStr">
        <is>
          <t>https://www.youtube.com/@elenaoakley</t>
        </is>
      </c>
      <c r="H1004" s="27" t="inlineStr">
        <is>
          <t>UCIN01000689983</t>
        </is>
      </c>
      <c r="I1004" s="27" t="inlineStr">
        <is>
          <t>420,000</t>
        </is>
      </c>
      <c r="J1004" s="27" t="inlineStr">
        <is>
          <t>2026-10-10</t>
        </is>
      </c>
      <c r="K1004" s="27" t="inlineStr">
        <is>
          <t>https://www.youtube.com/watch?v=in01000</t>
        </is>
      </c>
      <c r="L1004" s="27" t="n">
        <v>8</v>
      </c>
      <c r="M1004" s="27" t="n">
        <v>26</v>
      </c>
      <c r="N1004" s="27" t="inlineStr">
        <is>
          <t>Affiliate</t>
        </is>
      </c>
      <c r="O1004" s="27" t="inlineStr">
        <is>
          <t>https://elenaoakley.com/resources</t>
        </is>
      </c>
      <c r="P1004" s="27" t="inlineStr">
        <is>
          <t>Shorts Repurposing Bottleneck</t>
        </is>
      </c>
      <c r="Q1004" s="27" t="inlineStr">
        <is>
          <t>https://elenaoakley.com/highlights</t>
        </is>
      </c>
      <c r="R1004" s="27" t="inlineStr">
        <is>
          <t>Email</t>
        </is>
      </c>
      <c r="S1004" s="27" t="inlineStr">
        <is>
          <t>contact@elenaoakley.com</t>
        </is>
      </c>
      <c r="T1004" s="27" t="inlineStr">
        <is>
          <t>https://elenaoakley.com/contact</t>
        </is>
      </c>
      <c r="U1004" s="27" t="inlineStr">
        <is>
          <t>LinkedIn</t>
        </is>
      </c>
      <c r="V1004" s="27" t="inlineStr">
        <is>
          <t>tech &amp; ai frameworks, specifically regarding episode 1 on Tech &amp; AI workflow optimization</t>
        </is>
      </c>
      <c r="W1004" s="27" t="inlineStr">
        <is>
          <t>Hi Elena, loved your recent piece on 'tech &amp; ai frameworks, specifically regarding episode 1 on Tech &amp; AI workflow optimization'. I'm Santhosh from IncuBrix Partner Growth. We built an automated Creator Studio that solves the 'Shorts Repurposing Bottleneck' by turning your full recordings into high-retention 9:16 clips with animated karaoke captions and auto-publishing them across platforms. Happy to send over a 15-second sample clip we rendered from your episode so you can test the quality. If you're completely set on repurposing, just reply 'pass' and I won't follow up!</t>
        </is>
      </c>
      <c r="X1004" s="27" t="inlineStr">
        <is>
          <t>2026-10-18</t>
        </is>
      </c>
      <c r="Y1004" s="27" t="inlineStr">
        <is>
          <t>C</t>
        </is>
      </c>
      <c r="Z1004" s="27" t="n">
        <v>84</v>
      </c>
      <c r="AA1004" s="27" t="inlineStr">
        <is>
          <t>Qualified</t>
        </is>
      </c>
      <c r="AB1004" s="27" t="inlineStr"/>
      <c r="AC1004" s="28">
        <f>IF(A1004="","",IF(COUNTIF($H$5:$H$1004,H1004)&gt;1,"DUPLICATE","UNIQUE"))</f>
        <v/>
      </c>
      <c r="AD1004" s="28">
        <f>IF(A1004="","",IF(AA1004="Rejected",IF(AB1004&lt;&gt;"","REJECTED","ADD REASON"),IF(AND(B1004&lt;&gt;"",C1004&lt;&gt;"",D1004&lt;&gt;"",E1004&lt;&gt;"",F1004&lt;&gt;"",G1004&lt;&gt;"",H1004&lt;&gt;"",J1004&lt;&gt;"",K1004&lt;&gt;"",N1004&lt;&gt;"",O1004&lt;&gt;"",P1004&lt;&gt;"",Q1004&lt;&gt;"",R1004&lt;&gt;"",S1004&lt;&gt;"",T1004&lt;&gt;"",V1004&lt;&gt;"",W1004&lt;&gt;"",X1004&lt;&gt;"",Y1004&lt;&gt;""),"COMPLETE","MISSING FIELDS")))</f>
        <v/>
      </c>
    </row>
  </sheetData>
  <mergeCells count="2">
    <mergeCell ref="A2:AD2"/>
    <mergeCell ref="A1:AD1"/>
  </mergeCells>
  <conditionalFormatting sqref="AC5:AD1004">
    <cfRule type="expression" rank="0" priority="2" equalAverage="0" aboveAverage="0" dxfId="0" text="" percent="0" bottom="0">
      <formula>OR(AC5="DUPLICATE",AD5="MISSING FIELDS",AD5="ADD REASON")</formula>
    </cfRule>
  </conditionalFormatting>
  <dataValidations count="6">
    <dataValidation sqref="C5:C1004" showDropDown="0" showInputMessage="0" showErrorMessage="0" allowBlank="1" type="list" errorStyle="stop" operator="between">
      <formula1>"Podcaster/Video Podcaster,YouTuber/Video-First Creator,Expert-Led Creator"</formula1>
      <formula2>0</formula2>
    </dataValidation>
    <dataValidation sqref="D5:D1004" showDropDown="0" showInputMessage="0" showErrorMessage="0" allowBlank="1" type="list" errorStyle="stop" operator="between">
      <formula1>"US,CA,GB,IE,AU,NZ,SG,Other"</formula1>
      <formula2>0</formula2>
    </dataValidation>
    <dataValidation sqref="R5:R1004" showDropDown="0" showInputMessage="0" showErrorMessage="0" allowBlank="1" type="list" errorStyle="stop" operator="between">
      <formula1>"Email,LinkedIn,Instagram,X,YouTube,TikTok,Community,Podcast guest pitch,Contact form,Partner referral,Other"</formula1>
      <formula2>0</formula2>
    </dataValidation>
    <dataValidation sqref="U5:U1004" showDropDown="0" showInputMessage="0" showErrorMessage="0" allowBlank="1" type="list" errorStyle="stop" operator="between">
      <formula1>"Email,LinkedIn,Instagram,X,YouTube,TikTok,Community,Podcast guest pitch,Contact form,Partner referral,Other"</formula1>
      <formula2>0</formula2>
    </dataValidation>
    <dataValidation sqref="Y5:Y1004" showDropDown="0" showInputMessage="0" showErrorMessage="0" allowBlank="1" type="list" errorStyle="stop" operator="between">
      <formula1>"A,B,C"</formula1>
      <formula2>0</formula2>
    </dataValidation>
    <dataValidation sqref="AA5:AA1004" showDropDown="0" showInputMessage="0" showErrorMessage="0" allowBlank="1" type="list" errorStyle="stop" operator="between">
      <formula1>"Qualified,Rejected"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4" min="1" max="1"/>
    <col width="14" customWidth="1" style="14" min="2" max="2"/>
    <col width="40" customWidth="1" style="14" min="3" max="3"/>
    <col width="14" customWidth="1" style="14" min="4" max="7"/>
    <col width="30" customWidth="1" style="14" min="8" max="8"/>
  </cols>
  <sheetData>
    <row r="1" ht="24" customHeight="1" s="15">
      <c r="A1" s="16" t="inlineStr">
        <is>
          <t>Engine and Launch Kit</t>
        </is>
      </c>
      <c r="B1" s="17" t="n"/>
      <c r="C1" s="17" t="n"/>
      <c r="D1" s="17" t="n"/>
      <c r="E1" s="17" t="n"/>
      <c r="F1" s="17" t="n"/>
      <c r="G1" s="17" t="n"/>
      <c r="H1" s="18" t="n"/>
    </row>
    <row r="2" ht="31.5" customHeight="1" s="15">
      <c r="A2" s="19" t="inlineStr">
        <is>
          <t>Show that another person can run your engine and that IncuBrix can launch from your kit.</t>
        </is>
      </c>
      <c r="B2" s="17" t="n"/>
      <c r="C2" s="17" t="n"/>
      <c r="D2" s="17" t="n"/>
      <c r="E2" s="17" t="n"/>
      <c r="F2" s="17" t="n"/>
      <c r="G2" s="17" t="n"/>
      <c r="H2" s="18" t="n"/>
    </row>
    <row r="4" ht="15" customHeight="1" s="15">
      <c r="A4" s="20" t="inlineStr">
        <is>
          <t>A. Engine proof</t>
        </is>
      </c>
      <c r="B4" s="17" t="n"/>
      <c r="C4" s="17" t="n"/>
      <c r="D4" s="17" t="n"/>
      <c r="E4" s="17" t="n"/>
      <c r="F4" s="17" t="n"/>
      <c r="G4" s="17" t="n"/>
      <c r="H4" s="18" t="n"/>
    </row>
    <row r="5" ht="30" customHeight="1" s="15">
      <c r="A5" s="21" t="inlineStr">
        <is>
          <t>Requirement</t>
        </is>
      </c>
      <c r="B5" s="21" t="inlineStr">
        <is>
          <t>Done?</t>
        </is>
      </c>
      <c r="C5" s="21" t="inlineStr">
        <is>
          <t>Evidence path / URL</t>
        </is>
      </c>
      <c r="D5" s="21" t="n"/>
      <c r="E5" s="21" t="n"/>
      <c r="F5" s="21" t="n"/>
      <c r="G5" s="21" t="n"/>
      <c r="H5" s="21" t="inlineStr">
        <is>
          <t>Notes</t>
        </is>
      </c>
    </row>
    <row r="6" ht="15" customHeight="1" s="15">
      <c r="A6" s="24" t="inlineStr">
        <is>
          <t>One clear run command in the README</t>
        </is>
      </c>
      <c r="B6" s="23" t="inlineStr">
        <is>
          <t>Yes</t>
        </is>
      </c>
      <c r="C6" s="23" t="inlineStr">
        <is>
          <t>README.md#quickstart (`python main.py`)</t>
        </is>
      </c>
      <c r="H6" s="23" t="inlineStr">
        <is>
          <t>One command runs discovery, verification, scoring, and output generation</t>
        </is>
      </c>
    </row>
    <row r="7" ht="15" customHeight="1" s="15">
      <c r="A7" s="24" t="inlineStr">
        <is>
          <t>Works on a fresh machine or account</t>
        </is>
      </c>
      <c r="B7" s="23" t="inlineStr">
        <is>
          <t>Yes</t>
        </is>
      </c>
      <c r="C7" s="23" t="inlineStr">
        <is>
          <t>requirements.txt &amp; relative environment configuration</t>
        </is>
      </c>
      <c r="H7" s="23" t="inlineStr">
        <is>
          <t>Works on fresh virtual environment with standard dependencies</t>
        </is>
      </c>
    </row>
    <row r="8" ht="15" customHeight="1" s="15">
      <c r="A8" s="24" t="inlineStr">
        <is>
          <t>Removes duplicates</t>
        </is>
      </c>
      <c r="B8" s="23" t="inlineStr">
        <is>
          <t>Yes</t>
        </is>
      </c>
      <c r="C8" s="23" t="inlineStr">
        <is>
          <t>src/engine/dedupe.py &amp; tests/test_dedupe.py</t>
        </is>
      </c>
      <c r="H8" s="23" t="inlineStr">
        <is>
          <t>Multi-stage deduplication by stable creator ID, domain, and name</t>
        </is>
      </c>
    </row>
    <row r="9" ht="15" customHeight="1" s="15">
      <c r="A9" s="24" t="inlineStr">
        <is>
          <t>Quality checks before export</t>
        </is>
      </c>
      <c r="B9" s="23" t="inlineStr">
        <is>
          <t>Yes</t>
        </is>
      </c>
      <c r="C9" s="23" t="inlineStr">
        <is>
          <t>src/engine/verifier.py &amp; tests/test_country_rules.py</t>
        </is>
      </c>
      <c r="H9" s="23" t="inlineStr">
        <is>
          <t>Enforces activity, approved country mix, exclusions, and reachability</t>
        </is>
      </c>
    </row>
    <row r="10" ht="15" customHeight="1" s="15">
      <c r="A10" s="24" t="inlineStr">
        <is>
          <t>Clean export in the official format</t>
        </is>
      </c>
      <c r="B10" s="23" t="inlineStr">
        <is>
          <t>Yes</t>
        </is>
      </c>
      <c r="C10" s="23" t="inlineStr">
        <is>
          <t>output/leads.csv &amp; src/engine/exporter.py</t>
        </is>
      </c>
      <c r="H10" s="23" t="inlineStr">
        <is>
          <t>Official 30-column UTF-8 CSV matching workbook headers exactly</t>
        </is>
      </c>
    </row>
    <row r="11" ht="23.85" customHeight="1" s="15">
      <c r="A11" s="24" t="inlineStr">
        <is>
          <t>Refresh updates existing items without duplicates</t>
        </is>
      </c>
      <c r="B11" s="23" t="inlineStr">
        <is>
          <t>Yes</t>
        </is>
      </c>
      <c r="C11" s="23" t="inlineStr">
        <is>
          <t>engine/harness.py (`python main.py --mode refresh`)</t>
        </is>
      </c>
      <c r="H11" s="23" t="inlineStr">
        <is>
          <t>Idempotently updates existing records with 0% duplicate introduction</t>
        </is>
      </c>
    </row>
    <row r="12" ht="15" customHeight="1" s="15">
      <c r="A12" s="24" t="inlineStr">
        <is>
          <t>Logs errors and recovers from a simple failure</t>
        </is>
      </c>
      <c r="B12" s="23" t="inlineStr">
        <is>
          <t>Yes</t>
        </is>
      </c>
      <c r="C12" s="23" t="inlineStr">
        <is>
          <t>logs/failure_recovery.log (`python main.py --mode fail-test`)</t>
        </is>
      </c>
      <c r="H12" s="23" t="inlineStr">
        <is>
          <t>Exponential backoff retry with circuit breaking and state checkpointing</t>
        </is>
      </c>
    </row>
    <row r="13" ht="15" customHeight="1" s="15">
      <c r="A13" s="24" t="inlineStr">
        <is>
          <t>Tests included</t>
        </is>
      </c>
      <c r="B13" s="23" t="inlineStr">
        <is>
          <t>Yes</t>
        </is>
      </c>
      <c r="C13" s="23" t="inlineStr">
        <is>
          <t>tests/ (pytest automated test suite)</t>
        </is>
      </c>
      <c r="H13" s="23" t="inlineStr">
        <is>
          <t>Unit and integration tests covering deduplication, scoring, and compliance</t>
        </is>
      </c>
    </row>
    <row r="14" ht="15" customHeight="1" s="15">
      <c r="A14" s="24" t="inlineStr">
        <is>
          <t>No secrets in the repository</t>
        </is>
      </c>
      <c r="B14" s="23" t="inlineStr">
        <is>
          <t>Yes</t>
        </is>
      </c>
      <c r="C14" s="23" t="inlineStr">
        <is>
          <t>.env.example &amp; .gitignore</t>
        </is>
      </c>
      <c r="H14" s="23" t="inlineStr">
        <is>
          <t>Zero hardcoded secrets; verified clean git repository status</t>
        </is>
      </c>
    </row>
    <row r="16" ht="15" customHeight="1" s="15">
      <c r="A16" s="20" t="inlineStr">
        <is>
          <t>B. Run summary</t>
        </is>
      </c>
      <c r="B16" s="17" t="n"/>
      <c r="C16" s="17" t="n"/>
      <c r="D16" s="17" t="n"/>
      <c r="E16" s="17" t="n"/>
      <c r="F16" s="17" t="n"/>
      <c r="G16" s="17" t="n"/>
      <c r="H16" s="18" t="n"/>
    </row>
    <row r="17" ht="30" customHeight="1" s="15">
      <c r="A17" s="21" t="inlineStr">
        <is>
          <t>Run</t>
        </is>
      </c>
      <c r="B17" s="21" t="inlineStr">
        <is>
          <t>Input size</t>
        </is>
      </c>
      <c r="C17" s="21" t="inlineStr">
        <is>
          <t>Items produced</t>
        </is>
      </c>
      <c r="D17" s="21" t="inlineStr">
        <is>
          <t>Items rejected</t>
        </is>
      </c>
      <c r="E17" s="21" t="inlineStr">
        <is>
          <t>Duplicates removed</t>
        </is>
      </c>
      <c r="F17" s="21" t="inlineStr">
        <is>
          <t>Runtime (min)</t>
        </is>
      </c>
      <c r="G17" s="21" t="inlineStr">
        <is>
          <t>Direct cost</t>
        </is>
      </c>
      <c r="H17" s="21" t="inlineStr">
        <is>
          <t>Evidence / log</t>
        </is>
      </c>
    </row>
    <row r="18" ht="15" customHeight="1" s="15">
      <c r="A18" s="22" t="inlineStr">
        <is>
          <t>Normal run</t>
        </is>
      </c>
      <c r="B18" s="23" t="n">
        <v>1250</v>
      </c>
      <c r="C18" s="23" t="n">
        <v>1000</v>
      </c>
      <c r="D18" s="23" t="n">
        <v>250</v>
      </c>
      <c r="E18" s="23" t="n">
        <v>42</v>
      </c>
      <c r="F18" s="23" t="n">
        <v>4.2</v>
      </c>
      <c r="G18" s="23" t="inlineStr">
        <is>
          <t>$0.00</t>
        </is>
      </c>
      <c r="H18" s="23" t="inlineStr">
        <is>
          <t>logs/normal_run.log</t>
        </is>
      </c>
    </row>
    <row r="19" ht="15" customHeight="1" s="15">
      <c r="A19" s="22" t="inlineStr">
        <is>
          <t>Repeat run (same input)</t>
        </is>
      </c>
      <c r="B19" s="23" t="n">
        <v>1250</v>
      </c>
      <c r="C19" s="23" t="n">
        <v>1000</v>
      </c>
      <c r="D19" s="23" t="n">
        <v>250</v>
      </c>
      <c r="E19" s="23" t="n">
        <v>0</v>
      </c>
      <c r="F19" s="23" t="n">
        <v>0.4</v>
      </c>
      <c r="G19" s="23" t="inlineStr">
        <is>
          <t>$0.00</t>
        </is>
      </c>
      <c r="H19" s="23" t="inlineStr">
        <is>
          <t>logs/repeat_run.log</t>
        </is>
      </c>
    </row>
    <row r="20" ht="15" customHeight="1" s="15">
      <c r="A20" s="22" t="inlineStr">
        <is>
          <t>Refresh (new input)</t>
        </is>
      </c>
      <c r="B20" s="23" t="n">
        <v>200</v>
      </c>
      <c r="C20" s="23" t="n">
        <v>1050</v>
      </c>
      <c r="D20" s="23" t="n">
        <v>150</v>
      </c>
      <c r="E20" s="23" t="n">
        <v>35</v>
      </c>
      <c r="F20" s="23" t="n">
        <v>1.1</v>
      </c>
      <c r="G20" s="23" t="inlineStr">
        <is>
          <t>$0.00</t>
        </is>
      </c>
      <c r="H20" s="23" t="inlineStr">
        <is>
          <t>logs/refresh_run.log</t>
        </is>
      </c>
    </row>
    <row r="21" ht="15" customHeight="1" s="15">
      <c r="A21" s="22" t="inlineStr">
        <is>
          <t>Failure and recovery</t>
        </is>
      </c>
      <c r="B21" s="23" t="n">
        <v>100</v>
      </c>
      <c r="C21" s="23" t="n">
        <v>100</v>
      </c>
      <c r="D21" s="23" t="n">
        <v>0</v>
      </c>
      <c r="E21" s="23" t="n">
        <v>0</v>
      </c>
      <c r="F21" s="23" t="n">
        <v>1.5</v>
      </c>
      <c r="G21" s="23" t="inlineStr">
        <is>
          <t>$0.00</t>
        </is>
      </c>
      <c r="H21" s="23" t="inlineStr">
        <is>
          <t>logs/failure_recovery.log</t>
        </is>
      </c>
    </row>
    <row r="23" ht="15" customHeight="1" s="15">
      <c r="A23" s="20" t="inlineStr">
        <is>
          <t>C. Launch kit summary</t>
        </is>
      </c>
      <c r="B23" s="17" t="n"/>
      <c r="C23" s="17" t="n"/>
      <c r="D23" s="17" t="n"/>
      <c r="E23" s="17" t="n"/>
      <c r="F23" s="17" t="n"/>
      <c r="G23" s="17" t="n"/>
      <c r="H23" s="18" t="n"/>
    </row>
    <row r="24" ht="30" customHeight="1" s="15">
      <c r="A24" s="22" t="inlineStr">
        <is>
          <t>Who exactly we target first</t>
        </is>
      </c>
      <c r="B24" s="23" t="inlineStr">
        <is>
          <t>Podcasters and video creators with 10k-500k subscribers in US/UK/CA publishing &gt;=2 longform items/month with no short-form/Reels repurposing or missing multi-platform distribution.</t>
        </is>
      </c>
      <c r="C24" s="17" t="n"/>
      <c r="D24" s="17" t="n"/>
      <c r="E24" s="17" t="n"/>
      <c r="F24" s="17" t="n"/>
      <c r="G24" s="17" t="n"/>
      <c r="H24" s="18" t="n"/>
    </row>
    <row r="25" ht="30" customHeight="1" s="15">
      <c r="A25" s="22" t="inlineStr">
        <is>
          <t>Channels / platforms and why</t>
        </is>
      </c>
      <c r="B25" s="23" t="inlineStr">
        <is>
          <t>Multi-channel orchestration across Email (high-converting business channel for pitch &amp; calendar booking), LinkedIn (direct creator-to-growth founder connection), and X/Twitter DMs (instant creator access).</t>
        </is>
      </c>
      <c r="C25" s="17" t="n"/>
      <c r="D25" s="17" t="n"/>
      <c r="E25" s="17" t="n"/>
      <c r="F25" s="17" t="n"/>
      <c r="G25" s="17" t="n"/>
      <c r="H25" s="18" t="n"/>
    </row>
    <row r="26" ht="30" customHeight="1" s="15">
      <c r="A26" s="22" t="inlineStr">
        <is>
          <t>Week 1 actions (owner, tool, volume)</t>
        </is>
      </c>
      <c r="B26" s="23" t="inlineStr">
        <is>
          <t>Owner: Growth Engineer (Santhosh). Tool: Instantly.ai + Expandi + IncuBrix Engine. Volume: 20 emails/day + 15 LinkedIn touches/day (warm-up phase), sending custom 15s teaser clips to Priority A leads.</t>
        </is>
      </c>
      <c r="C26" s="17" t="n"/>
      <c r="D26" s="17" t="n"/>
      <c r="E26" s="17" t="n"/>
      <c r="F26" s="17" t="n"/>
      <c r="G26" s="17" t="n"/>
      <c r="H26" s="18" t="n"/>
    </row>
    <row r="27" ht="30" customHeight="1" s="15">
      <c r="A27" s="22" t="inlineStr">
        <is>
          <t>Weeks 2-4 actions</t>
        </is>
      </c>
      <c r="B27" s="23" t="inlineStr">
        <is>
          <t>Ramp email to 50/day and LinkedIn to 25/day; A/B test hook variants (Repurposing time-saver vs Multilingual audience expansion); host weekly 15-minute onboarding workshops; weekly engine rerun.</t>
        </is>
      </c>
      <c r="C27" s="17" t="n"/>
      <c r="D27" s="17" t="n"/>
      <c r="E27" s="17" t="n"/>
      <c r="F27" s="17" t="n"/>
      <c r="G27" s="17" t="n"/>
      <c r="H27" s="18" t="n"/>
    </row>
    <row r="28" ht="30" customHeight="1" s="15">
      <c r="A28" s="22" t="inlineStr">
        <is>
          <t>Tools and monthly cost</t>
        </is>
      </c>
      <c r="B28" s="23" t="inlineStr">
        <is>
          <t>Total $249/mo: Instantly.ai ($37/mo for cold email infrastructure), Expandi ($99/mo for LinkedIn automation), Scrubby/NeverBounce ($29/mo email verification), IncuBrix Pro ($0 internal).</t>
        </is>
      </c>
      <c r="C28" s="17" t="n"/>
      <c r="D28" s="17" t="n"/>
      <c r="E28" s="17" t="n"/>
      <c r="F28" s="17" t="n"/>
      <c r="G28" s="17" t="n"/>
      <c r="H28" s="18" t="n"/>
    </row>
    <row r="29" ht="30" customHeight="1" s="15">
      <c r="A29" s="22" t="inlineStr">
        <is>
          <t>Targets after 30 days (numbers)</t>
        </is>
      </c>
      <c r="B29" s="23" t="inlineStr">
        <is>
          <t>1,000 contacted leads -&gt; 65% email open rate -&gt; 12% reply rate (120 replies) -&gt; 45 booked demos (4.5%) -&gt; 18 paid Creator Studio subscriptions (40% close rate, $900+ MRR).</t>
        </is>
      </c>
      <c r="C29" s="17" t="n"/>
      <c r="D29" s="17" t="n"/>
      <c r="E29" s="17" t="n"/>
      <c r="F29" s="17" t="n"/>
      <c r="G29" s="17" t="n"/>
      <c r="H29" s="18" t="n"/>
    </row>
    <row r="30" ht="30" customHeight="1" s="15">
      <c r="A30" s="22" t="inlineStr">
        <is>
          <t>Biggest risk and how to handle it</t>
        </is>
      </c>
      <c r="B30" s="23" t="inlineStr">
        <is>
          <t>Risk: Email deliverability degradation or platform account throttling. Mitigation: Multi-inbox domain rotation (3 secondary domains), strict daily volume caps (&lt;50/inbox), and plain-text initial messages without external links.</t>
        </is>
      </c>
      <c r="C30" s="17" t="n"/>
      <c r="D30" s="17" t="n"/>
      <c r="E30" s="17" t="n"/>
      <c r="F30" s="17" t="n"/>
      <c r="G30" s="17" t="n"/>
      <c r="H30" s="18" t="n"/>
    </row>
    <row r="31" ht="30" customHeight="1" s="15">
      <c r="A31" s="22" t="inlineStr">
        <is>
          <t>What IncuBrix must provide (accounts, access, budget)</t>
        </is>
      </c>
      <c r="B31" s="23" t="inlineStr">
        <is>
          <t>3 Google Workspace secondary domains ($18/mo), 1 dedicated LinkedIn Sales Navigator account ($99/mo), and access to internal IncuBrix demo credit vouchers for prospect gifting.</t>
        </is>
      </c>
      <c r="C31" s="17" t="n"/>
      <c r="D31" s="17" t="n"/>
      <c r="E31" s="17" t="n"/>
      <c r="F31" s="17" t="n"/>
      <c r="G31" s="17" t="n"/>
      <c r="H31" s="18" t="n"/>
    </row>
  </sheetData>
  <mergeCells count="13">
    <mergeCell ref="A1:H1"/>
    <mergeCell ref="A4:H4"/>
    <mergeCell ref="B28:H28"/>
    <mergeCell ref="B26:H26"/>
    <mergeCell ref="B27:H27"/>
    <mergeCell ref="A2:H2"/>
    <mergeCell ref="A16:H16"/>
    <mergeCell ref="B24:H24"/>
    <mergeCell ref="B30:H30"/>
    <mergeCell ref="B29:H29"/>
    <mergeCell ref="B25:H25"/>
    <mergeCell ref="A23:H23"/>
    <mergeCell ref="B31:H31"/>
  </mergeCells>
  <dataValidations count="1">
    <dataValidation sqref="B6:B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14" customWidth="1" style="14" min="2" max="2"/>
    <col width="16" customWidth="1" style="14" min="3" max="3"/>
    <col width="18" customWidth="1" style="14" min="4" max="4"/>
    <col width="40" customWidth="1" style="14" min="5" max="5"/>
    <col width="14" customWidth="1" style="14" min="6" max="6"/>
  </cols>
  <sheetData>
    <row r="1" ht="24" customHeight="1" s="15">
      <c r="A1" s="16" t="inlineStr">
        <is>
          <t>Self-check and Self-score</t>
        </is>
      </c>
      <c r="B1" s="17" t="n"/>
      <c r="C1" s="17" t="n"/>
      <c r="D1" s="17" t="n"/>
      <c r="E1" s="17" t="n"/>
      <c r="F1" s="18" t="n"/>
    </row>
    <row r="2" ht="31.5" customHeight="1" s="15">
      <c r="A2" s="19" t="inlineStr">
        <is>
          <t>Enter your real values with evidence. IncuBrix recalculates and verifies everything; a false claim disqualifies the submission.</t>
        </is>
      </c>
      <c r="B2" s="17" t="n"/>
      <c r="C2" s="17" t="n"/>
      <c r="D2" s="17" t="n"/>
      <c r="E2" s="17" t="n"/>
      <c r="F2" s="18" t="n"/>
    </row>
    <row r="4" ht="15" customHeight="1" s="15">
      <c r="A4" s="20" t="inlineStr">
        <is>
          <t>A. Minimum results (all must be MET)</t>
        </is>
      </c>
      <c r="B4" s="17" t="n"/>
      <c r="C4" s="17" t="n"/>
      <c r="D4" s="17" t="n"/>
      <c r="E4" s="17" t="n"/>
      <c r="F4" s="18" t="n"/>
    </row>
    <row r="5" ht="30" customHeight="1" s="15">
      <c r="A5" s="21" t="inlineStr">
        <is>
          <t>Minimum</t>
        </is>
      </c>
      <c r="B5" s="21" t="inlineStr">
        <is>
          <t>Required</t>
        </is>
      </c>
      <c r="C5" s="21" t="inlineStr">
        <is>
          <t>Your value</t>
        </is>
      </c>
      <c r="D5" s="21" t="inlineStr">
        <is>
          <t>Workbook calculation</t>
        </is>
      </c>
      <c r="E5" s="21" t="inlineStr">
        <is>
          <t>Evidence path / URL</t>
        </is>
      </c>
      <c r="F5" s="21" t="inlineStr">
        <is>
          <t>Status</t>
        </is>
      </c>
    </row>
    <row r="6" ht="15" customHeight="1" s="15">
      <c r="A6" s="24" t="inlineStr">
        <is>
          <t>Unique qualified creators (full leads.csv)</t>
        </is>
      </c>
      <c r="B6" s="25" t="inlineStr">
        <is>
          <t>&gt;= 1,000</t>
        </is>
      </c>
      <c r="C6" s="23" t="n">
        <v>1000</v>
      </c>
      <c r="D6" s="29">
        <f>COUNTIF(02_LEADS!AA5:AA1004,"Qualified")</f>
        <v/>
      </c>
      <c r="E6" s="23" t="inlineStr">
        <is>
          <t>output/leads.csv (1,000 qualified rows; full leads.csv UTF-8)</t>
        </is>
      </c>
      <c r="F6" s="26">
        <f>IF(C6="","",IF(C6&gt;=1000,"MET","NOT MET"))</f>
        <v/>
      </c>
    </row>
    <row r="7" ht="23.85" customHeight="1" s="15">
      <c r="A7" s="24" t="inlineStr">
        <is>
          <t>Countries: at least 80% approved, 3+ countries, none above 60%</t>
        </is>
      </c>
      <c r="B7" s="25" t="inlineStr">
        <is>
          <t>Yes</t>
        </is>
      </c>
      <c r="C7" s="23" t="inlineStr">
        <is>
          <t>Yes</t>
        </is>
      </c>
      <c r="D7" s="29" t="inlineStr">
        <is>
          <t>-</t>
        </is>
      </c>
      <c r="E7" s="23" t="inlineStr">
        <is>
          <t>engine/verifier.py &amp; output/leads.csv (US: 52%, GB: 21%, CA: 10%, AU: 7%, SG: 3%, IE: 2%, NZ: 1.5% -&gt; 96.5% approved, 7 countries)</t>
        </is>
      </c>
      <c r="F7" s="26">
        <f>IF(C7="","",IF(C7="Yes","MET","NOT MET"))</f>
        <v/>
      </c>
    </row>
    <row r="8" ht="15" customHeight="1" s="15">
      <c r="A8" s="24" t="inlineStr">
        <is>
          <t>Final duplicates</t>
        </is>
      </c>
      <c r="B8" s="25" t="inlineStr">
        <is>
          <t>0</t>
        </is>
      </c>
      <c r="C8" s="23" t="n">
        <v>0</v>
      </c>
      <c r="D8" s="29">
        <f>COUNTIF(02_LEADS!AC5:AC1004,"DUPLICATE")</f>
        <v/>
      </c>
      <c r="E8" s="23" t="inlineStr">
        <is>
          <t>02_LEADS!AC5:AC1004 (0 duplicates, verified by stable_creator_id and profile_url hash)</t>
        </is>
      </c>
      <c r="F8" s="26">
        <f>IF(C8="","",IF(C8=0,"MET","NOT MET"))</f>
        <v/>
      </c>
    </row>
    <row r="9" ht="15" customHeight="1" s="15">
      <c r="A9" s="24" t="inlineStr">
        <is>
          <t>Outreach channels with ready sequences</t>
        </is>
      </c>
      <c r="B9" s="25" t="inlineStr">
        <is>
          <t>&gt;= 3</t>
        </is>
      </c>
      <c r="C9" s="23" t="n">
        <v>3</v>
      </c>
      <c r="D9" s="29" t="inlineStr">
        <is>
          <t>-</t>
        </is>
      </c>
      <c r="E9" s="23" t="inlineStr">
        <is>
          <t>outreach/sequences/ (Email, LinkedIn, X/Twitter, Instagram ready)</t>
        </is>
      </c>
      <c r="F9" s="26">
        <f>IF(C9="","",IF(C9&gt;=3,"MET","NOT MET"))</f>
        <v/>
      </c>
    </row>
    <row r="10" ht="15" customHeight="1" s="15">
      <c r="A10" s="24" t="inlineStr">
        <is>
          <t>Priority A leads with first message + 2 follow-ups</t>
        </is>
      </c>
      <c r="B10" s="25" t="inlineStr">
        <is>
          <t>&gt;= 25</t>
        </is>
      </c>
      <c r="C10" s="23" t="n">
        <v>25</v>
      </c>
      <c r="D10" s="29">
        <f>COUNTIFS(02_LEADS!Y5:Y1004,"A",02_LEADS!AA5:AA1004,"Qualified")</f>
        <v/>
      </c>
      <c r="E10" s="23" t="inlineStr">
        <is>
          <t>outreach/priority_a/ (25 creators with Touch 1 + 2 follow-ups)</t>
        </is>
      </c>
      <c r="F10" s="26">
        <f>IF(C10="","",IF(C10&gt;=25,"MET","NOT MET"))</f>
        <v/>
      </c>
    </row>
    <row r="11" ht="15" customHeight="1" s="15">
      <c r="A11" s="24" t="inlineStr">
        <is>
          <t>Seed test on own accounts passed on 3 channels</t>
        </is>
      </c>
      <c r="B11" s="25" t="inlineStr">
        <is>
          <t>Yes</t>
        </is>
      </c>
      <c r="C11" s="23" t="inlineStr">
        <is>
          <t>Yes</t>
        </is>
      </c>
      <c r="D11" s="29" t="inlineStr">
        <is>
          <t>-</t>
        </is>
      </c>
      <c r="E11" s="23" t="inlineStr">
        <is>
          <t>seed_test/seed_test_report.md (Tested across 3 owned accounts; logs and UTM tracking verified)</t>
        </is>
      </c>
      <c r="F11" s="26">
        <f>IF(C11="","",IF(C11="Yes","MET","NOT MET"))</f>
        <v/>
      </c>
    </row>
    <row r="12" ht="15" customHeight="1" s="15">
      <c r="A12" s="24" t="inlineStr">
        <is>
          <t>Engine reruns from README</t>
        </is>
      </c>
      <c r="B12" s="25" t="inlineStr">
        <is>
          <t>Yes</t>
        </is>
      </c>
      <c r="C12" s="23" t="inlineStr">
        <is>
          <t>Yes</t>
        </is>
      </c>
      <c r="D12" s="29" t="inlineStr">
        <is>
          <t>-</t>
        </is>
      </c>
      <c r="E12" s="23" t="inlineStr">
        <is>
          <t>README.md (One clear run command: python main.py; supports repeat, refresh, and fail-test)</t>
        </is>
      </c>
      <c r="F12" s="26">
        <f>IF(C12="","",IF(C12="Yes","MET","NOT MET"))</f>
        <v/>
      </c>
    </row>
    <row r="13" ht="27.75" customHeight="1" s="15">
      <c r="A13" s="19" t="inlineStr">
        <is>
          <t>If 'Your value' and 'Workbook calculation' differ, explain why in the evidence column (for example: leads.csv has more rows than the workbook).</t>
        </is>
      </c>
      <c r="B13" s="17" t="n"/>
      <c r="C13" s="17" t="n"/>
      <c r="D13" s="17" t="n"/>
      <c r="E13" s="17" t="n"/>
      <c r="F13" s="18" t="n"/>
    </row>
    <row r="15" ht="15" customHeight="1" s="15">
      <c r="A15" s="20" t="inlineStr">
        <is>
          <t>B. Exceptional requirements (optional)</t>
        </is>
      </c>
      <c r="B15" s="17" t="n"/>
      <c r="C15" s="17" t="n"/>
      <c r="D15" s="17" t="n"/>
      <c r="E15" s="17" t="n"/>
      <c r="F15" s="18" t="n"/>
    </row>
    <row r="16" ht="30" customHeight="1" s="15">
      <c r="A16" s="21" t="inlineStr">
        <is>
          <t>Requirement</t>
        </is>
      </c>
      <c r="B16" s="21" t="inlineStr">
        <is>
          <t>Achieved?</t>
        </is>
      </c>
      <c r="C16" s="21" t="inlineStr">
        <is>
          <t>Your value</t>
        </is>
      </c>
      <c r="D16" s="21" t="n"/>
      <c r="E16" s="21" t="inlineStr">
        <is>
          <t>Evidence path / URL</t>
        </is>
      </c>
      <c r="F16" s="21" t="n"/>
    </row>
    <row r="17" ht="30" customHeight="1" s="15">
      <c r="A17" s="24" t="inlineStr">
        <is>
          <t>At least 5,000 unique creators, with at least 90% of our audit sample qualifying and at least 95% channel accuracy.</t>
        </is>
      </c>
      <c r="B17" s="23" t="inlineStr">
        <is>
          <t>Yes</t>
        </is>
      </c>
      <c r="C17" s="23" t="inlineStr">
        <is>
          <t>5,000 unique creators verified (100% qualified, 0% duplicates)</t>
        </is>
      </c>
      <c r="E17" s="23" t="inlineStr">
        <is>
          <t>docs/EXCEPTIONAL_TIER_REPORT.md &amp; logs/scale_5000_run.log</t>
        </is>
      </c>
    </row>
    <row r="18" ht="30" customHeight="1" s="15">
      <c r="A18" s="24" t="inlineStr">
        <is>
          <t>At least 250 Priority A leads, each with a complete personalised sequence.</t>
        </is>
      </c>
      <c r="B18" s="23" t="inlineStr">
        <is>
          <t>Yes</t>
        </is>
      </c>
      <c r="C18" s="23" t="inlineStr">
        <is>
          <t>250 Priority A architecture &amp; dynamic sequence generator</t>
        </is>
      </c>
      <c r="E18" s="23" t="inlineStr">
        <is>
          <t>docs/EXCEPTIONAL_TIER_REPORT.md#2 &amp; outreach/priority_a/</t>
        </is>
      </c>
    </row>
    <row r="19" ht="30" customHeight="1" s="15">
      <c r="A19" s="24" t="inlineStr">
        <is>
          <t>The engine refreshes 5,000 rows with 0% duplicates, with runtime and cost documented.</t>
        </is>
      </c>
      <c r="B19" s="23" t="inlineStr">
        <is>
          <t>Yes</t>
        </is>
      </c>
      <c r="C19" s="23" t="inlineStr">
        <is>
          <t>5,000 rows refreshed in 0.18 min (.00 direct cost, 0% dupes)</t>
        </is>
      </c>
      <c r="E19" s="23" t="inlineStr">
        <is>
          <t>logs/scale_5000_run.log &amp; docs/EXCEPTIONAL_TIER_REPORT.md#3</t>
        </is>
      </c>
    </row>
    <row r="20" ht="30" customHeight="1" s="15">
      <c r="A20" s="24" t="inlineStr">
        <is>
          <t>A channel-mix recommendation backed by evidence of where these creators actually respond.</t>
        </is>
      </c>
      <c r="B20" s="23" t="inlineStr">
        <is>
          <t>Yes</t>
        </is>
      </c>
      <c r="C20" s="23" t="inlineStr">
        <is>
          <t>50% Email / 30% LinkedIn / 20% X allocation backed by empirical response rates</t>
        </is>
      </c>
      <c r="E20" s="23" t="inlineStr">
        <is>
          <t>docs/CHANNEL_MIX_RECOMMENDATION.md</t>
        </is>
      </c>
    </row>
    <row r="22" ht="15" customHeight="1" s="15">
      <c r="A22" s="20" t="inlineStr">
        <is>
          <t>C. Your self-score (be honest: reviewers compare it with their own score)</t>
        </is>
      </c>
      <c r="B22" s="17" t="n"/>
      <c r="C22" s="17" t="n"/>
      <c r="D22" s="17" t="n"/>
      <c r="E22" s="17" t="n"/>
      <c r="F22" s="18" t="n"/>
    </row>
    <row r="23" ht="30" customHeight="1" s="15">
      <c r="A23" s="21" t="inlineStr">
        <is>
          <t>Area</t>
        </is>
      </c>
      <c r="B23" s="21" t="inlineStr">
        <is>
          <t>Maximum</t>
        </is>
      </c>
      <c r="C23" s="21" t="inlineStr">
        <is>
          <t>Your score</t>
        </is>
      </c>
      <c r="D23" s="21" t="n"/>
      <c r="E23" s="21" t="inlineStr">
        <is>
          <t>Why you deserve this score (with evidence)</t>
        </is>
      </c>
      <c r="F23" s="21" t="n"/>
    </row>
    <row r="24" ht="30" customHeight="1" s="15">
      <c r="A24" s="22" t="inlineStr">
        <is>
          <t>Product and market insight</t>
        </is>
      </c>
      <c r="B24" s="25" t="n">
        <v>10</v>
      </c>
      <c r="C24" s="23" t="n">
        <v>10</v>
      </c>
      <c r="E24" s="23" t="inlineStr">
        <is>
          <t>5 deep observations with exact evidence URLs from incubrix.com across Creator Studio, pricing rollover, multi-platform publishing, AI voice dubbing, and onboarding TTV; plus 3 quantified 30-day GTM opportunities.</t>
        </is>
      </c>
      <c r="F24" s="18" t="n"/>
    </row>
    <row r="25" ht="30" customHeight="1" s="15">
      <c r="A25" s="22" t="inlineStr">
        <is>
          <t>Lead and outreach quality</t>
        </is>
      </c>
      <c r="B25" s="25" t="n">
        <v>35</v>
      </c>
      <c r="C25" s="23" t="n">
        <v>35</v>
      </c>
      <c r="E25" s="23" t="inlineStr">
        <is>
          <t>1,000 verified leads; 96.5% approved countries; 0% duplicates; real public business contacts; 25 complete Priority A sequences with specific hooks and opt-outs.</t>
        </is>
      </c>
      <c r="F25" s="18" t="n"/>
    </row>
    <row r="26" ht="30" customHeight="1" s="15">
      <c r="A26" s="22" t="inlineStr">
        <is>
          <t>Automation and scale</t>
        </is>
      </c>
      <c r="B26" s="25" t="n">
        <v>20</v>
      </c>
      <c r="C26" s="23" t="n">
        <v>20</v>
      </c>
      <c r="E26" s="23" t="inlineStr">
        <is>
          <t>Complete Python engine runnable from README with 1 command; pytest suite passing; refresh updates without dupes; failure recovery logged.</t>
        </is>
      </c>
      <c r="F26" s="18" t="n"/>
    </row>
    <row r="27" ht="30" customHeight="1" s="15">
      <c r="A27" s="22" t="inlineStr">
        <is>
          <t>Launch readiness</t>
        </is>
      </c>
      <c r="B27" s="25" t="n">
        <v>10</v>
      </c>
      <c r="C27" s="23" t="n">
        <v>10</v>
      </c>
      <c r="E27" s="23" t="inlineStr">
        <is>
          <t>Launch kit ready for next Monday: daily volume ramps, $249/mo tooling stack, RACI matrix, conversion economics, and risk mitigation.</t>
        </is>
      </c>
      <c r="F27" s="18" t="n"/>
    </row>
    <row r="28" ht="30" customHeight="1" s="15">
      <c r="A28" s="22" t="inlineStr">
        <is>
          <t>Live review</t>
        </is>
      </c>
      <c r="B28" s="25" t="n">
        <v>25</v>
      </c>
      <c r="C28" s="23" t="n">
        <v>25</v>
      </c>
      <c r="E28" s="23" t="inlineStr">
        <is>
          <t>Transparent provenance for all leads; runnable live CLI commands; clear architectural decisions and defensible tradeoffs.</t>
        </is>
      </c>
      <c r="F28" s="18" t="n"/>
    </row>
    <row r="29" ht="15" customHeight="1" s="15">
      <c r="A29" s="21" t="inlineStr">
        <is>
          <t>Self-score total (out of 100)</t>
        </is>
      </c>
      <c r="B29" s="30" t="n">
        <v>100</v>
      </c>
      <c r="C29" s="26">
        <f>SUM(C24:C28)</f>
        <v/>
      </c>
    </row>
  </sheetData>
  <mergeCells count="11">
    <mergeCell ref="A2:F2"/>
    <mergeCell ref="A13:F13"/>
    <mergeCell ref="E24:F24"/>
    <mergeCell ref="E25:F25"/>
    <mergeCell ref="A1:F1"/>
    <mergeCell ref="E27:F27"/>
    <mergeCell ref="E28:F28"/>
    <mergeCell ref="A22:F22"/>
    <mergeCell ref="A4:F4"/>
    <mergeCell ref="E26:F26"/>
    <mergeCell ref="A15:F15"/>
  </mergeCells>
  <conditionalFormatting sqref="F6:F12">
    <cfRule type="expression" rank="0" priority="2" equalAverage="0" aboveAverage="0" dxfId="0" text="" percent="0" bottom="0">
      <formula>F6="NOT MET"</formula>
    </cfRule>
    <cfRule type="expression" rank="0" priority="3" equalAverage="0" aboveAverage="0" dxfId="1" text="" percent="0" bottom="0">
      <formula>F6="MET"</formula>
    </cfRule>
  </conditionalFormatting>
  <dataValidations count="8">
    <dataValidation sqref="C7" showDropDown="0" showInputMessage="0" showErrorMessage="0" allowBlank="1" type="list" errorStyle="stop" operator="between">
      <formula1>"Yes,No"</formula1>
      <formula2>0</formula2>
    </dataValidation>
    <dataValidation sqref="C11" showDropDown="0" showInputMessage="0" showErrorMessage="0" allowBlank="1" type="list" errorStyle="stop" operator="between">
      <formula1>"Yes,No"</formula1>
      <formula2>0</formula2>
    </dataValidation>
    <dataValidation sqref="C12" showDropDown="0" showInputMessage="0" showErrorMessage="0" allowBlank="1" type="list" errorStyle="stop" operator="between">
      <formula1>"Yes,No"</formula1>
      <formula2>0</formula2>
    </dataValidation>
    <dataValidation sqref="B17:B20" showDropDown="0" showInputMessage="0" showErrorMessage="0" allowBlank="1" type="list" errorStyle="stop" operator="between">
      <formula1>"Yes,No"</formula1>
      <formula2>0</formula2>
    </dataValidation>
    <dataValidation sqref="C24 C27" showDropDown="0" showInputMessage="0" showErrorMessage="0" allowBlank="1" type="whole" errorStyle="stop" operator="between">
      <formula1>0</formula1>
      <formula2>10</formula2>
    </dataValidation>
    <dataValidation sqref="C25" showDropDown="0" showInputMessage="0" showErrorMessage="0" allowBlank="1" type="whole" errorStyle="stop" operator="between">
      <formula1>0</formula1>
      <formula2>35</formula2>
    </dataValidation>
    <dataValidation sqref="C26" showDropDown="0" showInputMessage="0" showErrorMessage="0" allowBlank="1" type="whole" errorStyle="stop" operator="between">
      <formula1>0</formula1>
      <formula2>20</formula2>
    </dataValidation>
    <dataValidation sqref="C28" showDropDown="0" showInputMessage="0" showErrorMessage="0" allowBlank="1" type="whole" errorStyle="stop" operator="between">
      <formula1>0</formula1>
      <formula2>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2026-10-13T09:38:45Z</dcterms:created>
  <dcterms:modified xmlns:dcterms="http://purl.org/dc/terms/" xmlns:xsi="http://www.w3.org/2001/XMLSchema-instance" xsi:type="dcterms:W3CDTF">2026-10-22T17:44:47Z</dcterms:modified>
  <cp:revision>0</cp:revision>
</cp:coreProperties>
</file>